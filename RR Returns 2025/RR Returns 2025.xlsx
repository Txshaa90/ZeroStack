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538521A5-B1B8-40DA-B6D3-FEC9BE4C7A2A}" xr6:coauthVersionLast="47" xr6:coauthVersionMax="47" xr10:uidLastSave="{00000000-0000-0000-0000-000000000000}"/>
  <bookViews>
    <workbookView xWindow="-110" yWindow="-110" windowWidth="19420" windowHeight="10420" xr2:uid="{00000000-000D-0000-FFFF-FFFF00000000}"/>
  </bookViews>
  <sheets>
    <sheet name="Als" sheetId="1" r:id="rId1"/>
    <sheet name="Sheet1" sheetId="2" r:id="rId2"/>
  </sheets>
  <definedNames>
    <definedName name="_xlnm._FilterDatabase" localSheetId="0" hidden="1">Als!$A$1:$BH$1024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1825" i="1" l="1"/>
  <c r="AK1824" i="1"/>
  <c r="AK1823" i="1"/>
  <c r="AK1822" i="1"/>
  <c r="AK1821" i="1"/>
  <c r="AK1820" i="1"/>
  <c r="AK1819" i="1"/>
  <c r="AK1818" i="1"/>
  <c r="AK1817" i="1"/>
  <c r="AK1816" i="1"/>
  <c r="AK1815" i="1"/>
  <c r="AK1814" i="1"/>
  <c r="AK1813" i="1"/>
  <c r="AK1812" i="1"/>
  <c r="AK1811" i="1"/>
  <c r="AK1810" i="1"/>
  <c r="AK1809" i="1"/>
  <c r="AK1808" i="1"/>
  <c r="AK1807" i="1"/>
  <c r="AK1806" i="1"/>
  <c r="AK1805" i="1"/>
  <c r="AK1804" i="1"/>
  <c r="AK1803" i="1"/>
  <c r="AK1802" i="1"/>
  <c r="AK1801" i="1"/>
  <c r="AK1800" i="1"/>
  <c r="AK1799" i="1"/>
  <c r="AK1798" i="1"/>
  <c r="AK1797" i="1"/>
  <c r="AK1796" i="1"/>
  <c r="AK1795" i="1"/>
  <c r="AK1794" i="1"/>
  <c r="AK1793" i="1"/>
  <c r="AK1792" i="1"/>
  <c r="AK1791" i="1"/>
  <c r="AK1790" i="1"/>
  <c r="AK1789" i="1"/>
  <c r="AK1788" i="1"/>
  <c r="AK1787" i="1"/>
  <c r="AK1786" i="1"/>
  <c r="AK1785" i="1"/>
  <c r="AK1784" i="1"/>
  <c r="AK1783" i="1"/>
  <c r="AK1782" i="1"/>
  <c r="AK1781" i="1"/>
  <c r="AK1780" i="1"/>
  <c r="AK1779" i="1"/>
  <c r="AK1778" i="1"/>
  <c r="AK1777" i="1"/>
  <c r="AK1776" i="1"/>
  <c r="AK1775" i="1"/>
  <c r="AK1774" i="1"/>
  <c r="AK1773" i="1"/>
  <c r="AK1772" i="1"/>
  <c r="AK1771" i="1"/>
  <c r="AK1770" i="1"/>
  <c r="AK1769" i="1"/>
  <c r="AK1768" i="1"/>
  <c r="AK1767" i="1"/>
  <c r="AK1766" i="1"/>
  <c r="AK1765" i="1"/>
  <c r="AK1764" i="1"/>
  <c r="AK1763" i="1"/>
  <c r="AK1762" i="1"/>
  <c r="AK1761" i="1"/>
  <c r="AK1760" i="1"/>
  <c r="AK1759" i="1"/>
  <c r="AK1758" i="1"/>
  <c r="AK1757" i="1"/>
  <c r="AK1756" i="1"/>
  <c r="AK1755" i="1"/>
  <c r="AK1754" i="1"/>
  <c r="AK1753" i="1"/>
  <c r="AK1752" i="1"/>
  <c r="AK1751" i="1"/>
  <c r="AK1750" i="1"/>
  <c r="AK1749" i="1"/>
  <c r="AK1748" i="1"/>
  <c r="AK1747" i="1"/>
  <c r="AK1746" i="1"/>
  <c r="AK1745" i="1"/>
  <c r="AK1744" i="1"/>
  <c r="AK1743" i="1"/>
  <c r="AK1742" i="1"/>
  <c r="AK1741" i="1"/>
  <c r="AK1740" i="1"/>
  <c r="AK1739" i="1"/>
  <c r="AK1738" i="1"/>
  <c r="AK1737" i="1"/>
  <c r="AK1736" i="1"/>
  <c r="AK1735" i="1"/>
  <c r="AK1734" i="1"/>
  <c r="AK1733" i="1"/>
  <c r="AK1732" i="1"/>
  <c r="AK1731" i="1"/>
  <c r="AK1730" i="1"/>
  <c r="AK1729" i="1"/>
  <c r="AK1728" i="1"/>
  <c r="AK1727" i="1"/>
  <c r="AK1726" i="1"/>
  <c r="AK1725" i="1"/>
  <c r="AK1724" i="1"/>
  <c r="AK1723" i="1"/>
  <c r="AK1722" i="1"/>
  <c r="AK1721" i="1"/>
  <c r="AK1720" i="1"/>
  <c r="AK1719" i="1"/>
  <c r="AK1718" i="1"/>
  <c r="AK1717" i="1"/>
  <c r="AK1716" i="1"/>
  <c r="AK1715" i="1"/>
  <c r="AK1714" i="1"/>
  <c r="AK1713" i="1"/>
  <c r="AK1712" i="1"/>
  <c r="AK1711" i="1"/>
  <c r="AK1710" i="1"/>
  <c r="AK1709" i="1"/>
  <c r="AK1708" i="1"/>
  <c r="AK1707" i="1"/>
  <c r="AK1706" i="1"/>
  <c r="AK1705" i="1"/>
  <c r="AK1704" i="1"/>
  <c r="AK1703" i="1"/>
  <c r="AK1702" i="1"/>
  <c r="AK1701" i="1"/>
  <c r="AK1700" i="1"/>
  <c r="AK1699" i="1"/>
  <c r="AK1698" i="1"/>
  <c r="AK1697" i="1"/>
  <c r="AK1696" i="1"/>
  <c r="AK1695" i="1"/>
  <c r="AK1694" i="1"/>
  <c r="AK1693" i="1"/>
  <c r="AK1692" i="1"/>
  <c r="AK1691" i="1"/>
  <c r="AK1690" i="1"/>
  <c r="AK1689" i="1"/>
  <c r="AK1688" i="1"/>
  <c r="AK1687" i="1"/>
  <c r="AK1686" i="1"/>
  <c r="AK1685" i="1"/>
  <c r="AK1684" i="1"/>
  <c r="AK1683" i="1"/>
  <c r="AK1682" i="1"/>
  <c r="AK1681" i="1"/>
  <c r="AK1680" i="1"/>
  <c r="AK1679" i="1"/>
  <c r="AK1678" i="1"/>
  <c r="AK1677" i="1"/>
  <c r="AK1676" i="1"/>
  <c r="AK1675" i="1"/>
  <c r="AK1674" i="1"/>
  <c r="AK1673" i="1"/>
  <c r="AK1672" i="1"/>
  <c r="AK1671" i="1"/>
  <c r="AK1670" i="1"/>
  <c r="AK1669" i="1"/>
  <c r="AK1668" i="1"/>
  <c r="AK1667" i="1"/>
  <c r="AK1666" i="1"/>
  <c r="AK1665" i="1"/>
  <c r="AK1664" i="1"/>
  <c r="AK1663" i="1"/>
  <c r="AK1662" i="1"/>
  <c r="AK1661" i="1"/>
  <c r="AK1660" i="1"/>
  <c r="AK1659" i="1"/>
  <c r="AK1658" i="1"/>
  <c r="AK1657" i="1"/>
  <c r="AK1656" i="1"/>
  <c r="AK1655" i="1"/>
  <c r="AK1654" i="1"/>
  <c r="AK1653" i="1"/>
  <c r="AK1652" i="1"/>
  <c r="AK1651" i="1"/>
  <c r="AK1650" i="1"/>
  <c r="AK1649" i="1"/>
  <c r="AK1648" i="1"/>
  <c r="AK1647" i="1"/>
  <c r="AK1646" i="1"/>
  <c r="AK1645" i="1"/>
  <c r="AK1644" i="1"/>
  <c r="AK1643" i="1"/>
  <c r="AK1642" i="1"/>
  <c r="AK1641" i="1"/>
  <c r="AK1640" i="1"/>
  <c r="AK1639" i="1"/>
  <c r="AK1638" i="1"/>
  <c r="AK1637" i="1"/>
  <c r="AK1636" i="1"/>
  <c r="AK1635" i="1"/>
  <c r="AK1634" i="1"/>
  <c r="AK1633" i="1"/>
  <c r="AK1632" i="1"/>
  <c r="AK1631" i="1"/>
  <c r="AK1630" i="1"/>
  <c r="AK1629" i="1"/>
  <c r="AK1628" i="1"/>
  <c r="AK1627" i="1"/>
  <c r="AK1626" i="1"/>
  <c r="AK1625" i="1"/>
  <c r="AK1624" i="1"/>
  <c r="AK1623" i="1"/>
  <c r="AK1622" i="1"/>
  <c r="AK1621" i="1"/>
  <c r="AK1620" i="1"/>
  <c r="AK1619" i="1"/>
  <c r="AK1618" i="1"/>
  <c r="AK1617" i="1"/>
  <c r="AK1616" i="1"/>
  <c r="AK1615" i="1"/>
  <c r="AK1614" i="1"/>
  <c r="AK1613" i="1"/>
  <c r="AK1612" i="1"/>
  <c r="AK1611" i="1"/>
  <c r="AK1610" i="1"/>
  <c r="AK1609" i="1"/>
  <c r="AK1608" i="1"/>
  <c r="AK1607" i="1"/>
  <c r="AK1606" i="1"/>
  <c r="AK1605" i="1"/>
  <c r="AK1604" i="1"/>
  <c r="AK1603" i="1"/>
  <c r="AK1602" i="1"/>
  <c r="AK1601" i="1"/>
  <c r="AK1600" i="1"/>
  <c r="AK1599" i="1"/>
  <c r="AK1598" i="1"/>
  <c r="AK1597" i="1"/>
  <c r="AK1596" i="1"/>
  <c r="AK1595" i="1"/>
  <c r="AK1594" i="1"/>
  <c r="AK1593" i="1"/>
  <c r="AK1592" i="1"/>
  <c r="AK1591" i="1"/>
  <c r="AK1590" i="1"/>
  <c r="AK1589" i="1"/>
  <c r="AK1588" i="1"/>
  <c r="AK1587" i="1"/>
  <c r="AK1586" i="1"/>
  <c r="AK1585" i="1"/>
  <c r="AK1584" i="1"/>
  <c r="AK1583" i="1"/>
  <c r="AK1582" i="1"/>
  <c r="AK1581" i="1"/>
  <c r="AK1580" i="1"/>
  <c r="AK1579" i="1"/>
  <c r="AK1578" i="1"/>
  <c r="AK1577" i="1"/>
  <c r="AK1576" i="1"/>
  <c r="AK1575" i="1"/>
  <c r="AK1574" i="1"/>
  <c r="AK1573" i="1"/>
  <c r="AK1572" i="1"/>
  <c r="AK1571" i="1"/>
  <c r="AK1570" i="1"/>
  <c r="AK1569" i="1"/>
  <c r="AK1568" i="1"/>
  <c r="AK1567" i="1"/>
  <c r="AK1566" i="1"/>
  <c r="AK1565" i="1"/>
  <c r="AK1564" i="1"/>
  <c r="AK1563" i="1"/>
  <c r="AK1562" i="1"/>
  <c r="AK1561" i="1"/>
  <c r="AK1560" i="1"/>
  <c r="AK1559" i="1"/>
  <c r="AK1558" i="1"/>
  <c r="AK1557" i="1"/>
  <c r="AK1556" i="1"/>
  <c r="AK1555" i="1"/>
  <c r="AK1554" i="1"/>
  <c r="AK1553" i="1"/>
  <c r="AK1552" i="1"/>
  <c r="AK1551" i="1"/>
  <c r="AK1550" i="1"/>
  <c r="AK1549" i="1"/>
  <c r="AK1548" i="1"/>
  <c r="AK1547" i="1"/>
  <c r="AK1546" i="1"/>
  <c r="AK1545" i="1"/>
  <c r="AK1544" i="1"/>
  <c r="AK1543" i="1"/>
  <c r="AK1542" i="1"/>
  <c r="AK1541" i="1"/>
  <c r="AK1540" i="1"/>
  <c r="AK1539" i="1"/>
  <c r="AK1538" i="1"/>
  <c r="AK1537" i="1"/>
  <c r="AK1536" i="1"/>
  <c r="AK1535" i="1"/>
  <c r="AK1534" i="1"/>
  <c r="AK1533" i="1"/>
  <c r="AK1532" i="1"/>
  <c r="AK1531" i="1"/>
  <c r="AK1530" i="1"/>
  <c r="AK1529" i="1"/>
  <c r="AK1528" i="1"/>
  <c r="AK1527" i="1"/>
  <c r="AK1526" i="1"/>
  <c r="AK1525" i="1"/>
  <c r="AK1524" i="1"/>
  <c r="AK1523" i="1"/>
  <c r="AK1522" i="1"/>
  <c r="AK1521" i="1"/>
  <c r="AK1520" i="1"/>
  <c r="AK1519" i="1"/>
  <c r="AK1518" i="1"/>
  <c r="AK1517" i="1"/>
  <c r="AK1516" i="1"/>
  <c r="AK1515" i="1"/>
  <c r="AK1514" i="1"/>
  <c r="AK1513" i="1"/>
  <c r="AK1512" i="1"/>
  <c r="AK1511" i="1"/>
  <c r="AK1510" i="1"/>
  <c r="AK1509" i="1"/>
  <c r="AK1508" i="1"/>
  <c r="AK1507" i="1"/>
  <c r="AK1506" i="1"/>
  <c r="AK1505" i="1"/>
  <c r="AK1504" i="1"/>
  <c r="AK1503" i="1"/>
  <c r="AK1502" i="1"/>
  <c r="AK1501" i="1"/>
  <c r="AK1500" i="1"/>
  <c r="AK1499" i="1"/>
  <c r="AK1498" i="1"/>
  <c r="AK1497" i="1"/>
  <c r="AK1496" i="1"/>
  <c r="AK1495" i="1"/>
  <c r="AK1494" i="1"/>
  <c r="AK1493" i="1"/>
  <c r="AK1492" i="1"/>
  <c r="AK1491" i="1"/>
  <c r="AK1490" i="1"/>
  <c r="AK1489" i="1"/>
  <c r="AK1488" i="1"/>
  <c r="AK1487" i="1"/>
  <c r="AK1486" i="1"/>
  <c r="AK1485" i="1"/>
  <c r="AK1484" i="1"/>
  <c r="AK1483" i="1"/>
  <c r="AK1482" i="1"/>
  <c r="AK1481" i="1"/>
  <c r="AK1480" i="1"/>
  <c r="AK1479" i="1"/>
  <c r="AK1478" i="1"/>
  <c r="AK1477" i="1"/>
  <c r="AK1476" i="1"/>
  <c r="AK1475" i="1"/>
  <c r="AK1474" i="1"/>
  <c r="AK1473" i="1"/>
  <c r="AK1472" i="1"/>
  <c r="AK1471" i="1"/>
  <c r="AK1470" i="1"/>
  <c r="AK1469" i="1"/>
  <c r="AK1468" i="1"/>
  <c r="AK1467" i="1"/>
  <c r="AK1466" i="1"/>
  <c r="AK1465" i="1"/>
  <c r="AK1464" i="1"/>
  <c r="AK1463" i="1"/>
  <c r="AK1462" i="1"/>
  <c r="AK1461" i="1"/>
  <c r="AK1460" i="1"/>
  <c r="AK1459" i="1"/>
  <c r="AK1458" i="1"/>
  <c r="AK1457" i="1"/>
  <c r="AK1456" i="1"/>
  <c r="AK1455" i="1"/>
  <c r="AK1454" i="1"/>
  <c r="AK1453" i="1"/>
  <c r="AK1452" i="1"/>
  <c r="AK1451" i="1"/>
  <c r="AK1450" i="1"/>
  <c r="AK1449" i="1"/>
  <c r="AK1448" i="1"/>
  <c r="AK1447" i="1"/>
  <c r="AK1446" i="1"/>
  <c r="AK1445" i="1"/>
  <c r="AK1444" i="1"/>
  <c r="AK1443" i="1"/>
  <c r="AK1442" i="1"/>
  <c r="AK1441" i="1"/>
  <c r="AK1440" i="1"/>
  <c r="AK1439" i="1"/>
  <c r="AK1438" i="1"/>
  <c r="AK1437" i="1"/>
  <c r="AK1436" i="1"/>
  <c r="AK1435" i="1"/>
  <c r="AK1434" i="1"/>
  <c r="AK1433" i="1"/>
  <c r="AK1432" i="1"/>
  <c r="AK1431" i="1"/>
  <c r="AK1430" i="1"/>
  <c r="AK1429" i="1"/>
  <c r="AK1428" i="1"/>
  <c r="AK1427" i="1"/>
  <c r="AK1426" i="1"/>
  <c r="AK1425" i="1"/>
  <c r="AK1424" i="1"/>
  <c r="AK1423" i="1"/>
  <c r="AK1422" i="1"/>
  <c r="AK1421" i="1"/>
  <c r="AK1420" i="1"/>
  <c r="AK1419" i="1"/>
  <c r="AK1418" i="1"/>
  <c r="AK1417" i="1"/>
  <c r="AK1416" i="1"/>
  <c r="AK1415" i="1"/>
  <c r="AK1414" i="1"/>
  <c r="AK1413" i="1"/>
  <c r="AK1412" i="1"/>
  <c r="AK1411" i="1"/>
  <c r="AK1410" i="1"/>
  <c r="AK1409" i="1"/>
  <c r="AK1408" i="1"/>
  <c r="AK1407" i="1"/>
  <c r="AK1406" i="1"/>
  <c r="AK1405" i="1"/>
  <c r="AK1404" i="1"/>
  <c r="AK1403" i="1"/>
  <c r="AK1402" i="1"/>
  <c r="AK1401" i="1"/>
  <c r="AK1400" i="1"/>
  <c r="AK1399" i="1"/>
  <c r="AK1398" i="1"/>
  <c r="AK1397" i="1"/>
  <c r="AK1396" i="1"/>
  <c r="AK1395" i="1"/>
  <c r="AK1394" i="1"/>
  <c r="AK1393" i="1"/>
  <c r="AK1392" i="1"/>
  <c r="AK1391" i="1"/>
  <c r="AK1390" i="1"/>
  <c r="AK1389" i="1"/>
  <c r="AK1387" i="1"/>
  <c r="AK1386" i="1"/>
  <c r="AK1385" i="1"/>
  <c r="AK1384" i="1"/>
  <c r="AK1383" i="1"/>
  <c r="AK1382" i="1"/>
  <c r="AK1381" i="1"/>
  <c r="AK1380" i="1"/>
  <c r="AK1379" i="1"/>
  <c r="AK1378" i="1"/>
  <c r="AK1377" i="1"/>
  <c r="AK1376" i="1"/>
  <c r="AK1375" i="1"/>
  <c r="AK1374" i="1"/>
  <c r="AK1373" i="1"/>
  <c r="AK1372" i="1"/>
  <c r="AK1371" i="1"/>
  <c r="AK1370" i="1"/>
  <c r="AK1369" i="1"/>
  <c r="AK1368" i="1"/>
  <c r="AK1367" i="1"/>
  <c r="AK1366" i="1"/>
  <c r="AK1365" i="1"/>
  <c r="AK1364" i="1"/>
  <c r="AK1363" i="1"/>
  <c r="AK1362" i="1"/>
  <c r="AK1361" i="1"/>
  <c r="AK1360" i="1"/>
  <c r="AK1359" i="1"/>
  <c r="AK1358" i="1"/>
  <c r="AK1357" i="1"/>
  <c r="AK1356" i="1"/>
  <c r="AK1355" i="1"/>
  <c r="AK1354" i="1"/>
  <c r="AK1353" i="1"/>
  <c r="AK1352" i="1"/>
  <c r="AK1351" i="1"/>
  <c r="AK1350" i="1"/>
  <c r="AK1349" i="1"/>
  <c r="AK1348" i="1"/>
  <c r="AK1347" i="1"/>
  <c r="AK1346" i="1"/>
  <c r="AK1345" i="1"/>
  <c r="AK1344" i="1"/>
  <c r="AK1343" i="1"/>
  <c r="AK1342" i="1"/>
  <c r="AK1341" i="1"/>
  <c r="AK1340" i="1"/>
  <c r="AK1339" i="1"/>
  <c r="AK1338" i="1"/>
  <c r="AK1337" i="1"/>
  <c r="AK1336" i="1"/>
  <c r="AK1335" i="1"/>
  <c r="AK1334" i="1"/>
  <c r="AK1333" i="1"/>
  <c r="AK1332" i="1"/>
  <c r="AK1331" i="1"/>
  <c r="AK1330" i="1"/>
  <c r="AK1329" i="1"/>
  <c r="AK1328" i="1"/>
  <c r="AK1327" i="1"/>
  <c r="AK1326" i="1"/>
  <c r="AK1325" i="1"/>
  <c r="AK1324" i="1"/>
  <c r="AK1323" i="1"/>
  <c r="AK1322" i="1"/>
  <c r="AK1321" i="1"/>
  <c r="AK1320" i="1"/>
  <c r="AK1319" i="1"/>
  <c r="AK1318" i="1"/>
  <c r="AK1317" i="1"/>
  <c r="AK1316" i="1"/>
  <c r="AK1315" i="1"/>
  <c r="AK1314" i="1"/>
  <c r="AK1313" i="1"/>
  <c r="AK1312" i="1"/>
  <c r="AK1311" i="1"/>
  <c r="AK1310" i="1"/>
  <c r="AK1309" i="1"/>
  <c r="AK1308" i="1"/>
  <c r="AK1307" i="1"/>
  <c r="AK1306" i="1"/>
  <c r="AK1305" i="1"/>
  <c r="AK1304" i="1"/>
  <c r="AK1303" i="1"/>
  <c r="AK1302" i="1"/>
  <c r="AK1301" i="1"/>
  <c r="AK1300" i="1"/>
  <c r="AK1299" i="1"/>
  <c r="AK1298" i="1"/>
  <c r="AK1297" i="1"/>
  <c r="AK1296" i="1"/>
  <c r="AK1295" i="1"/>
  <c r="AK1294" i="1"/>
  <c r="AK1293" i="1"/>
  <c r="AK1292" i="1"/>
  <c r="AK1291" i="1"/>
  <c r="AK1290" i="1"/>
  <c r="AK1289" i="1"/>
  <c r="AK1288" i="1"/>
  <c r="AK1287" i="1"/>
  <c r="AK1286" i="1"/>
  <c r="AK1285" i="1"/>
  <c r="AK1284" i="1"/>
  <c r="AK1283" i="1"/>
  <c r="AK1282" i="1"/>
  <c r="AK1281" i="1"/>
  <c r="AK1280" i="1"/>
  <c r="AK1279" i="1"/>
  <c r="AK1278" i="1"/>
  <c r="AK1277" i="1"/>
  <c r="AK1276" i="1"/>
  <c r="AK1275" i="1"/>
  <c r="AK1274" i="1"/>
  <c r="AK1273" i="1"/>
  <c r="AK1272" i="1"/>
  <c r="AK1271" i="1"/>
  <c r="AK1270" i="1"/>
  <c r="AK1269" i="1"/>
  <c r="AK1268" i="1"/>
  <c r="AK1267" i="1"/>
  <c r="AK1266" i="1"/>
  <c r="AK1265" i="1"/>
  <c r="AK1264" i="1"/>
  <c r="AK1263" i="1"/>
  <c r="AK1262" i="1"/>
  <c r="AK1261" i="1"/>
  <c r="AK1260" i="1"/>
  <c r="AK1259" i="1"/>
  <c r="AK1258" i="1"/>
  <c r="AK1257" i="1"/>
  <c r="AK1256" i="1"/>
  <c r="AK1255" i="1"/>
  <c r="AK1254" i="1"/>
  <c r="AK1253" i="1"/>
  <c r="AK1252" i="1"/>
  <c r="AK1251" i="1"/>
  <c r="AK1250" i="1"/>
  <c r="AK1249" i="1"/>
  <c r="AK1248" i="1"/>
  <c r="AK1247" i="1"/>
  <c r="AK1246" i="1"/>
  <c r="AK1245" i="1"/>
  <c r="AK1244" i="1"/>
  <c r="AK1243" i="1"/>
  <c r="AK1242" i="1"/>
  <c r="AK1241" i="1"/>
  <c r="AK1240" i="1"/>
  <c r="AK1239" i="1"/>
  <c r="AK1238" i="1"/>
  <c r="AK1237" i="1"/>
  <c r="AK1236" i="1"/>
  <c r="AK1235" i="1"/>
  <c r="AK1234" i="1"/>
  <c r="AK1233" i="1"/>
  <c r="AK1232" i="1"/>
  <c r="AK1231" i="1"/>
  <c r="AK1230" i="1"/>
  <c r="AK1229" i="1"/>
  <c r="AK1228" i="1"/>
  <c r="AK1227" i="1"/>
  <c r="AK1226" i="1"/>
  <c r="AK1225" i="1"/>
  <c r="AK1224" i="1"/>
  <c r="AK1223" i="1"/>
  <c r="AK1222" i="1"/>
  <c r="AK1221" i="1"/>
  <c r="AK1220" i="1"/>
  <c r="AK1219" i="1"/>
  <c r="AK1218" i="1"/>
  <c r="AK1217" i="1"/>
  <c r="AK1216" i="1"/>
  <c r="AK1215" i="1"/>
  <c r="AK1214" i="1"/>
  <c r="AK1213" i="1"/>
  <c r="AK1212" i="1"/>
  <c r="AK1211" i="1"/>
  <c r="AK1210" i="1"/>
  <c r="AK1209" i="1"/>
  <c r="AK1208" i="1"/>
  <c r="AK1207" i="1"/>
  <c r="AK1206" i="1"/>
  <c r="AK1205" i="1"/>
  <c r="AK1204" i="1"/>
  <c r="AK1203" i="1"/>
  <c r="AK1202" i="1"/>
  <c r="AK1201" i="1"/>
  <c r="AK1200" i="1"/>
  <c r="AK1199" i="1"/>
  <c r="AK1198" i="1"/>
  <c r="AK1197" i="1"/>
  <c r="AK1196" i="1"/>
  <c r="AK1195" i="1"/>
  <c r="AK1194" i="1"/>
  <c r="AK1193" i="1"/>
  <c r="AK1192" i="1"/>
  <c r="AK1191" i="1"/>
  <c r="AK1190" i="1"/>
  <c r="AK1189" i="1"/>
  <c r="AK1188" i="1"/>
  <c r="AK1187" i="1"/>
  <c r="AK1186" i="1"/>
  <c r="AK1185" i="1"/>
  <c r="AK1184" i="1"/>
  <c r="AK1183" i="1"/>
  <c r="AK1182" i="1"/>
  <c r="AK1181" i="1"/>
  <c r="AK1180" i="1"/>
  <c r="AK1179" i="1"/>
  <c r="AK1178" i="1"/>
  <c r="AK1177" i="1"/>
  <c r="AK1176" i="1"/>
  <c r="AK1175" i="1"/>
  <c r="AK1174" i="1"/>
  <c r="AK1173" i="1"/>
  <c r="AK1172" i="1"/>
  <c r="AK1171" i="1"/>
  <c r="AK1170" i="1"/>
  <c r="AK1169" i="1"/>
  <c r="AK1168" i="1"/>
  <c r="AK1167" i="1"/>
  <c r="AK1166" i="1"/>
  <c r="AK1165" i="1"/>
  <c r="AK1164" i="1"/>
  <c r="AK1163" i="1"/>
  <c r="AK1162" i="1"/>
  <c r="AK1161" i="1"/>
  <c r="AK1160" i="1"/>
  <c r="AK1159" i="1"/>
  <c r="AK1158" i="1"/>
  <c r="AK1157" i="1"/>
  <c r="AK1156" i="1"/>
  <c r="AK1155" i="1"/>
  <c r="AK1154" i="1"/>
  <c r="AK1153" i="1"/>
  <c r="AK1152" i="1"/>
  <c r="AK1151" i="1"/>
  <c r="AK1150" i="1"/>
  <c r="AK1149" i="1"/>
  <c r="AK1148" i="1"/>
  <c r="AK1147" i="1"/>
  <c r="AK1146" i="1"/>
  <c r="AK1145" i="1"/>
  <c r="AK1144" i="1"/>
  <c r="AK1143" i="1"/>
  <c r="AK1142" i="1"/>
  <c r="AK1141" i="1"/>
  <c r="AK1140" i="1"/>
  <c r="AK1139" i="1"/>
  <c r="AK1138" i="1"/>
  <c r="AK1137" i="1"/>
  <c r="AK1136" i="1"/>
  <c r="AK1135" i="1"/>
  <c r="AK1134" i="1"/>
  <c r="AK1133" i="1"/>
  <c r="AK1132" i="1"/>
  <c r="AK1131" i="1"/>
  <c r="AK1130" i="1"/>
  <c r="AK1129" i="1"/>
  <c r="AK1128" i="1"/>
  <c r="AK1127" i="1"/>
  <c r="AK1126" i="1"/>
  <c r="AK1125" i="1"/>
  <c r="AK1124" i="1"/>
  <c r="AK1123" i="1"/>
  <c r="AK1122" i="1"/>
  <c r="AK1121" i="1"/>
  <c r="AK1120" i="1"/>
  <c r="AK1119" i="1"/>
  <c r="AK1118" i="1"/>
  <c r="AK1117" i="1"/>
  <c r="AK1116" i="1"/>
  <c r="AK1115" i="1"/>
  <c r="AK1114" i="1"/>
  <c r="AK1113" i="1"/>
  <c r="AK1112" i="1"/>
  <c r="AK1111" i="1"/>
  <c r="AK1110" i="1"/>
  <c r="AK1109" i="1"/>
  <c r="AK1108" i="1"/>
  <c r="AK1107" i="1"/>
  <c r="AK1106" i="1"/>
  <c r="AK1105" i="1"/>
  <c r="AK1104" i="1"/>
  <c r="AK1103" i="1"/>
  <c r="AK1102" i="1"/>
  <c r="AK1101" i="1"/>
  <c r="AK1100" i="1"/>
  <c r="AK1099" i="1"/>
  <c r="AK1098" i="1"/>
  <c r="AK1097" i="1"/>
  <c r="AK1096" i="1"/>
  <c r="AK1095" i="1"/>
  <c r="AK1094" i="1"/>
  <c r="AK1093" i="1"/>
  <c r="AK1092" i="1"/>
  <c r="AK1091" i="1"/>
  <c r="AK1090" i="1"/>
  <c r="AK1089" i="1"/>
  <c r="AK1088" i="1"/>
  <c r="AK1087" i="1"/>
  <c r="AK1086" i="1"/>
  <c r="AK1085" i="1"/>
  <c r="AK1084" i="1"/>
  <c r="AK1083" i="1"/>
  <c r="AK1082" i="1"/>
  <c r="AK1081" i="1"/>
  <c r="AK1080" i="1"/>
  <c r="AK1079" i="1"/>
  <c r="AK1078" i="1"/>
  <c r="AK1077" i="1"/>
  <c r="AK1076" i="1"/>
  <c r="AK1075" i="1"/>
  <c r="AK1074" i="1"/>
  <c r="AK1073" i="1"/>
  <c r="AK1072" i="1"/>
  <c r="AK1071" i="1"/>
  <c r="AK1070" i="1"/>
  <c r="AK1069" i="1"/>
  <c r="AK1068" i="1"/>
  <c r="AK1067" i="1"/>
  <c r="AK1066" i="1"/>
  <c r="AK1065" i="1"/>
  <c r="AK1064" i="1"/>
  <c r="AK1063" i="1"/>
  <c r="AK1062" i="1"/>
  <c r="AK1061" i="1"/>
  <c r="AK1060" i="1"/>
  <c r="AK1059" i="1"/>
  <c r="AK1058" i="1"/>
  <c r="AK1057" i="1"/>
  <c r="AK1056" i="1"/>
  <c r="AK1055" i="1"/>
  <c r="AK1054" i="1"/>
  <c r="AK1053" i="1"/>
  <c r="AK1052" i="1"/>
  <c r="AK1051" i="1"/>
  <c r="AK1050" i="1"/>
  <c r="AK1049" i="1"/>
  <c r="AK1048" i="1"/>
  <c r="AK1047" i="1"/>
  <c r="AK1046" i="1"/>
  <c r="AK1045" i="1"/>
  <c r="AK1044" i="1"/>
  <c r="AK1043" i="1"/>
  <c r="AK1042" i="1"/>
  <c r="AK1041" i="1"/>
  <c r="AK1040" i="1"/>
  <c r="AK1039" i="1"/>
  <c r="AK1038" i="1"/>
  <c r="AK1037" i="1"/>
  <c r="AK1036" i="1"/>
  <c r="AK1035" i="1"/>
  <c r="AK1034" i="1"/>
  <c r="AK1033" i="1"/>
  <c r="AK1032" i="1"/>
  <c r="AK1031" i="1"/>
  <c r="AK1030" i="1"/>
  <c r="AK1029" i="1"/>
  <c r="AK1028" i="1"/>
  <c r="AK1027" i="1"/>
  <c r="AK1026" i="1"/>
  <c r="AK1025" i="1"/>
  <c r="AK1024" i="1"/>
  <c r="AK1023" i="1"/>
  <c r="AK1022" i="1"/>
  <c r="AK1021" i="1"/>
  <c r="AK1020" i="1"/>
  <c r="AK1019" i="1"/>
  <c r="AK1018" i="1"/>
  <c r="AK1017" i="1"/>
  <c r="AK1016" i="1"/>
  <c r="AK1015" i="1"/>
  <c r="AK1014" i="1"/>
  <c r="AK1013" i="1"/>
  <c r="AK1012" i="1"/>
  <c r="AK1011" i="1"/>
  <c r="AK1010" i="1"/>
  <c r="AK1009" i="1"/>
  <c r="AK1008" i="1"/>
  <c r="AK1007" i="1"/>
  <c r="AK1006" i="1"/>
  <c r="AK1005" i="1"/>
  <c r="AK1004" i="1"/>
  <c r="AK1003" i="1"/>
  <c r="AK1002" i="1"/>
  <c r="AK1001" i="1"/>
  <c r="AK1000" i="1"/>
  <c r="AK999" i="1"/>
  <c r="AK998" i="1"/>
  <c r="AK997" i="1"/>
  <c r="AK996" i="1"/>
  <c r="AK995" i="1"/>
  <c r="AK994" i="1"/>
  <c r="AK993" i="1"/>
  <c r="AK992" i="1"/>
  <c r="AK991" i="1"/>
  <c r="AK990" i="1"/>
  <c r="AK989" i="1"/>
  <c r="AK988" i="1"/>
  <c r="AK987" i="1"/>
  <c r="AK986" i="1"/>
  <c r="AK985" i="1"/>
  <c r="AK984" i="1"/>
  <c r="AK983" i="1"/>
  <c r="AK982" i="1"/>
  <c r="AK981" i="1"/>
  <c r="AK980" i="1"/>
  <c r="AK979" i="1"/>
  <c r="AK978" i="1"/>
  <c r="AK977" i="1"/>
  <c r="AK976" i="1"/>
  <c r="AK975" i="1"/>
  <c r="AK974" i="1"/>
  <c r="AK973" i="1"/>
  <c r="AK972" i="1"/>
  <c r="AK971" i="1"/>
  <c r="AK970" i="1"/>
  <c r="AK969" i="1"/>
  <c r="AK968" i="1"/>
  <c r="AK967" i="1"/>
  <c r="AK966" i="1"/>
  <c r="AK965" i="1"/>
  <c r="AK964" i="1"/>
  <c r="AK963" i="1"/>
  <c r="AK962" i="1"/>
  <c r="AK961" i="1"/>
  <c r="AK960" i="1"/>
  <c r="AK959" i="1"/>
  <c r="AK958" i="1"/>
  <c r="AK957" i="1"/>
  <c r="AK956" i="1"/>
  <c r="AK955" i="1"/>
  <c r="AK954" i="1"/>
  <c r="AK953" i="1"/>
  <c r="AK952" i="1"/>
  <c r="AK951" i="1"/>
  <c r="AK950" i="1"/>
  <c r="AK949" i="1"/>
  <c r="AK948" i="1"/>
  <c r="AK947" i="1"/>
  <c r="AK946" i="1"/>
  <c r="AK945" i="1"/>
  <c r="AK944" i="1"/>
  <c r="AK943" i="1"/>
  <c r="AK942" i="1"/>
  <c r="AK941" i="1"/>
  <c r="AK940" i="1"/>
  <c r="AK939" i="1"/>
  <c r="AK938" i="1"/>
  <c r="AK937" i="1"/>
  <c r="AK936" i="1"/>
  <c r="AK935" i="1"/>
  <c r="AK934" i="1"/>
  <c r="AK933" i="1"/>
  <c r="AK932" i="1"/>
  <c r="AK931" i="1"/>
  <c r="AK930" i="1"/>
  <c r="AK929" i="1"/>
  <c r="AK928" i="1"/>
  <c r="AK927" i="1"/>
  <c r="AK926" i="1"/>
  <c r="AK925" i="1"/>
  <c r="AK924" i="1"/>
  <c r="AK923" i="1"/>
  <c r="AK922" i="1"/>
  <c r="AK921" i="1"/>
  <c r="AK920" i="1"/>
  <c r="AK919" i="1"/>
  <c r="AK918" i="1"/>
  <c r="AK917" i="1"/>
  <c r="AK916" i="1"/>
  <c r="AK915" i="1"/>
  <c r="AK914" i="1"/>
  <c r="AK913" i="1"/>
  <c r="AK912" i="1"/>
  <c r="AK911" i="1"/>
  <c r="AK910" i="1"/>
  <c r="AK909" i="1"/>
  <c r="AK908" i="1"/>
  <c r="AK907" i="1"/>
  <c r="AK906" i="1"/>
  <c r="AK905" i="1"/>
  <c r="AK904" i="1"/>
  <c r="AK903" i="1"/>
  <c r="AK902" i="1"/>
  <c r="AK901" i="1"/>
  <c r="AK900" i="1"/>
  <c r="AK899" i="1"/>
  <c r="AK898" i="1"/>
  <c r="AK897" i="1"/>
  <c r="AK896" i="1"/>
  <c r="AK895" i="1"/>
  <c r="AK894" i="1"/>
  <c r="AK893" i="1"/>
  <c r="AK892" i="1"/>
  <c r="AK891" i="1"/>
  <c r="AK890" i="1"/>
  <c r="AK889" i="1"/>
  <c r="AK888" i="1"/>
  <c r="AK887" i="1"/>
  <c r="AK886" i="1"/>
  <c r="AK885" i="1"/>
  <c r="AK884" i="1"/>
  <c r="AK883" i="1"/>
  <c r="AK882" i="1"/>
  <c r="AK881" i="1"/>
  <c r="AK880" i="1"/>
  <c r="AK879" i="1"/>
  <c r="AK878" i="1"/>
  <c r="AK877" i="1"/>
  <c r="AK876" i="1"/>
  <c r="AK875" i="1"/>
  <c r="AK874" i="1"/>
  <c r="AK873" i="1"/>
  <c r="AK872" i="1"/>
  <c r="AK871" i="1"/>
  <c r="AK870" i="1"/>
  <c r="AK869" i="1"/>
  <c r="AK868" i="1"/>
  <c r="AK867" i="1"/>
  <c r="AK866" i="1"/>
  <c r="AK865" i="1"/>
  <c r="AK864" i="1"/>
  <c r="AK863" i="1"/>
  <c r="AK862" i="1"/>
  <c r="AK861" i="1"/>
  <c r="AK860" i="1"/>
  <c r="AK859" i="1"/>
  <c r="AK858" i="1"/>
  <c r="AK857" i="1"/>
  <c r="AK856" i="1"/>
  <c r="AK855" i="1"/>
  <c r="AK854" i="1"/>
  <c r="AK853" i="1"/>
  <c r="AK852" i="1"/>
  <c r="AK851" i="1"/>
  <c r="AK850" i="1"/>
  <c r="AK849" i="1"/>
  <c r="AK848" i="1"/>
  <c r="AK847" i="1"/>
  <c r="AK846" i="1"/>
  <c r="AK845" i="1"/>
  <c r="AK844" i="1"/>
  <c r="AK843" i="1"/>
  <c r="AK842" i="1"/>
  <c r="AK841" i="1"/>
  <c r="AK840" i="1"/>
  <c r="AK839" i="1"/>
  <c r="AK838" i="1"/>
  <c r="AK837" i="1"/>
  <c r="AK836" i="1"/>
  <c r="AK835" i="1"/>
  <c r="AK834" i="1"/>
  <c r="AK833" i="1"/>
  <c r="AK832" i="1"/>
  <c r="AK831" i="1"/>
  <c r="AK830" i="1"/>
  <c r="AK829" i="1"/>
  <c r="AK828" i="1"/>
  <c r="AK827" i="1"/>
  <c r="AK826" i="1"/>
  <c r="AK825" i="1"/>
  <c r="AK824" i="1"/>
  <c r="AK823" i="1"/>
  <c r="AK822" i="1"/>
  <c r="AK821" i="1"/>
  <c r="AK820" i="1"/>
  <c r="AK819" i="1"/>
  <c r="AK818" i="1"/>
  <c r="AK817" i="1"/>
  <c r="AK816" i="1"/>
  <c r="AK815" i="1"/>
  <c r="AK814" i="1"/>
  <c r="AK813" i="1"/>
  <c r="AK812" i="1"/>
  <c r="AK811" i="1"/>
  <c r="AK810" i="1"/>
  <c r="AK809" i="1"/>
  <c r="AK808" i="1"/>
  <c r="AK807" i="1"/>
  <c r="AK806" i="1"/>
  <c r="AK805" i="1"/>
  <c r="AK804" i="1"/>
  <c r="AK803" i="1"/>
  <c r="AK802" i="1"/>
  <c r="AK801" i="1"/>
  <c r="AK800" i="1"/>
  <c r="AK799" i="1"/>
  <c r="AK798" i="1"/>
  <c r="AK797" i="1"/>
  <c r="AK796" i="1"/>
  <c r="AK795" i="1"/>
  <c r="AK794" i="1"/>
  <c r="AK793" i="1"/>
  <c r="AK792" i="1"/>
  <c r="AK791" i="1"/>
  <c r="AK790" i="1"/>
  <c r="AK789" i="1"/>
  <c r="AK788" i="1"/>
  <c r="AK787" i="1"/>
  <c r="AK786" i="1"/>
  <c r="AK785" i="1"/>
  <c r="AK784" i="1"/>
  <c r="AK783" i="1"/>
  <c r="AK782" i="1"/>
  <c r="AK781" i="1"/>
  <c r="AK780" i="1"/>
  <c r="AK779" i="1"/>
  <c r="AK778" i="1"/>
  <c r="AK777" i="1"/>
  <c r="AK776" i="1"/>
  <c r="AK775" i="1"/>
  <c r="AK774" i="1"/>
  <c r="AK773" i="1"/>
  <c r="AK772" i="1"/>
  <c r="AK771" i="1"/>
  <c r="AK770" i="1"/>
  <c r="AK769" i="1"/>
  <c r="AK768" i="1"/>
  <c r="AK767" i="1"/>
  <c r="AK766" i="1"/>
  <c r="AK765" i="1"/>
  <c r="AK764" i="1"/>
  <c r="AK763" i="1"/>
  <c r="AK762" i="1"/>
  <c r="AK761" i="1"/>
  <c r="AK760" i="1"/>
  <c r="AK759" i="1"/>
  <c r="AK758" i="1"/>
  <c r="AK757" i="1"/>
  <c r="AK756" i="1"/>
  <c r="AK755" i="1"/>
  <c r="AK754" i="1"/>
  <c r="AK753" i="1"/>
  <c r="AK752" i="1"/>
  <c r="AK751" i="1"/>
  <c r="AK750" i="1"/>
  <c r="AK749" i="1"/>
  <c r="AK748" i="1"/>
  <c r="AK747" i="1"/>
  <c r="AK746" i="1"/>
  <c r="AK745" i="1"/>
  <c r="AK744" i="1"/>
  <c r="AK743" i="1"/>
  <c r="AK742" i="1"/>
  <c r="AK741" i="1"/>
  <c r="AK740" i="1"/>
  <c r="AK739" i="1"/>
  <c r="AK738" i="1"/>
  <c r="AK737" i="1"/>
  <c r="AK736" i="1"/>
  <c r="AK735" i="1"/>
  <c r="AK734" i="1"/>
  <c r="AK733" i="1"/>
  <c r="AK732" i="1"/>
  <c r="AK731" i="1"/>
  <c r="AK730" i="1"/>
  <c r="AK729" i="1"/>
  <c r="AK728" i="1"/>
  <c r="AK727" i="1"/>
  <c r="AK726" i="1"/>
  <c r="AK725" i="1"/>
  <c r="AK724" i="1"/>
  <c r="AK723" i="1"/>
  <c r="AK722" i="1"/>
  <c r="AK721" i="1"/>
  <c r="AK720" i="1"/>
  <c r="AK719" i="1"/>
  <c r="AK718" i="1"/>
  <c r="AK717" i="1"/>
  <c r="AK716" i="1"/>
  <c r="AK715" i="1"/>
  <c r="AK714" i="1"/>
  <c r="AK713" i="1"/>
  <c r="AK712" i="1"/>
  <c r="AK711" i="1"/>
  <c r="AK710" i="1"/>
  <c r="AK709" i="1"/>
  <c r="AK708" i="1"/>
  <c r="AK707" i="1"/>
  <c r="AK706" i="1"/>
  <c r="AK705" i="1"/>
  <c r="AK704" i="1"/>
  <c r="AK703" i="1"/>
  <c r="AK702" i="1"/>
  <c r="AK701" i="1"/>
  <c r="AK700" i="1"/>
  <c r="AK699" i="1"/>
  <c r="AK698" i="1"/>
  <c r="AK697" i="1"/>
  <c r="AK696" i="1"/>
  <c r="AK695" i="1"/>
  <c r="AK694" i="1"/>
  <c r="AK693" i="1"/>
  <c r="AK692" i="1"/>
  <c r="AK691" i="1"/>
  <c r="AK690" i="1"/>
  <c r="AK689" i="1"/>
  <c r="AK688" i="1"/>
  <c r="AK687" i="1"/>
  <c r="AK686" i="1"/>
  <c r="AK685" i="1"/>
  <c r="AK684" i="1"/>
  <c r="AK683" i="1"/>
  <c r="AK682" i="1"/>
  <c r="AK681" i="1"/>
  <c r="AK680" i="1"/>
  <c r="AK679" i="1"/>
  <c r="AK678" i="1"/>
  <c r="AK677" i="1"/>
  <c r="AK676" i="1"/>
  <c r="AK675" i="1"/>
  <c r="AK674" i="1"/>
  <c r="AK673" i="1"/>
  <c r="AK672" i="1"/>
  <c r="AK671" i="1"/>
  <c r="AK670" i="1"/>
  <c r="AK669" i="1"/>
  <c r="AK668" i="1"/>
  <c r="AK667" i="1"/>
  <c r="AK666" i="1"/>
  <c r="AK665" i="1"/>
  <c r="AK664" i="1"/>
  <c r="AK663" i="1"/>
  <c r="AK662" i="1"/>
  <c r="AK661" i="1"/>
  <c r="AK660" i="1"/>
  <c r="AK659" i="1"/>
  <c r="AK658" i="1"/>
  <c r="AK657" i="1"/>
  <c r="AK656" i="1"/>
  <c r="AK655" i="1"/>
  <c r="AK654" i="1"/>
  <c r="AK653" i="1"/>
  <c r="AK652" i="1"/>
  <c r="AK651" i="1"/>
  <c r="AK650" i="1"/>
  <c r="AK649" i="1"/>
  <c r="AK648" i="1"/>
  <c r="AK647" i="1"/>
  <c r="AK646" i="1"/>
  <c r="AK645" i="1"/>
  <c r="AK644" i="1"/>
  <c r="AK643" i="1"/>
  <c r="AK642" i="1"/>
  <c r="AK641" i="1"/>
  <c r="AK640" i="1"/>
  <c r="AK639" i="1"/>
  <c r="AK638" i="1"/>
  <c r="AK637" i="1"/>
  <c r="AK636" i="1"/>
  <c r="AK635" i="1"/>
  <c r="AK634" i="1"/>
  <c r="AK633" i="1"/>
  <c r="AK632" i="1"/>
  <c r="AK631" i="1"/>
  <c r="AK630" i="1"/>
  <c r="AK629" i="1"/>
  <c r="AK628" i="1"/>
  <c r="AK627" i="1"/>
  <c r="AK626" i="1"/>
  <c r="AK625" i="1"/>
  <c r="AK624" i="1"/>
  <c r="AK623" i="1"/>
  <c r="AK622" i="1"/>
  <c r="AK621" i="1"/>
  <c r="AK620" i="1"/>
  <c r="AK619" i="1"/>
  <c r="AK618" i="1"/>
  <c r="AK617" i="1"/>
  <c r="AK616" i="1"/>
  <c r="AK615" i="1"/>
  <c r="AK614" i="1"/>
  <c r="AK613" i="1"/>
  <c r="AK612" i="1"/>
  <c r="AK611" i="1"/>
  <c r="AK610" i="1"/>
  <c r="AK609" i="1"/>
  <c r="AK608" i="1"/>
  <c r="AK607" i="1"/>
  <c r="AK606" i="1"/>
  <c r="AK605" i="1"/>
  <c r="AK604" i="1"/>
  <c r="AK603" i="1"/>
  <c r="AK602" i="1"/>
  <c r="AK601" i="1"/>
  <c r="AK600" i="1"/>
  <c r="AK599" i="1"/>
  <c r="AK598" i="1"/>
  <c r="AK597" i="1"/>
  <c r="AK596" i="1"/>
  <c r="AK595" i="1"/>
  <c r="AK594" i="1"/>
  <c r="AK593" i="1"/>
  <c r="AK592" i="1"/>
  <c r="AK591" i="1"/>
  <c r="AK590" i="1"/>
  <c r="AK589" i="1"/>
  <c r="AK588" i="1"/>
  <c r="AK587" i="1"/>
  <c r="AK586" i="1"/>
  <c r="AK585" i="1"/>
  <c r="AK584" i="1"/>
  <c r="AK583" i="1"/>
  <c r="AK582" i="1"/>
  <c r="AK581" i="1"/>
  <c r="AK580" i="1"/>
  <c r="AK579" i="1"/>
  <c r="AK578" i="1"/>
  <c r="AK577" i="1"/>
  <c r="AK576" i="1"/>
  <c r="AK575" i="1"/>
  <c r="AK574" i="1"/>
  <c r="AK573" i="1"/>
  <c r="AK572" i="1"/>
  <c r="AK571" i="1"/>
  <c r="AK570" i="1"/>
  <c r="AK569" i="1"/>
  <c r="AK568" i="1"/>
  <c r="AK567" i="1"/>
  <c r="AK566" i="1"/>
  <c r="AK565" i="1"/>
  <c r="AK564" i="1"/>
  <c r="AK563" i="1"/>
  <c r="AK562" i="1"/>
  <c r="AK561" i="1"/>
  <c r="AK560" i="1"/>
  <c r="AK559" i="1"/>
  <c r="AK558" i="1"/>
  <c r="AK557" i="1"/>
  <c r="AK556" i="1"/>
  <c r="AK555" i="1"/>
  <c r="AK554" i="1"/>
  <c r="AK553" i="1"/>
  <c r="AK552" i="1"/>
  <c r="AK551" i="1"/>
  <c r="AK550" i="1"/>
  <c r="AK549" i="1"/>
  <c r="AK548" i="1"/>
  <c r="AK547" i="1"/>
  <c r="AK546" i="1"/>
  <c r="AK545" i="1"/>
  <c r="AK544" i="1"/>
  <c r="AK543" i="1"/>
  <c r="AK542" i="1"/>
  <c r="AK541" i="1"/>
  <c r="AK540" i="1"/>
  <c r="AK539" i="1"/>
  <c r="AK538" i="1"/>
  <c r="AK537" i="1"/>
  <c r="AK536" i="1"/>
  <c r="AK535" i="1"/>
  <c r="AK534" i="1"/>
  <c r="AK533" i="1"/>
  <c r="AK532" i="1"/>
  <c r="AK531" i="1"/>
  <c r="AK530" i="1"/>
  <c r="AK529" i="1"/>
  <c r="AK528" i="1"/>
  <c r="AK527" i="1"/>
  <c r="AK526" i="1"/>
  <c r="AK525" i="1"/>
  <c r="AK524" i="1"/>
  <c r="AK523" i="1"/>
  <c r="AK522" i="1"/>
  <c r="AK521" i="1"/>
  <c r="AK520" i="1"/>
  <c r="AK519" i="1"/>
  <c r="AK518" i="1"/>
  <c r="AK517" i="1"/>
  <c r="AK516" i="1"/>
  <c r="AK515" i="1"/>
  <c r="AK514" i="1"/>
  <c r="AK513" i="1"/>
  <c r="AK512" i="1"/>
  <c r="AK511" i="1"/>
  <c r="AK510" i="1"/>
  <c r="AK509" i="1"/>
  <c r="AK508" i="1"/>
  <c r="AK507" i="1"/>
  <c r="AK506" i="1"/>
  <c r="AK505" i="1"/>
  <c r="AK504" i="1"/>
  <c r="AK503" i="1"/>
  <c r="AK502" i="1"/>
  <c r="AK501" i="1"/>
  <c r="AK500" i="1"/>
  <c r="AK499" i="1"/>
  <c r="AK498" i="1"/>
  <c r="AK497" i="1"/>
  <c r="AK496" i="1"/>
  <c r="AK495" i="1"/>
  <c r="AK494" i="1"/>
  <c r="AK493" i="1"/>
  <c r="AK492" i="1"/>
  <c r="AK491" i="1"/>
  <c r="AK490" i="1"/>
  <c r="AK489" i="1"/>
  <c r="AK488" i="1"/>
  <c r="AK487" i="1"/>
  <c r="AK486" i="1"/>
  <c r="AK485" i="1"/>
  <c r="AK484" i="1"/>
  <c r="AK483" i="1"/>
  <c r="AK482" i="1"/>
  <c r="AK481" i="1"/>
  <c r="AK480" i="1"/>
  <c r="AK479" i="1"/>
  <c r="AK478" i="1"/>
  <c r="AK477" i="1"/>
  <c r="AK476" i="1"/>
  <c r="AK475" i="1"/>
  <c r="AK474" i="1"/>
  <c r="AK473" i="1"/>
  <c r="AK472" i="1"/>
  <c r="AK471" i="1"/>
  <c r="AK470" i="1"/>
  <c r="AK469" i="1"/>
  <c r="AK468" i="1"/>
  <c r="AK467" i="1"/>
  <c r="AK466" i="1"/>
  <c r="AK465" i="1"/>
  <c r="AK464" i="1"/>
  <c r="AK463" i="1"/>
  <c r="AK462" i="1"/>
  <c r="AK461" i="1"/>
  <c r="AK460" i="1"/>
  <c r="AK459" i="1"/>
  <c r="AK458" i="1"/>
  <c r="AK457" i="1"/>
  <c r="AK456" i="1"/>
  <c r="AK455" i="1"/>
  <c r="AK454" i="1"/>
  <c r="AK453" i="1"/>
  <c r="AK452" i="1"/>
  <c r="AK451" i="1"/>
  <c r="AK450" i="1"/>
  <c r="AK449" i="1"/>
  <c r="AK448" i="1"/>
  <c r="AK447" i="1"/>
  <c r="AK446" i="1"/>
  <c r="AK445" i="1"/>
  <c r="AK444" i="1"/>
  <c r="AK443" i="1"/>
  <c r="AK442" i="1"/>
  <c r="AK441" i="1"/>
  <c r="AK440" i="1"/>
  <c r="AK439" i="1"/>
  <c r="AK438" i="1"/>
  <c r="AK437" i="1"/>
  <c r="AK436" i="1"/>
  <c r="AK435" i="1"/>
  <c r="AK434" i="1"/>
  <c r="AK433" i="1"/>
  <c r="AK432" i="1"/>
  <c r="AK431" i="1"/>
  <c r="AK430" i="1"/>
  <c r="AK429" i="1"/>
  <c r="AK428" i="1"/>
  <c r="AK427" i="1"/>
  <c r="AK426" i="1"/>
  <c r="AK425" i="1"/>
  <c r="AK424" i="1"/>
  <c r="AK423" i="1"/>
  <c r="AK422" i="1"/>
  <c r="AK421" i="1"/>
  <c r="AK420" i="1"/>
  <c r="AK419" i="1"/>
  <c r="AK418" i="1"/>
  <c r="AK417" i="1"/>
  <c r="AK416" i="1"/>
  <c r="AK415" i="1"/>
  <c r="AK414" i="1"/>
  <c r="AK413" i="1"/>
  <c r="AK412" i="1"/>
  <c r="AK411" i="1"/>
  <c r="AK410" i="1"/>
  <c r="AK409" i="1"/>
  <c r="AK408" i="1"/>
  <c r="AK407" i="1"/>
  <c r="AK406" i="1"/>
  <c r="AK405" i="1"/>
  <c r="AK404" i="1"/>
  <c r="AK403" i="1"/>
  <c r="AK402" i="1"/>
  <c r="AK401" i="1"/>
  <c r="AK400" i="1"/>
  <c r="AK399" i="1"/>
  <c r="AK398" i="1"/>
  <c r="AK397" i="1"/>
  <c r="AK396" i="1"/>
  <c r="AK395" i="1"/>
  <c r="AK394" i="1"/>
  <c r="AK393" i="1"/>
  <c r="AK392" i="1"/>
  <c r="AK391" i="1"/>
  <c r="AK390" i="1"/>
  <c r="AK389" i="1"/>
  <c r="AK388" i="1"/>
  <c r="AK387" i="1"/>
  <c r="AK386" i="1"/>
  <c r="AK385" i="1"/>
  <c r="AK384" i="1"/>
  <c r="AK383" i="1"/>
  <c r="AK382" i="1"/>
  <c r="AK381" i="1"/>
  <c r="AK380" i="1"/>
  <c r="AK379" i="1"/>
  <c r="AK378" i="1"/>
  <c r="AK377" i="1"/>
  <c r="AK376" i="1"/>
  <c r="AK375" i="1"/>
  <c r="AK374" i="1"/>
  <c r="AK373" i="1"/>
  <c r="AK372" i="1"/>
  <c r="AK371" i="1"/>
  <c r="AK370" i="1"/>
  <c r="AK369" i="1"/>
  <c r="AK368" i="1"/>
  <c r="AK367" i="1"/>
  <c r="AK366" i="1"/>
  <c r="AK365" i="1"/>
  <c r="AK364" i="1"/>
  <c r="AK363" i="1"/>
  <c r="AK362" i="1"/>
  <c r="AK361" i="1"/>
  <c r="AK360" i="1"/>
  <c r="AK359" i="1"/>
  <c r="AK358" i="1"/>
  <c r="AK357" i="1"/>
  <c r="AK356" i="1"/>
  <c r="AK355" i="1"/>
  <c r="AK354" i="1"/>
  <c r="AK353" i="1"/>
  <c r="AK352" i="1"/>
  <c r="AK351" i="1"/>
  <c r="AK350" i="1"/>
  <c r="AK349" i="1"/>
  <c r="AK348" i="1"/>
  <c r="AK347" i="1"/>
  <c r="AK346" i="1"/>
  <c r="AK345" i="1"/>
  <c r="AK344" i="1"/>
  <c r="AK343" i="1"/>
  <c r="AK342" i="1"/>
  <c r="AK341" i="1"/>
  <c r="AK340" i="1"/>
  <c r="AK339" i="1"/>
  <c r="AK338" i="1"/>
  <c r="AK337" i="1"/>
  <c r="AK336" i="1"/>
  <c r="AK335" i="1"/>
  <c r="AK334" i="1"/>
  <c r="AK333" i="1"/>
  <c r="AK332" i="1"/>
  <c r="AK331" i="1"/>
  <c r="AK330" i="1"/>
  <c r="AK329" i="1"/>
  <c r="AK328" i="1"/>
  <c r="AK327" i="1"/>
  <c r="AK326" i="1"/>
  <c r="AK325" i="1"/>
  <c r="AK324" i="1"/>
  <c r="AK323" i="1"/>
  <c r="AK322" i="1"/>
  <c r="AK321" i="1"/>
  <c r="AK320" i="1"/>
  <c r="AK319" i="1"/>
  <c r="AK318" i="1"/>
  <c r="AK317" i="1"/>
  <c r="AK316" i="1"/>
  <c r="AK315" i="1"/>
  <c r="AK314" i="1"/>
  <c r="AK313" i="1"/>
  <c r="AK312" i="1"/>
  <c r="AK311" i="1"/>
  <c r="AK310" i="1"/>
  <c r="AK309" i="1"/>
  <c r="AK308" i="1"/>
  <c r="AK307" i="1"/>
  <c r="AK306" i="1"/>
  <c r="AK305" i="1"/>
  <c r="AK304" i="1"/>
  <c r="AK303" i="1"/>
  <c r="AK302" i="1"/>
  <c r="AK301" i="1"/>
  <c r="AK300" i="1"/>
  <c r="AK299" i="1"/>
  <c r="AK298" i="1"/>
  <c r="AK297" i="1"/>
  <c r="AK296" i="1"/>
  <c r="AK295" i="1"/>
  <c r="AK294" i="1"/>
  <c r="AK293" i="1"/>
  <c r="AK292" i="1"/>
  <c r="AK291" i="1"/>
  <c r="AK290" i="1"/>
  <c r="AK289" i="1"/>
  <c r="AK288" i="1"/>
  <c r="AK287" i="1"/>
  <c r="AK286" i="1"/>
  <c r="AK285" i="1"/>
  <c r="AK284" i="1"/>
  <c r="AK283" i="1"/>
  <c r="AK282" i="1"/>
  <c r="AK281" i="1"/>
  <c r="AK280" i="1"/>
  <c r="AK279" i="1"/>
  <c r="AK278" i="1"/>
  <c r="AK277" i="1"/>
  <c r="AK276" i="1"/>
  <c r="AK275" i="1"/>
  <c r="AK274" i="1"/>
  <c r="AK273" i="1"/>
  <c r="AK272" i="1"/>
  <c r="AK271" i="1"/>
  <c r="AK270" i="1"/>
  <c r="AK269" i="1"/>
  <c r="AK268" i="1"/>
  <c r="AK267" i="1"/>
  <c r="AK266" i="1"/>
  <c r="AK265" i="1"/>
  <c r="AK264" i="1"/>
  <c r="AK263" i="1"/>
  <c r="AK262" i="1"/>
  <c r="AK261" i="1"/>
  <c r="AK260" i="1"/>
  <c r="AK259" i="1"/>
  <c r="AK258" i="1"/>
  <c r="AK257" i="1"/>
  <c r="AK256" i="1"/>
  <c r="AK255" i="1"/>
  <c r="AK254" i="1"/>
  <c r="AK253" i="1"/>
  <c r="AK252" i="1"/>
  <c r="AK251" i="1"/>
  <c r="AK250" i="1"/>
  <c r="AK249" i="1"/>
  <c r="AK248" i="1"/>
  <c r="AK247" i="1"/>
  <c r="AK246" i="1"/>
  <c r="AK245" i="1"/>
  <c r="AK244" i="1"/>
  <c r="AK243" i="1"/>
  <c r="AK242" i="1"/>
  <c r="AK241" i="1"/>
  <c r="AK240" i="1"/>
  <c r="AK239" i="1"/>
  <c r="AK238" i="1"/>
  <c r="AK237" i="1"/>
  <c r="AK236" i="1"/>
  <c r="AK235" i="1"/>
  <c r="AK234" i="1"/>
  <c r="AK233" i="1"/>
  <c r="AK232" i="1"/>
  <c r="AK231" i="1"/>
  <c r="AK230" i="1"/>
  <c r="AK229" i="1"/>
  <c r="AK228" i="1"/>
  <c r="AK227" i="1"/>
  <c r="AK226" i="1"/>
  <c r="AK225" i="1"/>
  <c r="AK224" i="1"/>
  <c r="AK223" i="1"/>
  <c r="AK222" i="1"/>
  <c r="AK221" i="1"/>
  <c r="AK220" i="1"/>
  <c r="AK219" i="1"/>
  <c r="AK218" i="1"/>
  <c r="AK217" i="1"/>
  <c r="AK216" i="1"/>
  <c r="AK215" i="1"/>
  <c r="AK214" i="1"/>
  <c r="AK213" i="1"/>
  <c r="AK212" i="1"/>
  <c r="AK211" i="1"/>
  <c r="AK210" i="1"/>
  <c r="AK209" i="1"/>
  <c r="AK208" i="1"/>
  <c r="AK207" i="1"/>
  <c r="AK206" i="1"/>
  <c r="AK205" i="1"/>
  <c r="AK204" i="1"/>
  <c r="AK203" i="1"/>
  <c r="AK202" i="1"/>
  <c r="AK201" i="1"/>
  <c r="AK200" i="1"/>
  <c r="AK199" i="1"/>
  <c r="AK198" i="1"/>
  <c r="AK197" i="1"/>
  <c r="AK196" i="1"/>
  <c r="AK195" i="1"/>
  <c r="AK194" i="1"/>
  <c r="AK193" i="1"/>
  <c r="AK192" i="1"/>
  <c r="AK191" i="1"/>
  <c r="AK190" i="1"/>
  <c r="AK189" i="1"/>
  <c r="AK188" i="1"/>
  <c r="AK187" i="1"/>
  <c r="AK186" i="1"/>
  <c r="AK185" i="1"/>
  <c r="AK184" i="1"/>
  <c r="AK183" i="1"/>
  <c r="AK182" i="1"/>
  <c r="AK181" i="1"/>
  <c r="AK180" i="1"/>
  <c r="AK179" i="1"/>
  <c r="AK178" i="1"/>
  <c r="AK177" i="1"/>
  <c r="AK176" i="1"/>
  <c r="AK175" i="1"/>
  <c r="AK174" i="1"/>
  <c r="AK173" i="1"/>
  <c r="AK172" i="1"/>
  <c r="AK171" i="1"/>
  <c r="AK170" i="1"/>
  <c r="AK169" i="1"/>
  <c r="AK168" i="1"/>
  <c r="AK167" i="1"/>
  <c r="AK166" i="1"/>
  <c r="AK165" i="1"/>
  <c r="AK164" i="1"/>
  <c r="AK163" i="1"/>
  <c r="AK162" i="1"/>
  <c r="AK161" i="1"/>
  <c r="AK160" i="1"/>
  <c r="AK159" i="1"/>
  <c r="AK158" i="1"/>
  <c r="AK157" i="1"/>
  <c r="AK156" i="1"/>
  <c r="AK155" i="1"/>
  <c r="AK154" i="1"/>
  <c r="AK153" i="1"/>
  <c r="AK152" i="1"/>
  <c r="AK151" i="1"/>
  <c r="AK150" i="1"/>
  <c r="AK149" i="1"/>
  <c r="AK148" i="1"/>
  <c r="AK147" i="1"/>
  <c r="AK146" i="1"/>
  <c r="AK145" i="1"/>
  <c r="AK144" i="1"/>
  <c r="AK143" i="1"/>
  <c r="AK142" i="1"/>
  <c r="AK141" i="1"/>
  <c r="AK140" i="1"/>
  <c r="AK139" i="1"/>
  <c r="AK138" i="1"/>
  <c r="AK137" i="1"/>
  <c r="AK136" i="1"/>
  <c r="AK135" i="1"/>
  <c r="AK134" i="1"/>
  <c r="AK133" i="1"/>
  <c r="AK132" i="1"/>
  <c r="AK131" i="1"/>
  <c r="AK130" i="1"/>
  <c r="AK129" i="1"/>
  <c r="AK128" i="1"/>
  <c r="AK127" i="1"/>
  <c r="AK126" i="1"/>
  <c r="AK125" i="1"/>
  <c r="AK124" i="1"/>
  <c r="AK123" i="1"/>
  <c r="AK122" i="1"/>
  <c r="AK121" i="1"/>
  <c r="AK120" i="1"/>
  <c r="AK119" i="1"/>
  <c r="AK118" i="1"/>
  <c r="AK117" i="1"/>
  <c r="AK116" i="1"/>
  <c r="AK115" i="1"/>
  <c r="AK114" i="1"/>
  <c r="AK113" i="1"/>
  <c r="AK112" i="1"/>
  <c r="AK111" i="1"/>
  <c r="AK110" i="1"/>
  <c r="AK109" i="1"/>
  <c r="AK108" i="1"/>
  <c r="AK107" i="1"/>
  <c r="AK106" i="1"/>
  <c r="AK105" i="1"/>
  <c r="AK104" i="1"/>
  <c r="AK103" i="1"/>
  <c r="AK102" i="1"/>
  <c r="AK101" i="1"/>
  <c r="AK100" i="1"/>
  <c r="AK99" i="1"/>
  <c r="AK98" i="1"/>
  <c r="AK97" i="1"/>
  <c r="AK96" i="1"/>
  <c r="AK95" i="1"/>
  <c r="AK94" i="1"/>
  <c r="AK93" i="1"/>
  <c r="AK92" i="1"/>
  <c r="AK91" i="1"/>
  <c r="AK90" i="1"/>
  <c r="AK89" i="1"/>
  <c r="AK88" i="1"/>
  <c r="AK87" i="1"/>
  <c r="AK86" i="1"/>
  <c r="AK85" i="1"/>
  <c r="AK84" i="1"/>
  <c r="AK83" i="1"/>
  <c r="AK82" i="1"/>
  <c r="AK81" i="1"/>
  <c r="AK80" i="1"/>
  <c r="AK79" i="1"/>
  <c r="AK78" i="1"/>
  <c r="AK77" i="1"/>
  <c r="AK76" i="1"/>
  <c r="AK75" i="1"/>
  <c r="AK74" i="1"/>
  <c r="AK73" i="1"/>
  <c r="AK72" i="1"/>
  <c r="AK71" i="1"/>
  <c r="AK70" i="1"/>
  <c r="AK69" i="1"/>
  <c r="AK68" i="1"/>
  <c r="AK67" i="1"/>
  <c r="AK66" i="1"/>
  <c r="AK65" i="1"/>
  <c r="AK64" i="1"/>
  <c r="AK63" i="1"/>
  <c r="AK62" i="1"/>
  <c r="AK61" i="1"/>
  <c r="AK60" i="1"/>
  <c r="AK59" i="1"/>
  <c r="AK58" i="1"/>
  <c r="AK57" i="1"/>
  <c r="AK56" i="1"/>
  <c r="AK55" i="1"/>
  <c r="AK54" i="1"/>
  <c r="AK53" i="1"/>
  <c r="AK52" i="1"/>
  <c r="AK51" i="1"/>
  <c r="AK50" i="1"/>
  <c r="AK49" i="1"/>
  <c r="AK48" i="1"/>
  <c r="AK47" i="1"/>
  <c r="AK46" i="1"/>
  <c r="AK45" i="1"/>
  <c r="AK44" i="1"/>
  <c r="AK43" i="1"/>
  <c r="AK42" i="1"/>
  <c r="AK41" i="1"/>
  <c r="AK40" i="1"/>
  <c r="AK39" i="1"/>
  <c r="AK38" i="1"/>
  <c r="AK37" i="1"/>
  <c r="AK36" i="1"/>
  <c r="AK35" i="1"/>
  <c r="AK34" i="1"/>
  <c r="AK33" i="1"/>
  <c r="AK32" i="1"/>
  <c r="AK31" i="1"/>
  <c r="AK30" i="1"/>
  <c r="AK29" i="1"/>
  <c r="AK28" i="1"/>
  <c r="AK27" i="1"/>
  <c r="AK26" i="1"/>
  <c r="AK25" i="1"/>
  <c r="AK24" i="1"/>
  <c r="AK23" i="1"/>
  <c r="AK22" i="1"/>
  <c r="AK21" i="1"/>
  <c r="AK20" i="1"/>
  <c r="AK19" i="1"/>
  <c r="AK18" i="1"/>
  <c r="AK17" i="1"/>
  <c r="AK16" i="1"/>
  <c r="AK15" i="1"/>
  <c r="AK14" i="1"/>
  <c r="AK13" i="1"/>
  <c r="AK12" i="1"/>
  <c r="AK11" i="1"/>
  <c r="AK10" i="1"/>
  <c r="AK9" i="1"/>
  <c r="AK8" i="1"/>
  <c r="AK7" i="1"/>
  <c r="AK6" i="1"/>
  <c r="AK5" i="1"/>
  <c r="AK4" i="1"/>
  <c r="AK3" i="1"/>
  <c r="AK2" i="1"/>
</calcChain>
</file>

<file path=xl/sharedStrings.xml><?xml version="1.0" encoding="utf-8"?>
<sst xmlns="http://schemas.openxmlformats.org/spreadsheetml/2006/main" count="29776" uniqueCount="6493">
  <si>
    <t>Order ID</t>
  </si>
  <si>
    <t>Order date</t>
  </si>
  <si>
    <t>Return request date</t>
  </si>
  <si>
    <t>Return request status</t>
  </si>
  <si>
    <t>Amazon RMA ID</t>
  </si>
  <si>
    <t>Merchant RMA ID</t>
  </si>
  <si>
    <t>Label type</t>
  </si>
  <si>
    <t>Label cost</t>
  </si>
  <si>
    <t>Currency code</t>
  </si>
  <si>
    <t>Return carrier</t>
  </si>
  <si>
    <t>Tracking ID</t>
  </si>
  <si>
    <t>Label to be paid by</t>
  </si>
  <si>
    <t>A-to-Z Claim</t>
  </si>
  <si>
    <t>Is prime</t>
  </si>
  <si>
    <t>ASIN</t>
  </si>
  <si>
    <t>Merchant SKU</t>
  </si>
  <si>
    <t>Item Name</t>
  </si>
  <si>
    <t>Return quantity</t>
  </si>
  <si>
    <t>Return Reason</t>
  </si>
  <si>
    <t>In policy</t>
  </si>
  <si>
    <t>Return type</t>
  </si>
  <si>
    <t>Resolution</t>
  </si>
  <si>
    <t>Invoice number</t>
  </si>
  <si>
    <t>Return delivery date</t>
  </si>
  <si>
    <t>Order Amount</t>
  </si>
  <si>
    <t>Order quantity</t>
  </si>
  <si>
    <t>SafeT Action reason</t>
  </si>
  <si>
    <t>SafeT claim id</t>
  </si>
  <si>
    <t>SafeT claim state</t>
  </si>
  <si>
    <t>SafeT claim creation time</t>
  </si>
  <si>
    <t>SafeT claim reimbursement amount</t>
  </si>
  <si>
    <t>Refunded Amount</t>
  </si>
  <si>
    <t>Returns</t>
  </si>
  <si>
    <t>Orders</t>
  </si>
  <si>
    <t>Return Rate</t>
  </si>
  <si>
    <t>PO Original Replacement</t>
  </si>
  <si>
    <t>Claim Status</t>
  </si>
  <si>
    <t>Safe-T Status</t>
  </si>
  <si>
    <t>Customer Reason</t>
  </si>
  <si>
    <t>Coments</t>
  </si>
  <si>
    <t>113-9571925-3879466</t>
  </si>
  <si>
    <t>Approved</t>
  </si>
  <si>
    <t>Drjx25LkRRMA</t>
  </si>
  <si>
    <t>AmazonPrePaidLabel</t>
  </si>
  <si>
    <t>USD</t>
  </si>
  <si>
    <t>UPS</t>
  </si>
  <si>
    <t>1ZH92F629092114900</t>
  </si>
  <si>
    <t>Seller</t>
  </si>
  <si>
    <t>N</t>
  </si>
  <si>
    <t>B00EELM7PM</t>
  </si>
  <si>
    <t>AL-KS-WCHC-3277-17CH</t>
  </si>
  <si>
    <t>17 inch Hubcaps Compatible with 2008-2011 Chevrolet Malibu &amp; 2007-2010 Pontiac G6 - Set of 4 Wheel Cover Hub Caps for Standard Steel Rims, Chrome - Screw-on Lugs</t>
  </si>
  <si>
    <t>AMZ-PG-BAD-DESC</t>
  </si>
  <si>
    <t>Y</t>
  </si>
  <si>
    <t>C-Returns</t>
  </si>
  <si>
    <t>RefundAtFirstScan</t>
  </si>
  <si>
    <t>114-1453510-7529807</t>
  </si>
  <si>
    <t>PendingApproval</t>
  </si>
  <si>
    <t>Customer</t>
  </si>
  <si>
    <t>CR-QUALITY_UNACCEPTABLE</t>
  </si>
  <si>
    <t>Amazon CS</t>
  </si>
  <si>
    <t>StandardRefund</t>
  </si>
  <si>
    <t>111-1552802-5669800</t>
  </si>
  <si>
    <t>DTxLFTLGRRMA</t>
  </si>
  <si>
    <t>1ZH92F629089571468</t>
  </si>
  <si>
    <t>B014EI0N0A</t>
  </si>
  <si>
    <t>AL-KS-WCHC-61163-16SL</t>
  </si>
  <si>
    <t>OxGord 16 inch Hubcaps Best for Toyota Camry - (Set of 4) Wheel Covers Hub Caps Silver Rim Cover - Car Accessories for 16 inch Wheels - Snap On Hubcap, Auto Tire Replacement Exterior Cap</t>
  </si>
  <si>
    <t>CR-ORDERED_WRONG_ITEM</t>
  </si>
  <si>
    <t>111-6368086-5565823</t>
  </si>
  <si>
    <t>D2P5FJLbRRMA</t>
  </si>
  <si>
    <t>1ZH92F629089412479</t>
  </si>
  <si>
    <t>B014EK7BYY</t>
  </si>
  <si>
    <t>AL-KS-WCHC-61115-15SL</t>
  </si>
  <si>
    <t>15 inch Hubcaps Compatible with 2002-2004 Toyota Camry - Set of 4 ABS Plastic Wheel Cover Hub Cap Rim Covers - Snap On, Silver</t>
  </si>
  <si>
    <t>CR-UNWANTED_ITEM</t>
  </si>
  <si>
    <t>112-9969032-4456221</t>
  </si>
  <si>
    <t>DpyfzZLgRRMA</t>
  </si>
  <si>
    <t>1ZH92F629095051713</t>
  </si>
  <si>
    <t>B014EOWJRE</t>
  </si>
  <si>
    <t>AL-KS-WCHC-61147-15SL</t>
  </si>
  <si>
    <t>15 inch Hubcaps Compatible with 2009-2013 Toyota Corolla - (Set of 4) Wheel Covers for15in Standard Steel Rims, Silver - Snap-on</t>
  </si>
  <si>
    <t>CR-MISSING_PARTS</t>
  </si>
  <si>
    <t>112-6917332-7715423</t>
  </si>
  <si>
    <t>DqNzVhLBRRMA</t>
  </si>
  <si>
    <t>1ZH92F629093580584</t>
  </si>
  <si>
    <t>111-4855236-2517005</t>
  </si>
  <si>
    <t>DWrdDkLcRRMA</t>
  </si>
  <si>
    <t>1ZH92F629088250646</t>
  </si>
  <si>
    <t>111-7736258-3362656</t>
  </si>
  <si>
    <t>DfdxLZLKRRMA</t>
  </si>
  <si>
    <t>1ZH92F629011035755</t>
  </si>
  <si>
    <t>CR-SWITCHEROO</t>
  </si>
  <si>
    <t>111-1080554-3250652</t>
  </si>
  <si>
    <t>Dk3VvHLZRRMA</t>
  </si>
  <si>
    <t>1ZH92F629096375452</t>
  </si>
  <si>
    <t>B014ESBEN0</t>
  </si>
  <si>
    <t>AL-KS-WCHC-53084-16SL</t>
  </si>
  <si>
    <t>OxGord 16" Bolt-on Hubcaps Compatible with Select 2007-2012 Nissan Sentra for 4 Lug Steel Wheels, Silver - Wheel Cover Car Accessories</t>
  </si>
  <si>
    <t>CR-DEFECTIVE</t>
  </si>
  <si>
    <t>111-8442411-3933869</t>
  </si>
  <si>
    <t>DrvTsXLtRRMA</t>
  </si>
  <si>
    <t>1ZH92F629010747229</t>
  </si>
  <si>
    <t>B014JZU27W</t>
  </si>
  <si>
    <t>AL-KS-WCHC-7050-17SL</t>
  </si>
  <si>
    <t>17 inch Hubcaps Compatible with 2006-2011 Crown Victoria - (4) Wheel Covers for Standard Steel Wheels - Snap On, Silver</t>
  </si>
  <si>
    <t>112-2182652-8287415</t>
  </si>
  <si>
    <t>DHdBF7LdRRMA</t>
  </si>
  <si>
    <t>1ZH92F629089654584</t>
  </si>
  <si>
    <t>B014K0Z5EQ</t>
  </si>
  <si>
    <t>AL-KS-WCHC-7014-16CH</t>
  </si>
  <si>
    <t>OxGord 16 inch Hubcaps Compatible with Select 1998-2002 Crown Victoria and Grand Marquis, Snap On Chrome Wheel Covers for Standard Steel Wheels</t>
  </si>
  <si>
    <t>112-9455286-7479444</t>
  </si>
  <si>
    <t>DpX0cyLgRRMA</t>
  </si>
  <si>
    <t>1ZH92F629098019137</t>
  </si>
  <si>
    <t>B014K3FRL4</t>
  </si>
  <si>
    <t>AL-KS-WCHC-55068-15SL</t>
  </si>
  <si>
    <t>15 inch Hubcaps Compatible with 2006-2011 Honda Civic - (Set of 4) Wheel Rim Covers for Standard Steel Wheels - Silver, Snap-On</t>
  </si>
  <si>
    <t>112-2844880-2599404</t>
  </si>
  <si>
    <t>Dr5fLQLwRRMA</t>
  </si>
  <si>
    <t>1ZH92F629012027235</t>
  </si>
  <si>
    <t>B014K4MS4M</t>
  </si>
  <si>
    <t>AL-KS-WCHC-55045-15SL</t>
  </si>
  <si>
    <t>OxGord 15 inch Hubcaps Best for 98-02 Honda Accord - (Set of 4) Wheel Covers 15in Hub Caps Silver Rim Cover - Car Accessories for 15 inch Wheels - Snap On Hubcap, Auto Tire Replacement Exterior Cap</t>
  </si>
  <si>
    <t>113-7968283-3223424</t>
  </si>
  <si>
    <t>DqWMFRLGRRMA</t>
  </si>
  <si>
    <t>1ZH92F629090136800</t>
  </si>
  <si>
    <t>B014LAETG0</t>
  </si>
  <si>
    <t>AL-KS-WCHC-55058-15SL</t>
  </si>
  <si>
    <t>15 inch Hubcaps Best for 2003-2007 Honda Accord - (Set of 4) Wheel Covers 15in Hub Caps Silver Rim Cover - Car Accessories for 15 inch Wheels - Snap On Hubcap, Auto Tire Replacement Exterior Cap</t>
  </si>
  <si>
    <t>113-2692212-4621000</t>
  </si>
  <si>
    <t>D8MwDPLPRRMA</t>
  </si>
  <si>
    <t>1ZH92F629088888619</t>
  </si>
  <si>
    <t>111-7398769-0743400</t>
  </si>
  <si>
    <t>D285sYL2RRMA</t>
  </si>
  <si>
    <t>1ZH92F629010402172</t>
  </si>
  <si>
    <t>111-8542268-3309825</t>
  </si>
  <si>
    <t>AmazonUnPaidLabel</t>
  </si>
  <si>
    <t>B01729WC84</t>
  </si>
  <si>
    <t>AL-EB-PTGH-DG26-PSRF</t>
  </si>
  <si>
    <t>OxGord Grab Handle Pull Panel Molding Best for 2002-2006 Dodge Ram 1500 Replaces 1TE74TL2AA (Passenger Side) Front Right Pillar Trim</t>
  </si>
  <si>
    <t>ReturnlessRefund</t>
  </si>
  <si>
    <t>114-5949169-6702616</t>
  </si>
  <si>
    <t>B0172AOZZG</t>
  </si>
  <si>
    <t>AL-EB-PTGH-DG26-DRLF</t>
  </si>
  <si>
    <t>OxGord Grab Handle Pull Panel Molding Best for 2002-2006 Dodge Ram 1500 Replaces 1TE75TL2AA (Driver Side) Front Left Pillar Trim</t>
  </si>
  <si>
    <t>114-0106625-5997061</t>
  </si>
  <si>
    <t>B017HXIJM8</t>
  </si>
  <si>
    <t>AL-KS-WCWS-RM35-0315</t>
  </si>
  <si>
    <t>Wheel Simulators 17" Dually for 03-10 Dodge Ram 3500 11-24 Ram 3500 (Pack of 4) 304L Stainless Steel 17 Inch Wheels Simulator - Truck Accessories Best for Pick-up Trucks - Will Not Fit Crew-Cabs</t>
  </si>
  <si>
    <t>111-0471446-1877817</t>
  </si>
  <si>
    <t>DBhrQMLDRRMA</t>
  </si>
  <si>
    <t>17 Inch Wheel Simulators Compatible with 03-10 Dodge Ram 3500 SLT/11-24 Ram 3500 Tradesman/SLT - Stainless Steel - Will Not Fit Crew-Cabs</t>
  </si>
  <si>
    <t>DZZ7QcLGRRMA</t>
  </si>
  <si>
    <t>MerchantPrePaidLabel</t>
  </si>
  <si>
    <t>1ZE3629H0334911020</t>
  </si>
  <si>
    <t>CR-UNAUTHORIZED_PURCHASE</t>
  </si>
  <si>
    <t>112-2422700-9701006</t>
  </si>
  <si>
    <t>DW0fVmLSRRMA</t>
  </si>
  <si>
    <t>1ZH92F629092740233</t>
  </si>
  <si>
    <t>B01854WWAI</t>
  </si>
  <si>
    <t>AL-KS-WCHC-53073-15SL</t>
  </si>
  <si>
    <t>15 inch Hubcaps Best for 2007-2012 Nissan Sentra - (Set of 4) Wheel Covers 15in Hub Caps Silver Rim Cover - Car Accessories for 15 inch Wheels - Snap On Hubcap, Auto Tire Replacement Exterior Cap</t>
  </si>
  <si>
    <t>111-8609306-1872230</t>
  </si>
  <si>
    <t>DWrtVWLhRRMA</t>
  </si>
  <si>
    <t>1ZH92F629092622647</t>
  </si>
  <si>
    <t>112-3392764-8264250</t>
  </si>
  <si>
    <t>DTBN21L0RRMA</t>
  </si>
  <si>
    <t>1ZH92F629091970602</t>
  </si>
  <si>
    <t>113-2387436-2200218</t>
  </si>
  <si>
    <t>Dtt22bLhRRMA</t>
  </si>
  <si>
    <t>1ZH92F629091865235</t>
  </si>
  <si>
    <t>114-9902436-8309007</t>
  </si>
  <si>
    <t>DHHR2KLFRRMA</t>
  </si>
  <si>
    <t>1ZH92F629091485459</t>
  </si>
  <si>
    <t>112-4476550-0285833</t>
  </si>
  <si>
    <t>Dxp621LkRRMA</t>
  </si>
  <si>
    <t>1ZH92F629091039548</t>
  </si>
  <si>
    <t>112-0821319-0143453</t>
  </si>
  <si>
    <t>Dh5jDzL8RRMA</t>
  </si>
  <si>
    <t>1ZH92F629089295383</t>
  </si>
  <si>
    <t>111-9232391-4675468</t>
  </si>
  <si>
    <t>DW6JYMLYRRMA</t>
  </si>
  <si>
    <t>1ZH92F629087205205</t>
  </si>
  <si>
    <t>CR-MISSED_ESTIMATED_DELIVERY</t>
  </si>
  <si>
    <t>111-0645142-5392211</t>
  </si>
  <si>
    <t>DFTZ7xLWRRMA</t>
  </si>
  <si>
    <t>1ZH92F629012736559</t>
  </si>
  <si>
    <t>15 inch Hubcap Covers Compatible with 2007-2012 Nissan Sentra Standard Steel Wheels - Snap On, Silver</t>
  </si>
  <si>
    <t>112-0039334-0652208</t>
  </si>
  <si>
    <t>DL5lv3L0RRMA</t>
  </si>
  <si>
    <t>1ZH92F629096499079</t>
  </si>
  <si>
    <t>111-9811042-6373053</t>
  </si>
  <si>
    <t>DplkvYLzRRMA</t>
  </si>
  <si>
    <t>1ZH92F629095739365</t>
  </si>
  <si>
    <t>113-5222102-7861812</t>
  </si>
  <si>
    <t>DWnN7mLdRRMA</t>
  </si>
  <si>
    <t>1ZH92F629012246570</t>
  </si>
  <si>
    <t>B018FHMXBS</t>
  </si>
  <si>
    <t>AL-KS-WCWS-9040-16CH</t>
  </si>
  <si>
    <t>OxGord Set of 4 16 inch Chrome ABS Wheel Skins Impostors Wheel Covers Compatible with 2002-2007 Jeep Liberty Wheels- Auto Tire Replacement Cap Cover</t>
  </si>
  <si>
    <t>114-8471408-1351400</t>
  </si>
  <si>
    <t>D4M2zjLcRRMA</t>
  </si>
  <si>
    <t>1ZH92F629094684185</t>
  </si>
  <si>
    <t>B019EKO2YQ</t>
  </si>
  <si>
    <t>AL-KS-WCHC-7044-15SL</t>
  </si>
  <si>
    <t>15 inch Hubcaps Best for 2006-2018 Ford Focus - (Set of 4) Wheel Covers 15in Hub Caps Silver Rim Cover - Car Accessories for 15 inch Wheels - Snap On Hubcap, Auto Tire Replacement Exterior Cap</t>
  </si>
  <si>
    <t>112-8075838-8533012</t>
  </si>
  <si>
    <t>DFWMzZLqRRMA</t>
  </si>
  <si>
    <t>1ZH92F629094486952</t>
  </si>
  <si>
    <t>B019X6AK4W</t>
  </si>
  <si>
    <t>AL-EB-WCCC-05125-BK</t>
  </si>
  <si>
    <t>Wheel Center Caps 8 Lugs (Set of 4) Best for 16 &amp; 17 Inch Van &amp; Truck Rim Wheels Chevy Chevrolet Silverado Suburban Avalanche GM GMC Sierra Yukon 1500 2500 3500 HD - Chrome Black Replacement Hub Cover</t>
  </si>
  <si>
    <t>111-1983118-4365863</t>
  </si>
  <si>
    <t>D47JQwLDRRMA</t>
  </si>
  <si>
    <t>1ZH92F629099153481</t>
  </si>
  <si>
    <t>112-2292356-2923417</t>
  </si>
  <si>
    <t>DvbRzbLxRRMA</t>
  </si>
  <si>
    <t>1ZH92F629094566571</t>
  </si>
  <si>
    <t>B01AOB9334</t>
  </si>
  <si>
    <t>AL-KS-WCHC-3277-17SL</t>
  </si>
  <si>
    <t>17 inch (5 Lug) Hubcaps Compatible with 2008-2012 Chevrolet Malibu and 2008-2010 Pontiac G6 - Set of 4 Hub Cap Rim Covers for Standard Steel Wheels - Screw On Lug - Silver</t>
  </si>
  <si>
    <t>114-2318305-3981055</t>
  </si>
  <si>
    <t>DkBNVfLZRRMA</t>
  </si>
  <si>
    <t>1ZH92F629093244536</t>
  </si>
  <si>
    <t>113-8355034-1752221</t>
  </si>
  <si>
    <t>DhM1VRLKRRMA</t>
  </si>
  <si>
    <t>1ZH92F629093214952</t>
  </si>
  <si>
    <t>113-9485609-2499422</t>
  </si>
  <si>
    <t>D86cFVLYRRMA</t>
  </si>
  <si>
    <t>1ZH92F629090027204</t>
  </si>
  <si>
    <t>113-0757950-1829012</t>
  </si>
  <si>
    <t>DjRDDMLRRRMA</t>
  </si>
  <si>
    <t>1ZH92F629088168030</t>
  </si>
  <si>
    <t>114-7524019-3609004</t>
  </si>
  <si>
    <t>D4dBLxLhRRMA</t>
  </si>
  <si>
    <t>1ZH92F629011055144</t>
  </si>
  <si>
    <t>113-8657183-4435442</t>
  </si>
  <si>
    <t>DhRVcdLkRRMA</t>
  </si>
  <si>
    <t>1ZH92F629096721416</t>
  </si>
  <si>
    <t>AutomatedRefund</t>
  </si>
  <si>
    <t>114-6642458-9752248</t>
  </si>
  <si>
    <t>DByWVFL5RRMA</t>
  </si>
  <si>
    <t>1ZH92F629093547067</t>
  </si>
  <si>
    <t>B01B3RGB1U</t>
  </si>
  <si>
    <t>AL-KS-WCHC-61147-15CH</t>
  </si>
  <si>
    <t>15 inch Hubcaps Compatible with 2003-2014 Toyota Corolla - (Set of 4) Wheel Cover Hub Cap Rim Covers - Car Accessories for Standard Steel Wheels - Snap On, Chrome</t>
  </si>
  <si>
    <t>111-4746067-9007410</t>
  </si>
  <si>
    <t>Ds4kDGLYRRMA</t>
  </si>
  <si>
    <t>USPS</t>
  </si>
  <si>
    <t>9302010949890103190176</t>
  </si>
  <si>
    <t>B01BKZKZZI</t>
  </si>
  <si>
    <t>AL-EB-WCCC-05129-CH</t>
  </si>
  <si>
    <t>OxGord Wheel Center Caps 6 Lugs Set of 4 16 &amp; 17" Van &amp; Truck Rim Wheels Compatible with Chevrolet Silverado Suburban Avalanche GM GMC Sierra Yukon 1500 2500 3500 HD-Chrome Black Replacement Hub Cover</t>
  </si>
  <si>
    <t>113-3458317-3153028</t>
  </si>
  <si>
    <t>DxlmYPL9RRMA</t>
  </si>
  <si>
    <t>9302010949890101795762</t>
  </si>
  <si>
    <t>112-2095017-1572221</t>
  </si>
  <si>
    <t>DLz5c9LjRRMA</t>
  </si>
  <si>
    <t>9302010949890107227793</t>
  </si>
  <si>
    <t>111-4873132-2801065</t>
  </si>
  <si>
    <t>Dv8vYtLvRRMA</t>
  </si>
  <si>
    <t>1ZH92F629087598345</t>
  </si>
  <si>
    <t>B01BL18O1S</t>
  </si>
  <si>
    <t>AL-KS-WCCC-05125-CH</t>
  </si>
  <si>
    <t>OxGord Wheel Center Caps 8 Lugs Compatible with Select GM GMC 16 Inch Van &amp; Truck - OEM Replacement 15039489, 15039488, 9597169, 9597170 Rim Hub Cover (Set of 4) - Chrome Black</t>
  </si>
  <si>
    <t>111-0431606-3438659</t>
  </si>
  <si>
    <t>DpV1chL9RRMA</t>
  </si>
  <si>
    <t>1ZH92F629097418430</t>
  </si>
  <si>
    <t>AL-EB-WCCC-05125-CH</t>
  </si>
  <si>
    <t>111-0012214-5207435</t>
  </si>
  <si>
    <t>DHVmzDLhRRMA</t>
  </si>
  <si>
    <t>1ZH92F629094644567</t>
  </si>
  <si>
    <t>B01DTTJQC6</t>
  </si>
  <si>
    <t>AL-KS-WCHC-61165-16SL</t>
  </si>
  <si>
    <t>16 inch Hubcaps Compatible with 2012-2016 Toyota Prius V - (Set of 4) 16in Wheel Cover Hub Cap Rim Covers for Standard Steel Wheels - Snap On, Silver</t>
  </si>
  <si>
    <t>114-0400610-1838639</t>
  </si>
  <si>
    <t>B01K0ETPZG</t>
  </si>
  <si>
    <t>AL-EB-FTHS-F1500914</t>
  </si>
  <si>
    <t>Fuel Filler Neck Housing Gas Door for 09-14 Ford F150 - Replacement Part Best for OEM 9L3Z-9927936-B Tank Hinge Pocket Assembly Doors Spring Cap Lid Cover - Truck Accessories Replaces 9L3Z9927936B</t>
  </si>
  <si>
    <t>112-6725874-1046627</t>
  </si>
  <si>
    <t>DKc7cnLyRRMA</t>
  </si>
  <si>
    <t>1ZH92F629097091382</t>
  </si>
  <si>
    <t>B01LYZ44WI</t>
  </si>
  <si>
    <t>AL-EB-FFBS-101</t>
  </si>
  <si>
    <t>Fender Flares Compatible with 99-06 Chevy Silverado, Sierra, Avalanche, Suburban (Pack of 4) Bolt On Pocket Fenders for Pick-up Trucks Re-Paintable Trim Guards</t>
  </si>
  <si>
    <t>112-8521031-9998635</t>
  </si>
  <si>
    <t>DTXNv7LbRRMA</t>
  </si>
  <si>
    <t>1ZH92F629096559736</t>
  </si>
  <si>
    <t>112-8850321-0168244</t>
  </si>
  <si>
    <t>DhxkvnLYRRMA</t>
  </si>
  <si>
    <t>1ZH92F629095417846</t>
  </si>
  <si>
    <t>112-4315860-5124227</t>
  </si>
  <si>
    <t>B01M1H4X9Y</t>
  </si>
  <si>
    <t>AL-EB-GMCS-TY01</t>
  </si>
  <si>
    <t>OxGord Grill Clip Retainers (Pack of 20) Best for Select Toyota Truck &amp; SUVs - 90467-12040 OEM Replacement Nylon Interior Trim Panel Grille Fastener Clips - Black</t>
  </si>
  <si>
    <t>114-6594047-8625019</t>
  </si>
  <si>
    <t>DYX6LgLFRRMA</t>
  </si>
  <si>
    <t>9302010949890109421144</t>
  </si>
  <si>
    <t>B01MYNFG3Y</t>
  </si>
  <si>
    <t>AL-EB-WARA-01</t>
  </si>
  <si>
    <t>OxGord Car Antlers and Nose - Christmas Decorations for Car Windows, Roof, and Grille - Holiday Accessories Decoration Kit for Cars, SUVs, Vans, and Trucks</t>
  </si>
  <si>
    <t>113-4377295-9772226</t>
  </si>
  <si>
    <t>B074F34JT6</t>
  </si>
  <si>
    <t>AL-EB-CAHB-01</t>
  </si>
  <si>
    <t>Car Clothes Hanger Bar Auto Rod Automobile Hanging Coat Rack for Garment Cloths - Best for Travel Back-Seat Laundry Wardrobe Vehicle Clothing in Cars Truck RV SUV Hook Hangers - Expandable 36" to 60"</t>
  </si>
  <si>
    <t>CR-FOUND_BETTER_PRICE</t>
  </si>
  <si>
    <t>111-0602097-7841815</t>
  </si>
  <si>
    <t>DZSFzrLvRRMA</t>
  </si>
  <si>
    <t>1ZH92F629095158411</t>
  </si>
  <si>
    <t>B075KWGYLB</t>
  </si>
  <si>
    <t>AL-KS-WCTR-15-D3-SS</t>
  </si>
  <si>
    <t>OxGord Beauty Trim Rings for 15 inch Rally Wheels 3 inch Deep, Rally Polished Stainless Steel with 360 Degrees Saw Tooth Clip Retention - 4 Pack</t>
  </si>
  <si>
    <t>111-8594942-4457032</t>
  </si>
  <si>
    <t>D8K4DlLvRRMA</t>
  </si>
  <si>
    <t>1ZH92F629089390485</t>
  </si>
  <si>
    <t>112-1975624-3248259</t>
  </si>
  <si>
    <t>DHTcsFLWRRMA</t>
  </si>
  <si>
    <t>1ZH92F629010038165</t>
  </si>
  <si>
    <t>113-8741371-9710649</t>
  </si>
  <si>
    <t>D8SnQ7L6RRMA</t>
  </si>
  <si>
    <t>1ZH92F629099476776</t>
  </si>
  <si>
    <t>114-7539876-1597849</t>
  </si>
  <si>
    <t>DYmdF7L8RRMA</t>
  </si>
  <si>
    <t>1ZH92F629090591667</t>
  </si>
  <si>
    <t>B075ZB3JCW</t>
  </si>
  <si>
    <t>AL-KS-WCHC-SWUN-15IBK</t>
  </si>
  <si>
    <t>OxGord Hubcaps Wheel Covers - (Set of 4) Hub Caps Wheels Rim Cover - Car Accessories Hubcap Standard Steel Rims - Snap On Auto Tire Replacement Exterior Cap (Ice Black, 15 Inch)</t>
  </si>
  <si>
    <t>112-1402779-0840213</t>
  </si>
  <si>
    <t>Dsh0FSLKRRMA</t>
  </si>
  <si>
    <t>1ZH92F629090016654</t>
  </si>
  <si>
    <t>B075ZG24QW</t>
  </si>
  <si>
    <t>AL-KS-WCHC-SWUN-15TT</t>
  </si>
  <si>
    <t>OxGord Hubcaps Wheel Covers - (Set of 4) Hub Caps Wheels Rim Cover - Car Accessories for Standard Steel Rims - Snap On Auto Tire Replacement Exterior Cap (Two Tone - Silver Black, 15 Inch)</t>
  </si>
  <si>
    <t>112-4716267-7654658</t>
  </si>
  <si>
    <t>Dvf922LlRRMA</t>
  </si>
  <si>
    <t>1ZH92F629091373212</t>
  </si>
  <si>
    <t>B075ZH491V</t>
  </si>
  <si>
    <t>AL-KS-WCHC-SWUN-16BK</t>
  </si>
  <si>
    <t>OxGord 16 inch Hubcap Wheel Covers for Standard Steel Wheels Only - Snap-on, Ice Black</t>
  </si>
  <si>
    <t>111-6123989-8973840</t>
  </si>
  <si>
    <t>DFSWFzLfRRMA</t>
  </si>
  <si>
    <t>1ZH92F629090852894</t>
  </si>
  <si>
    <t>114-6314431-9566615</t>
  </si>
  <si>
    <t>D8tzF3LnRRMA</t>
  </si>
  <si>
    <t>1ZH92F629090256725</t>
  </si>
  <si>
    <t>112-0143805-8648213</t>
  </si>
  <si>
    <t>DZkvYPLzRRMA</t>
  </si>
  <si>
    <t>1ZH92F629087770989</t>
  </si>
  <si>
    <t>DkfMYFLkRRMA</t>
  </si>
  <si>
    <t>1ZH92F629086910427</t>
  </si>
  <si>
    <t>114-9817211-3598629</t>
  </si>
  <si>
    <t>D8VWvyLyRRMA</t>
  </si>
  <si>
    <t>1ZH92F629096090527</t>
  </si>
  <si>
    <t>114-5893493-8977868</t>
  </si>
  <si>
    <t>DjmCQLL6RRMA</t>
  </si>
  <si>
    <t>1ZH92F629099250107</t>
  </si>
  <si>
    <t>B075ZHBVSS</t>
  </si>
  <si>
    <t>AL-KS-WCHC-SWUN-17BLK</t>
  </si>
  <si>
    <t>OxGord Hubcaps Wheel Covers - (Set of 4) Hub Caps Wheels Rim Cover - Car Accessories Silver Hubcap Standard Steel Rims - Snap On Auto Tire Replacement Exterior Cap (Black, 17 Inch)</t>
  </si>
  <si>
    <t>113-8413817-0957850</t>
  </si>
  <si>
    <t>D5ZVFhLSRRMA</t>
  </si>
  <si>
    <t>1ZH92F629090199010</t>
  </si>
  <si>
    <t>B075ZHR4PW</t>
  </si>
  <si>
    <t>AL-KS-WCHC-SWUN-16GBK</t>
  </si>
  <si>
    <t>OxGord 16" Inch Hubcap Wheel Covers for Standard Steel Wheels Only - Snap On, Gloss Black</t>
  </si>
  <si>
    <t>112-0378669-3545854</t>
  </si>
  <si>
    <t>DZDdV5LJRRMA</t>
  </si>
  <si>
    <t>1ZH92F629093313327</t>
  </si>
  <si>
    <t>B075ZJWWCJ</t>
  </si>
  <si>
    <t>AL-KS-WCHC-SWUN-16TT</t>
  </si>
  <si>
    <t>OxGord 16 inch Hubcap Wheel Covers for Standard Steel Wheels Only - Snap-on, Silver/Black</t>
  </si>
  <si>
    <t>114-6969219-1957040</t>
  </si>
  <si>
    <t>DByq2GL5RRMA</t>
  </si>
  <si>
    <t>1ZH92F629092270732</t>
  </si>
  <si>
    <t>114-0306151-6738662</t>
  </si>
  <si>
    <t>DrrG74LWRRMA</t>
  </si>
  <si>
    <t>1ZH92F629012387927</t>
  </si>
  <si>
    <t>114-2460472-5441815</t>
  </si>
  <si>
    <t>D7vCQlLLRRMA</t>
  </si>
  <si>
    <t>1ZH92F629099498716</t>
  </si>
  <si>
    <t>111-3059350-3363453</t>
  </si>
  <si>
    <t>DZ6wDRLjRRMA</t>
  </si>
  <si>
    <t>1ZH92F629088624055</t>
  </si>
  <si>
    <t>B075ZK8VZ8</t>
  </si>
  <si>
    <t>AL-KS-WCHC-SWUN-17CH</t>
  </si>
  <si>
    <t>OxGord Hubcaps Wheel Covers - (Set of 4) Hub Caps Wheels Rim Cover - Car Accessories Silver Hubcap Standard Steel Rims - Snap On Auto Tire Replacement Exterior Cap (Chrome, 17 Inch)</t>
  </si>
  <si>
    <t>111-2309534-4535467</t>
  </si>
  <si>
    <t>DxjHQVL6RRMA</t>
  </si>
  <si>
    <t>1ZH92F629099221666</t>
  </si>
  <si>
    <t>B0777FMY17</t>
  </si>
  <si>
    <t>AL-KS-WCHC-61088-14SL</t>
  </si>
  <si>
    <t>14 inch Hubcaps Best for 1997-1999 Toyota Camry - (Set of 4) Wheel Covers 14in Hub Caps Silver Rim Cover - Car Accessories for 14 inch Wheels - Snap On Hubcap, Auto Tire Replacement Exterior Cap</t>
  </si>
  <si>
    <t>113-7033146-9057056</t>
  </si>
  <si>
    <t>DfR32ZL8RRMA</t>
  </si>
  <si>
    <t>1ZH92F629091091419</t>
  </si>
  <si>
    <t>B0779J55CV</t>
  </si>
  <si>
    <t>AL-KS-WCHC-55092-15SL</t>
  </si>
  <si>
    <t>15 inch Hubcaps Best for 2013-2015 Honda Civic - (Set of 4) Wheel Covers 15in Hub Caps Silver Rim Cover - Car Accessories for 15 inch Wheels - Snap On Hubcap, Auto Tire Replacement Exterior Cap</t>
  </si>
  <si>
    <t>114-2392029-2949852</t>
  </si>
  <si>
    <t>DY4gsYLVRRMA</t>
  </si>
  <si>
    <t>1ZH92F629010648078</t>
  </si>
  <si>
    <t>15 inch Hubcaps Compatible with 2013-2015 Honda Civic - Wheel Covers for Standard Steel Wheels, Silver Rim Cover - Snap On</t>
  </si>
  <si>
    <t>114-5110492-7367451</t>
  </si>
  <si>
    <t>DrZ6s8LfRRMA</t>
  </si>
  <si>
    <t>1ZH92F629010213279</t>
  </si>
  <si>
    <t>B077X7G249</t>
  </si>
  <si>
    <t>AL-KS-WCHC-53089-16SL</t>
  </si>
  <si>
    <t>OxGord Hubcaps Replaces 13-24 Nissan Sentra, 13-17 Leaf (Set of 4) Snap-on 5 Lug - Silver Wheel Covers - Car Accessories for 16 inch Wheels, Auto Tire Replacement Exterior Rim Hub-Cap</t>
  </si>
  <si>
    <t>113-3400058-1566617</t>
  </si>
  <si>
    <t>DqkhzSLbRRMA</t>
  </si>
  <si>
    <t>1ZH92F629094936162</t>
  </si>
  <si>
    <t>B0786TK38N</t>
  </si>
  <si>
    <t>AL-EB-FFBS-106</t>
  </si>
  <si>
    <t>Fender Flares Compatible with 02-08 Ram 1500/03-09 Ram 2500 3500 (Feetside Models Only) Bolt-on Pocket Rivet Style - Rugged Trim Guards w/Hardware Kit</t>
  </si>
  <si>
    <t>113-0492026-6231408</t>
  </si>
  <si>
    <t>DxXnQSLqRRMA</t>
  </si>
  <si>
    <t>1ZH92F629099541954</t>
  </si>
  <si>
    <t>B0795BMWSM</t>
  </si>
  <si>
    <t>AL-KS-WCHC-923-16CS</t>
  </si>
  <si>
    <t>Wheel Covers Set of Four (4) 16 inch Silver Chrome Hubcaps Best for Ford E150 E250 E350 E450 Excursion F250 F350 Trim Levels Club Wagon Econoline Club Wagon Super Duty Econoline Super</t>
  </si>
  <si>
    <t>CR-DAMAGED_BY_FC</t>
  </si>
  <si>
    <t>113-5928164-5056261</t>
  </si>
  <si>
    <t>D7B0s2LcRRMA</t>
  </si>
  <si>
    <t>1ZH92F629010353574</t>
  </si>
  <si>
    <t>B079BDPQXX</t>
  </si>
  <si>
    <t>AL-KS-WCWS-1688-UNPL</t>
  </si>
  <si>
    <t>Chrome Wheel Simulators 16-inch (Set of 4) 16in Wheels Simulator - Truck Accessories Best for Pick-up Trucks Vans RV Rim Parts ABS Plastic Skin Cover - Universal Fits 8 Lug, 8 Hole</t>
  </si>
  <si>
    <t>111-6643289-9689834</t>
  </si>
  <si>
    <t>DWMqFjL1RRMA</t>
  </si>
  <si>
    <t>1ZH92F629090342104</t>
  </si>
  <si>
    <t>B07B45B3DS</t>
  </si>
  <si>
    <t>AL-KS-WCWS-2363-20CH</t>
  </si>
  <si>
    <t>OxGord 20 inch Wheel Skins for 2009-2012 Ram 1500 (Set of 4) Impostor Wheel Covers for 20 inch Chrome ABS Wheels- Auto Tire Replacement Exterior Cap Cover - Push-on</t>
  </si>
  <si>
    <t>111-5422751-6806626</t>
  </si>
  <si>
    <t>D5gncBLHRRMA</t>
  </si>
  <si>
    <t>1ZH92F629097528982</t>
  </si>
  <si>
    <t>B07B5R6LTB</t>
  </si>
  <si>
    <t>AL-KS-WCWS-2451-20CH</t>
  </si>
  <si>
    <t>OxGord Wheel Skins Compaitlble with Select 2013-2024 Ram 1500, 2500, 3500 (Set of 4) - Impostor ABS Chrome Wheel Covers for 20 inch Steel Wheels - Auto Accessories Tire Rim Replacement</t>
  </si>
  <si>
    <t>114-9657291-1906641</t>
  </si>
  <si>
    <t>DK9MzxL6RRMA</t>
  </si>
  <si>
    <t>1ZH92F629094447566</t>
  </si>
  <si>
    <t>B07B67KCVR</t>
  </si>
  <si>
    <t>AL-KS-WCWS-64041-16CH</t>
  </si>
  <si>
    <t>OxGord Set of 4 16 inch Chrome ABS Wheel Skins Impostors Wheel Covers Compatible with 2012-2016 Honda CR-V Wheels- Auto Tire Replacement Cap Cover</t>
  </si>
  <si>
    <t>111-8608952-2655446</t>
  </si>
  <si>
    <t>DBcgcPLRRRMA</t>
  </si>
  <si>
    <t>1ZH92F629097087851</t>
  </si>
  <si>
    <t>111-3464332-3921838</t>
  </si>
  <si>
    <t>DKKWvhLKRRMA</t>
  </si>
  <si>
    <t>1ZH92F629096605060</t>
  </si>
  <si>
    <t>AMZ-PG-MISORDERED</t>
  </si>
  <si>
    <t>112-5880081-6686610</t>
  </si>
  <si>
    <t>D4J6QxLRRRMA</t>
  </si>
  <si>
    <t>B07B9K23TZ</t>
  </si>
  <si>
    <t>AL-KS-WCHC-53094-17SL</t>
  </si>
  <si>
    <t>OxGord 17 inch Hubcap Wheel Covers Compatible with 2014-2020 Nissan Rogue - for Standard Steel Wheels Only - Snap-on, Silver</t>
  </si>
  <si>
    <t>114-8635617-3637012</t>
  </si>
  <si>
    <t>DKSycnLkRRMA</t>
  </si>
  <si>
    <t>113-5201360-3583469</t>
  </si>
  <si>
    <t>DLmTYbLwRRMA</t>
  </si>
  <si>
    <t>1ZH92F629087738845</t>
  </si>
  <si>
    <t>B07BB4FH81</t>
  </si>
  <si>
    <t>AL-KS-WCHC-55071-16SL</t>
  </si>
  <si>
    <t>16 inch Hubcaps Compatible with 2008-2012 Honda Accord - Wheel Cover Hub Caps for Standard Steel Wheels, Silver - Snap On</t>
  </si>
  <si>
    <t>112-0466753-3337037</t>
  </si>
  <si>
    <t>D2Cv2yLqRRMA</t>
  </si>
  <si>
    <t>1ZH92F629091410789</t>
  </si>
  <si>
    <t>B07BB6C89F</t>
  </si>
  <si>
    <t>AL-KS-WCWS-5195-16CH</t>
  </si>
  <si>
    <t>OxGord 16 inch Wheel Skins Compatible with Select Chevy Silverado &amp; GMC Sierra (Set of 4) - Chrome ABS Impostor Wheel Covers - Snap on</t>
  </si>
  <si>
    <t>113-6505898-9821058</t>
  </si>
  <si>
    <t>Dh4xF9LYRRMA</t>
  </si>
  <si>
    <t>1ZH92F629090730622</t>
  </si>
  <si>
    <t>112-4415186-2680266</t>
  </si>
  <si>
    <t>DHbRFFLZRRMA</t>
  </si>
  <si>
    <t>1ZH92F629090237086</t>
  </si>
  <si>
    <t>112-4612380-6917826</t>
  </si>
  <si>
    <t>DLLVs5LXRRMA</t>
  </si>
  <si>
    <t>1ZH92F629099861911</t>
  </si>
  <si>
    <t>112-1865534-1952217</t>
  </si>
  <si>
    <t>DfRXv0LHRRMA</t>
  </si>
  <si>
    <t>1ZH92F629095386175</t>
  </si>
  <si>
    <t>112-8393216-2173019</t>
  </si>
  <si>
    <t>Closed</t>
  </si>
  <si>
    <t>B07BC6FD4V</t>
  </si>
  <si>
    <t>AL-KS-WCWS-3557-17CH</t>
  </si>
  <si>
    <t>OxGord 17 inch Wheel Skins for 2004-2014 Ford F-150 (Set of 4) Impostor Wheel Covers for 17 inch Chrome ABS Wheels- Auto Tire Replacement Exterior Cap Cover</t>
  </si>
  <si>
    <t>111-3827937-4374638</t>
  </si>
  <si>
    <t>DrWGLLLJRRMA</t>
  </si>
  <si>
    <t>1ZH92F629011465791</t>
  </si>
  <si>
    <t>114-6624918-3558627</t>
  </si>
  <si>
    <t>Dhrts6LwRRMA</t>
  </si>
  <si>
    <t>1ZH92F629099750237</t>
  </si>
  <si>
    <t>114-3678631-8125854</t>
  </si>
  <si>
    <t>DKKmD1LhRRMA</t>
  </si>
  <si>
    <t>1ZH92F629089409812</t>
  </si>
  <si>
    <t>B07BC922C8</t>
  </si>
  <si>
    <t>AL-KS-WCWS-69514-18CH</t>
  </si>
  <si>
    <t>OxGord Set of 4 18 inch Chrome ABS Wheel Skins Impostors Wheel Covers Compatible with 2007-2021 Toyota Tundra Wheels- Auto Tire Replacement Cap Cover</t>
  </si>
  <si>
    <t>114-3271391-7532251</t>
  </si>
  <si>
    <t>DqJXzqL0RRMA</t>
  </si>
  <si>
    <t>B07BFHZQBX</t>
  </si>
  <si>
    <t>AL-KS-WCWS-4665-18CH</t>
  </si>
  <si>
    <t>OxGord Set of 4 18 inch Chrome ABS Wheel Skins Impostors Wheel Covers Compatible with 2010-2016 Cadillac SRX Wheels- Auto Tire Replacement Cap Cover</t>
  </si>
  <si>
    <t>114-4328563-6639460</t>
  </si>
  <si>
    <t>D8dLDvLmRRMA</t>
  </si>
  <si>
    <t>113-4044276-1889851</t>
  </si>
  <si>
    <t>DtTs7gLrRRMA</t>
  </si>
  <si>
    <t>1ZH92F629012711558</t>
  </si>
  <si>
    <t>B07BMHXSHV</t>
  </si>
  <si>
    <t>AL-KS-WCHC-SWUN-17BK</t>
  </si>
  <si>
    <t>OxGord 17 Inch Hubcap Wheel Covers - (4) Hub Caps for Standard Steel Wheels - Snap On Auto Tire Replacemet - Ice Black</t>
  </si>
  <si>
    <t>114-3336177-0401813</t>
  </si>
  <si>
    <t>DHq4vCLXRRMA</t>
  </si>
  <si>
    <t>1ZH92F629095321047</t>
  </si>
  <si>
    <t>B07LGG9NQL</t>
  </si>
  <si>
    <t>AL-KS-WCHC-61163-16IBK</t>
  </si>
  <si>
    <t>16 inch Hubcaps Best for 2012-2016 Toyota Camry - (Set of 4) Wheel Covers 16in Hub Caps Ice Black Rim Cover - Car Accessories for 16 inch Wheels - Snap On Hubcap, Auto Tire Replacement Exterior Cap</t>
  </si>
  <si>
    <t>113-4394170-7764257</t>
  </si>
  <si>
    <t>DrT7FsLTRRMA</t>
  </si>
  <si>
    <t>1ZH92F629089951100</t>
  </si>
  <si>
    <t>112-1085025-8202644</t>
  </si>
  <si>
    <t>DQzCVtLwRRMA</t>
  </si>
  <si>
    <t>1ZH92F629092927185</t>
  </si>
  <si>
    <t>B089LV5QVY</t>
  </si>
  <si>
    <t>AL-KS-WCHC-61181-16SL</t>
  </si>
  <si>
    <t>OxGord 16 inch Hubcaps Compatible with 2017-2019 Toyota Corolla LE - Set of 4 Hub Cap Rim Covers for 16 inch Wheels - Snap-on, Silver</t>
  </si>
  <si>
    <t>113-7190863-5187402</t>
  </si>
  <si>
    <t>B09RM5Y7B5</t>
  </si>
  <si>
    <t>AL-EB-CAHD-01x2</t>
  </si>
  <si>
    <t>OxGord Roll Bar Grab Handle Grips Set for Jeep, UTV, &amp; ATV - Original Design - Strap Fits 1 1/2 to 3 Inch Bars - Pack of 4, Black</t>
  </si>
  <si>
    <t>112-0805180-4516238</t>
  </si>
  <si>
    <t>DTmnY5LHRRMA</t>
  </si>
  <si>
    <t>1ZH92F629087736776</t>
  </si>
  <si>
    <t>B09S4S59S5</t>
  </si>
  <si>
    <t>AL-KS-WCHC-61188-15SC</t>
  </si>
  <si>
    <t>OxGord Hubcaps 15 inch Wheel Covers (Set of 4) Hub Caps for 15in Wheels Rim Cover Car Accessories Silver Chrome Hubcap Compatible with 2016-2021 Toyota Prius Snap On Auto Tire Replacement Exterior Cap</t>
  </si>
  <si>
    <t>113-1219147-7196209</t>
  </si>
  <si>
    <t>DHflc0LdRRMA</t>
  </si>
  <si>
    <t>1ZH92F629096967956</t>
  </si>
  <si>
    <t>111-4418901-4882660</t>
  </si>
  <si>
    <t>D7cXcHLHRRMA</t>
  </si>
  <si>
    <t>1ZH92F629097091551</t>
  </si>
  <si>
    <t>B09S534YY2</t>
  </si>
  <si>
    <t>AL-KS-WCHC-61163-15IBK</t>
  </si>
  <si>
    <t>OxGord Hubcaps 15 inch Wheel Covers (Set of 4) Hub Caps for 15in Wheels Rim Cover - Car Accessories Ice Black Hubcap Compatible with 2012-2014 Toyota Camry - Snap On Auto Tire Replacement Exterior Cap</t>
  </si>
  <si>
    <t>111-3499021-8861047</t>
  </si>
  <si>
    <t>D7MvQKLQRRMA</t>
  </si>
  <si>
    <t>1ZH92F629099013328</t>
  </si>
  <si>
    <t>B0BC9WRTVW</t>
  </si>
  <si>
    <t>AL-KS-WCWS-2359-18-BLK</t>
  </si>
  <si>
    <t>OxGord 18 inch Wheel Skins for 2009-2014 Dodge Charger (Set of 4) Impostor Wheel Covers for 18 inch Gloss Black ABS Wheels- Auto Tire Replacement Exterior Cap Cover</t>
  </si>
  <si>
    <t>113-8525663-3093821</t>
  </si>
  <si>
    <t>DxFCD3LhRRMA</t>
  </si>
  <si>
    <t>1ZH92F629089192592</t>
  </si>
  <si>
    <t>B0BG3GP9TB</t>
  </si>
  <si>
    <t>AL-KS-WCWS-3957-17BL</t>
  </si>
  <si>
    <t>OxGord 17 inch Wheel Skins Compatible with 2013-2016 Ford Fusion - Impostor Covers for Alloy Rims - Gloss Black, Snap-on</t>
  </si>
  <si>
    <t>Replacement</t>
  </si>
  <si>
    <t>n/a</t>
  </si>
  <si>
    <t>beyond 45 days</t>
  </si>
  <si>
    <t>111-2438435-3646658</t>
  </si>
  <si>
    <t>DrT3cXL9RRMA</t>
  </si>
  <si>
    <t>1ZH92F629097121769</t>
  </si>
  <si>
    <t>B0BP9VMZY8</t>
  </si>
  <si>
    <t>AL-KS-WCWS-2405-17CH</t>
  </si>
  <si>
    <t>OxGord 17 inch Wheel Skins for 2008-2014 Dodge Charger (Set of 4) Impostor Wheel Covers for 17 inch Chrome ABS Wheels- Auto Tire Replacement Exterior Cap Cover</t>
  </si>
  <si>
    <t>112-8269978-9149005</t>
  </si>
  <si>
    <t>DYMh2MLTRRMA</t>
  </si>
  <si>
    <t>1ZH92F629091941198</t>
  </si>
  <si>
    <t>B0BTSDBWY3</t>
  </si>
  <si>
    <t>AL-KS-WCWS-5433-17GBK</t>
  </si>
  <si>
    <t>OxGord 17 inch Wheel Skins for 2010-2017 Chevy Equinox LS (Set of 4) Impostor Wheel Covers, Gloss Black ABS Wheels- Auto Tire Replacement Exterior Cover</t>
  </si>
  <si>
    <t>114-1086262-3208212</t>
  </si>
  <si>
    <t>D2zwv4LFRRMA</t>
  </si>
  <si>
    <t>1ZH92F629095843493</t>
  </si>
  <si>
    <t>111-3074997-2161029</t>
  </si>
  <si>
    <t>DYRG7nLHRRMA</t>
  </si>
  <si>
    <t>1ZH92F629012290978</t>
  </si>
  <si>
    <t>B0BTSDG44Q</t>
  </si>
  <si>
    <t>AL-KS-WCWS-5473-16GBK</t>
  </si>
  <si>
    <t>OxGord 16 inch Wheel Skins for 2011-2015 Chevy Cruze (Set of 4) Impostor Wheel Covers for 16 inch Gloss Black ABS Wheels- Auto Tire Replacement Exterior Cap Cover</t>
  </si>
  <si>
    <t>114-8930149-0704218</t>
  </si>
  <si>
    <t>D2p1FqLMRRMA</t>
  </si>
  <si>
    <t>1ZH92F629089508965</t>
  </si>
  <si>
    <t>B0BTSDG6LF</t>
  </si>
  <si>
    <t>AL-KS-WCWS-5758-18GBK</t>
  </si>
  <si>
    <t>OxGord 18 inch Wheel Skins for 2016-2022 Chevy Camaro (Set of 4) Impostor Wheel Covers for 18 inch Gloss Black ABS Wheels- Auto Tire Replacement Exterior Cap Cover</t>
  </si>
  <si>
    <t>113-0936264-1677816</t>
  </si>
  <si>
    <t>Dfjt2KLcRRMA</t>
  </si>
  <si>
    <t>1ZH92F629092123838</t>
  </si>
  <si>
    <t>B0BTSH6MJB</t>
  </si>
  <si>
    <t>AL-KS-WCWS-3859-18GBK</t>
  </si>
  <si>
    <t>OxGord 18 inch Wheel Skins for 2011-2017 Ford Explorer (Set of 4) Impostor Wheel Covers for 18 inch Gloss Black ABS Wheels- Auto Tire Replacement Exterior Cap Cover</t>
  </si>
  <si>
    <t>112-6447070-7833021</t>
  </si>
  <si>
    <t>DTzfc0LbRRMA</t>
  </si>
  <si>
    <t>1ZH92F629097148133</t>
  </si>
  <si>
    <t>B0BWFQZ5CH</t>
  </si>
  <si>
    <t>AL-KS-FRGC-CHSI-0720-40</t>
  </si>
  <si>
    <t>Fuel Rider Grille Inserts Overlay Trim for Front Grille Compatible with 2007-2013 Chevy Silverado 1500 - Chrome ABS Snap On 2 Mesh Inserts- Car Truck Accessories</t>
  </si>
  <si>
    <t>114-7145246-7702605</t>
  </si>
  <si>
    <t>D8YczhLHRRMA</t>
  </si>
  <si>
    <t>1ZH92F629094175949</t>
  </si>
  <si>
    <t>B0BWFR2MSG</t>
  </si>
  <si>
    <t>AL-KS-FRGC-FORA-1920-169BLK</t>
  </si>
  <si>
    <t>Fuel Rider Grille Inserts Overlay Trim for Front Grille Compatible with 2019-2022 Ford Ranger - Gloss Black ABS Snap On Mesh Insert, OE Look- Car Truck Accessories</t>
  </si>
  <si>
    <t>111-9111533-9189019</t>
  </si>
  <si>
    <t>D54FD1LLRRMA</t>
  </si>
  <si>
    <t>1ZH92F629089230746</t>
  </si>
  <si>
    <t>B0C9R3WD9N</t>
  </si>
  <si>
    <t>AL-KS-FRHC-1419CHIM-18SL5S</t>
  </si>
  <si>
    <t>Fuel Rider 18 inch Silver ABS Hubcap Wheel Cover Compatible with 2014-2019 Chevrolet Impala (Set of 4) Wheelcovers for 18 inch Standard Steel Wheels- Auto Tire Cover Replacement</t>
  </si>
  <si>
    <t>112-4957917-1111405</t>
  </si>
  <si>
    <t>D4t7YvL0RRMA</t>
  </si>
  <si>
    <t>1ZH92F629087433567</t>
  </si>
  <si>
    <t>B0C9R5C46V</t>
  </si>
  <si>
    <t>AL-KS-FRHC-1719FOES-17GB5S</t>
  </si>
  <si>
    <t>Fuel Rider 17 inch Gloss Black ABS Hubcap Wheel Cover for 2017-2019 Ford Escape S (Set of 4) Wheelcovers for 17 inch Standard Steel Wheels- Auto Tire Cover Replacement Exterior Cap Cover</t>
  </si>
  <si>
    <t>111-1627198-1341843</t>
  </si>
  <si>
    <t>D2ZXLSLnRRMA</t>
  </si>
  <si>
    <t>1ZH92F629011523334</t>
  </si>
  <si>
    <t>112-4667308-8591439</t>
  </si>
  <si>
    <t>DpfJYnLxRRMA</t>
  </si>
  <si>
    <t>1ZH92F629086929266</t>
  </si>
  <si>
    <t>B0C9R63NTY</t>
  </si>
  <si>
    <t>AL-KS-FRHC-0002NISE-14SL8S</t>
  </si>
  <si>
    <t>Fuel Rider 14 inch Silver ABS Hubcap Wheel Cover for 2000-2002 Nissan Sentra (Set of 4) Wheelcovers for 14 inch Standard Steel Wheels- Auto Tire Cover Replacement Exterior Cap Cover</t>
  </si>
  <si>
    <t>111-0114621-5331441</t>
  </si>
  <si>
    <t>DjWKcDLJRRMA</t>
  </si>
  <si>
    <t>1ZH92F629097297642</t>
  </si>
  <si>
    <t>B0C9R6NBJ5</t>
  </si>
  <si>
    <t>AL-KS-FRHC-1922FOTR-16SL10ST</t>
  </si>
  <si>
    <t>Fuel Rider 16 inch Silver ABS Hubcap Wheel Cover for 2019-2022 Ford Transit Connect (Set of 4) Wheelcovers for 16 inch Standard Steel Wheels- Auto Tire Cover Replacement Exterior Cap Cover</t>
  </si>
  <si>
    <t>112-1403662-5542631</t>
  </si>
  <si>
    <t>DjVns6L1RRMA</t>
  </si>
  <si>
    <t>1ZH92F629010278370</t>
  </si>
  <si>
    <t>B0C9R6RHGT</t>
  </si>
  <si>
    <t>AL-KS-FRHC-1722MIMI-14SL10S</t>
  </si>
  <si>
    <t>Fuel Rider 14 inch Silver ABS Hubcap Wheel Cover for 2017-2022 Mitsubishi Mirage (Set of 4) Wheelcovers for 14 inch Standard Steel Wheels- Auto Tire Cover Replacement Exterior Cap Cover</t>
  </si>
  <si>
    <t>112-4162177-7145858</t>
  </si>
  <si>
    <t>Dvr4QrLYRRMA</t>
  </si>
  <si>
    <t>1ZH92F629098263453</t>
  </si>
  <si>
    <t>111-5834175-8369807</t>
  </si>
  <si>
    <t>Dtk2YGLZRRMA</t>
  </si>
  <si>
    <t>1ZH92F629087789899</t>
  </si>
  <si>
    <t>B0C9R76ZQT</t>
  </si>
  <si>
    <t>AL-KS-FRHC-1617HYEL-16SL10S</t>
  </si>
  <si>
    <t>Fuel Rider 16 inch Silver ABS Hubcap Wheel Cover for 2016-2017 Hyundai Elantra (Set of 4) Wheelcovers for 16 inch Standard Steel Wheels- Auto Tire Cover Replacement Exterior Cap Cover</t>
  </si>
  <si>
    <t>112-5511798-7401834</t>
  </si>
  <si>
    <t>DvWJsVLpRRMA</t>
  </si>
  <si>
    <t>1ZH92F629010165563</t>
  </si>
  <si>
    <t>112-1744671-7661839</t>
  </si>
  <si>
    <t>DLPBV2LNRRMA</t>
  </si>
  <si>
    <t>1ZH92F629092439873</t>
  </si>
  <si>
    <t>B0C9R7RTY6</t>
  </si>
  <si>
    <t>AL-KS-FRHC-1214FOFO-16SL7YS</t>
  </si>
  <si>
    <t>Fuel Rider 16 inch Silver ABS Hubcap Wheel Cover for 2012-2014 Ford Focus (Set of 4) Wheelcovers for 16 inch Standard Steel Wheels- Auto Tire Cover Replacement Exterior Cap Cover</t>
  </si>
  <si>
    <t>111-6172889-5121067</t>
  </si>
  <si>
    <t>DrDRzYLTRRMA</t>
  </si>
  <si>
    <t>1ZH92F629094803797</t>
  </si>
  <si>
    <t>B0C9R7SNTH</t>
  </si>
  <si>
    <t>AL-KS-FRHC-1820KIRI-15GB8DS</t>
  </si>
  <si>
    <t>Fuel Rider 15 inch Gloss Black ABS Hubcap Wheel Cover for 2018-2020 Kia Rio (Set of 4) Wheelcovers for 15 inch Standard Steel Wheels- Auto Tire Cover Replacement Exterior Cap Cover</t>
  </si>
  <si>
    <t>114-0823409-7138613</t>
  </si>
  <si>
    <t>D2V2LRLVRRMA</t>
  </si>
  <si>
    <t>1ZH92F629011589050</t>
  </si>
  <si>
    <t>B0C9R7XF1F</t>
  </si>
  <si>
    <t>AL-KS-FRHC-1922TORA-17GB6S</t>
  </si>
  <si>
    <t>Fuel Rider 17 inch Gloss Black ABS Hubcap Wheel Cover for 2019-2022 Toyota Rav4 LE (Set of 4) Wheelcovers for 17 inch Standard Steel Wheels- Auto Tire Cover Replacement Exterior Cap Cover</t>
  </si>
  <si>
    <t>111-5508860-2369860</t>
  </si>
  <si>
    <t>Dh9ZL4L1RRMA</t>
  </si>
  <si>
    <t>1ZH92F629011439766</t>
  </si>
  <si>
    <t>114-0179771-2821818</t>
  </si>
  <si>
    <t>Df1GvWLhRRMA</t>
  </si>
  <si>
    <t>1ZH92F629096281357</t>
  </si>
  <si>
    <t>114-8995159-8790625</t>
  </si>
  <si>
    <t>Dvb5zPLCRRMA</t>
  </si>
  <si>
    <t>1ZH92F629094576275</t>
  </si>
  <si>
    <t>B0C9R7YFH7</t>
  </si>
  <si>
    <t>AL-KS-FRHC-0611CHHH-16SL5S</t>
  </si>
  <si>
    <t>Fuel Rider 16 inch Silver ABS Hubcap Wheel Cover for 2006-2011 Chevrolet HHR (Set of 4) Wheelcovers for 16 inch Standard Steel Wheels- Auto Tire Cover Replacement Exterior Cap Cover</t>
  </si>
  <si>
    <t>113-0446974-6093869</t>
  </si>
  <si>
    <t>D5Rq2cLKRRMA</t>
  </si>
  <si>
    <t>1ZH92F629091092089</t>
  </si>
  <si>
    <t>112-9205478-0847430</t>
  </si>
  <si>
    <t>DsTYFBLGRRMA</t>
  </si>
  <si>
    <t>1ZH92F629089951191</t>
  </si>
  <si>
    <t>111-1804385-3433857</t>
  </si>
  <si>
    <t>DvXjY6LRRRMA</t>
  </si>
  <si>
    <t>1ZH92F629088012797</t>
  </si>
  <si>
    <t>113-2939335-8517037</t>
  </si>
  <si>
    <t>D4SGLxL5RRMA</t>
  </si>
  <si>
    <t>1ZH92F629012078270</t>
  </si>
  <si>
    <t>113-7346185-1393021</t>
  </si>
  <si>
    <t>DZpBFHLdRRMA</t>
  </si>
  <si>
    <t>1ZH92F629089516429</t>
  </si>
  <si>
    <t>B0C9R8GFYR</t>
  </si>
  <si>
    <t>AL-KS-FRHC-0305HOCI-15SL7S</t>
  </si>
  <si>
    <t>Fuel Rider 15 inch Silver ABS Hubcap Wheel Cover for 2003-2005 Honda Civic (Set of 4) Wheelcovers for 15 inch Standard Steel Wheels- Auto Tire Cover Replacement Exterior Cap Cover</t>
  </si>
  <si>
    <t>111-2937117-3223417</t>
  </si>
  <si>
    <t>DxV17MLbRRMA</t>
  </si>
  <si>
    <t>1ZH92F629013016450</t>
  </si>
  <si>
    <t>112-6311577-2484242</t>
  </si>
  <si>
    <t>D5Qg2SLjRRMA</t>
  </si>
  <si>
    <t>1ZH92F629091686992</t>
  </si>
  <si>
    <t>B0C9R8QVL8</t>
  </si>
  <si>
    <t>AL-KS-FRHC-1420DOGR-17CH10S</t>
  </si>
  <si>
    <t>Fuel Rider 17 inch Chrome ABS Hubcap Wheel Cover for 2014-2020 Dodge Grand Caravan (Set of 4) Wheelcovers for 17 inch Standard Steel Wheels- Auto Tire Cover Replacement Exterior Cap Cover</t>
  </si>
  <si>
    <t>113-7936639-6946609</t>
  </si>
  <si>
    <t>DQVSVyLNRRMA</t>
  </si>
  <si>
    <t>1ZH92F629093150486</t>
  </si>
  <si>
    <t>B0C9R8VVV8</t>
  </si>
  <si>
    <t>AL-KS-FRHC-1420NIRO-17GB10S</t>
  </si>
  <si>
    <t>Fuel Rider 17 inch Gloss Black ABS Hubcap Wheel Cover for 2014-2020 Nissan Rogue (Set of 4) Wheelcovers for 17 inch Standard Steel Wheels- Auto Tire Cover Replacement Exterior Cap Cover</t>
  </si>
  <si>
    <t>113-7202993-1811457</t>
  </si>
  <si>
    <t>DLBDD4LKRRMA</t>
  </si>
  <si>
    <t>1ZH92F629088921733</t>
  </si>
  <si>
    <t>B0CHHZ2LZX</t>
  </si>
  <si>
    <t>AL-KS-FRWS-3857-17GB-9S</t>
  </si>
  <si>
    <t>Fuel Rider Set of Four (4) 17 inches Gloss Black ABS Wheel Skins Impostors Wheel Covers Compatible with 2010-2022 Ford F-150 Wheels- Auto Tire Replacement Cap Cover</t>
  </si>
  <si>
    <t>112-8281161-3656255</t>
  </si>
  <si>
    <t>DtHBFxLcRRMA</t>
  </si>
  <si>
    <t>1ZH92F629089886388</t>
  </si>
  <si>
    <t>B0CHJ3XXC2</t>
  </si>
  <si>
    <t>AL-KS-FRWS-M1PC1007E1B-17GB-5SP</t>
  </si>
  <si>
    <t>Fuel Rider Set of Four (4) 17 inches Gloss Black ABS Wheel Skins Impostors Wheel Covers Compatible with 2021-2022 Ford Bronco Sport (Base Model) Wheels- Auto Tire Replacement Cap Cover</t>
  </si>
  <si>
    <t>114-4754335-0809853</t>
  </si>
  <si>
    <t>DtPJDdLMRRMA</t>
  </si>
  <si>
    <t>1ZH92F629088078771</t>
  </si>
  <si>
    <t>B0CHK74522</t>
  </si>
  <si>
    <t>AL-KS-FRWS-5830-18GB-5YS</t>
  </si>
  <si>
    <t>Fuel Rider Set of Four (4) 18 inches Gloss Black ABS Wheel Skins Impostors Wheel Covers Compatible with 2018-2021 Chevrolet Equinox Wheels- Auto Tire Replacement Cap Cover</t>
  </si>
  <si>
    <t>111-8035295-9843453</t>
  </si>
  <si>
    <t>Dqp12rLkRRMA</t>
  </si>
  <si>
    <t>1ZH92F629091039002</t>
  </si>
  <si>
    <t>B0CHK769PM</t>
  </si>
  <si>
    <t>AL-KS-FRWS-68813-17CH-5SP</t>
  </si>
  <si>
    <t>Fuel Rider Set of Four (4) 17 inches Chrome ABS Wheel Skins Impostors Wheel Covers Compatible with 2014-2018 Subaru Forester Wheels- Auto Tire Replacement Cap Cover</t>
  </si>
  <si>
    <t>114-3544973-0593848</t>
  </si>
  <si>
    <t>D8HQL3L2RRMA</t>
  </si>
  <si>
    <t>1ZH92F629011259308</t>
  </si>
  <si>
    <t>B0CHK786NH</t>
  </si>
  <si>
    <t>AL-KS-FRWS-84760166-18CH-6VS</t>
  </si>
  <si>
    <t>Fuel Rider Set of Four (4) 18 inches Chrome ABS Wheel Skins Impostors Wheel Covers Compatible with 2017-2019 GMC Acadia Wheels- Auto Tire Replacement Cap Cover</t>
  </si>
  <si>
    <t>112-3853241-7532260</t>
  </si>
  <si>
    <t>DjnJ2PL5RRMA</t>
  </si>
  <si>
    <t>1ZH92F629091030823</t>
  </si>
  <si>
    <t>B0CHK7GX82</t>
  </si>
  <si>
    <t>AL-KS-FRWS-9195-17GB-5SP</t>
  </si>
  <si>
    <t>Fuel Rider Set of Four (4) 17 inches Gloss Black ABS Wheel Skins Impostors Wheel Covers Compatible with 2018-2022 Jeep Wrangler JL Wheels- Auto Tire Replacement Cap Cover</t>
  </si>
  <si>
    <t>114-7072786-9903443</t>
  </si>
  <si>
    <t>DxPZFGLYRRMA</t>
  </si>
  <si>
    <t>1ZH92F629089416091</t>
  </si>
  <si>
    <t>B0CHK88XHS</t>
  </si>
  <si>
    <t>AL-KS-FRWS-22968931-18GB-5SP</t>
  </si>
  <si>
    <t>Fuel Rider Set of Four (4) 18 inches Gloss Black ABS Wheel Skins Impostors Wheel Covers Compatible with 2018-2020 GMC Terrain Wheels- Auto Tire Replacement Cap Cover</t>
  </si>
  <si>
    <t>114-2820638-8393020</t>
  </si>
  <si>
    <t>DkvtLHLgRRMA</t>
  </si>
  <si>
    <t>1ZH92F629012092389</t>
  </si>
  <si>
    <t>B0CHK9BQYR</t>
  </si>
  <si>
    <t>AL-KS-FRWS-64075-17GB-5SP</t>
  </si>
  <si>
    <t>Fuel Rider Set of Four (4) 17 inches Gloss Black ABS Wheel Skins Impostors Wheel Covers Compatible with 2016-2022 Honda HR-V Wheels- Auto Tire Replacement Cap Cover</t>
  </si>
  <si>
    <t>111-4545494-4654607</t>
  </si>
  <si>
    <t>D4VZL1LjRRMA</t>
  </si>
  <si>
    <t>1ZH92F629011616350</t>
  </si>
  <si>
    <t>B0CHK9KGRS</t>
  </si>
  <si>
    <t>AL-KS-FRWS-95093-18GB-15S</t>
  </si>
  <si>
    <t>Fuel Rider Set of Four (4) 18 inches Gloss Black ABS Wheel Skins Impostors Wheel Covers Compatible with 2021-2022 Toyota Camry Wheels- Auto Tire Replacement Cap Cover</t>
  </si>
  <si>
    <t>113-0721963-9788244</t>
  </si>
  <si>
    <t>D2WxcPLrRRMA</t>
  </si>
  <si>
    <t>1ZH92F629097297204</t>
  </si>
  <si>
    <t>B0CHKGB9ZV</t>
  </si>
  <si>
    <t>AL-KS-FRWS-10108-17CH-5DS</t>
  </si>
  <si>
    <t>Fuel Rider Set of Four (4) 17 inches Chrome ABS Wheel Skins Impostors Wheel Covers Compatible with 2017-2019 Ford Escape Wheels- Auto Tire Replacement Cap Cover</t>
  </si>
  <si>
    <t>114-6747365-9433809</t>
  </si>
  <si>
    <t>DQZpLbLxRRMA</t>
  </si>
  <si>
    <t>1ZH92F629011523549</t>
  </si>
  <si>
    <t>B0CHKGYZH9</t>
  </si>
  <si>
    <t>AL-KS-FRWS-4261108200-17CH-10S</t>
  </si>
  <si>
    <t>Fuel Rider Set of Four (4) 17 inches Chrome ABS Wheel Skins Impostors Wheel Covers Compatible with 2021-2024 Toyota Sienna LE</t>
  </si>
  <si>
    <t>112-0724097-7520234</t>
  </si>
  <si>
    <t>DsW97cL4RRMA</t>
  </si>
  <si>
    <t>1ZH92F629012879879</t>
  </si>
  <si>
    <t>B0CHKK21HD</t>
  </si>
  <si>
    <t>AL-KS-FRWS-4261108200-17GB-10S</t>
  </si>
  <si>
    <t>Fuel Rider Set of Four (4) 17 inches Gloss Black ABS Wheel Skins Impostors Wheel Covers Compatible with 2021-2022 Toyota Sienna Wheels- Auto Tire Replacement Cap Cover</t>
  </si>
  <si>
    <t>113-7849991-5092231</t>
  </si>
  <si>
    <t>DpLH2NL7RRMA</t>
  </si>
  <si>
    <t>1ZH92F629091298750</t>
  </si>
  <si>
    <t>B0CHKKC985</t>
  </si>
  <si>
    <t>AL-KS-FRWS-74748-17GB-5SS</t>
  </si>
  <si>
    <t>Fuel Rider Set of Four (4) 17 inches Gloss Black ABS Wheel Skins Impostors Wheel Covers Compatible with 2017-2020 Kia Sportage Wheels- Auto Tire Replacement Cap Cover</t>
  </si>
  <si>
    <t>113-4190254-7804244</t>
  </si>
  <si>
    <t>DYh3L6LbRRMA</t>
  </si>
  <si>
    <t>1ZH92F629011353563</t>
  </si>
  <si>
    <t>B0CHKLWWLR</t>
  </si>
  <si>
    <t>AL-KS-FRWS-403006FL3A-18CH-5VS</t>
  </si>
  <si>
    <t>Fuel Rider Set of Four (4) 18 inches Chrome ABS Wheel Skins Impostors Wheel Covers Compatible with 2017-2020 Nissan Rogue Wheels- Auto Tire Replacement Cap Cover</t>
  </si>
  <si>
    <t>112-6426124-9953009</t>
  </si>
  <si>
    <t>Dsb52nLHRRMA</t>
  </si>
  <si>
    <t>1ZH92F629091808538</t>
  </si>
  <si>
    <t>B0CHKMVVDL</t>
  </si>
  <si>
    <t>AL-KS-FRWS-2449-17GB-5SP</t>
  </si>
  <si>
    <t>Fuel Rider Set of Four (4) 17 inches Gloss Black ABS Wheel Skins Impostors Wheel Covers Compatible with 2013-2018 Ram 1500 Wheels- Auto Tire Replacement Cap Cover</t>
  </si>
  <si>
    <t>111-2037982-8119400</t>
  </si>
  <si>
    <t>Dr4wDSL5RRMA</t>
  </si>
  <si>
    <t>1ZH92F629089244473</t>
  </si>
  <si>
    <t>B0CHKNBSLL</t>
  </si>
  <si>
    <t>AL-KS-FRWS-5712-18CH-10S</t>
  </si>
  <si>
    <t>Fuel Rider Set of Four (4) 18 inche Chrome ABS Wheel Skin Impostor Wheel Covers Compatible with 2016-2020 Chevrolet Impala and 2018-2023 Equinox Wheels - Auto Tire Replacement Cover</t>
  </si>
  <si>
    <t>114-9768192-8905830</t>
  </si>
  <si>
    <t>DpnpzfLGRRMA</t>
  </si>
  <si>
    <t>1ZH92F629093812243</t>
  </si>
  <si>
    <t>B0CHKNHM6T</t>
  </si>
  <si>
    <t>AL-KS-FRWS-5894-17CC-10S</t>
  </si>
  <si>
    <t>Fuel Rider Set of Four (4) 17 inches Chrome &amp; Charcoal ABS Wheel Skins Impostors Wheel Covers Compatible with 2019-2022 Chevrolet Malibu Wheels- Auto Tire Replacement Cap Cover</t>
  </si>
  <si>
    <t>113-5747416-6592246</t>
  </si>
  <si>
    <t>DsFtFrL1RRMA</t>
  </si>
  <si>
    <t>1ZH92F629090671919</t>
  </si>
  <si>
    <t>B0CHKNQ2K9</t>
  </si>
  <si>
    <t>AL-KS-FRWS-10059-18GB-5SP</t>
  </si>
  <si>
    <t>Fuel Rider Set of Four (4) 18 inches Gloss Black ABS Wheel Skin Impostor Wheel Covers Compatible with Select 2011-2019 Ford Explorer</t>
  </si>
  <si>
    <t>112-7561030-8421859</t>
  </si>
  <si>
    <t>DHjwFgLpRRMA</t>
  </si>
  <si>
    <t>1ZH92F629090558604</t>
  </si>
  <si>
    <t>B0CHKQF3B6</t>
  </si>
  <si>
    <t>AL-KS-FRWS-2511-17GB-10S</t>
  </si>
  <si>
    <t>Fuel Rider Set of Four (4) 17 inch Gloss Black ABS Wheel Skins Impostors Wheel Covers Compatible with 2015-2017 Chrysler 200 Limited Wheels - Auto Tire Replacement Cap Cover</t>
  </si>
  <si>
    <t>111-5159609-1616241</t>
  </si>
  <si>
    <t>DqZ5FzLxRRMA</t>
  </si>
  <si>
    <t>1ZH92F629090192884</t>
  </si>
  <si>
    <t>111-3881064-9824203</t>
  </si>
  <si>
    <t>DKVwznLzRRMA</t>
  </si>
  <si>
    <t>1ZH92F629094623311</t>
  </si>
  <si>
    <t>B0CHKQNXVR</t>
  </si>
  <si>
    <t>AL-KS-FRWS-3943-17CH-5SP</t>
  </si>
  <si>
    <t>Fuel Rider Set of Four (4) 17 inches Chrome ABS Wheel Skins Impostors Wheel Covers Compatible with 2013-2016 Ford Escape Wheels- Auto Tire Replacement Cap Cover</t>
  </si>
  <si>
    <t>114-4024546-6723450</t>
  </si>
  <si>
    <t>DxB7zlLCRRMA</t>
  </si>
  <si>
    <t>1ZH92F629094723712</t>
  </si>
  <si>
    <t>B0CHKSRSZM</t>
  </si>
  <si>
    <t>AL-KS-FRWS-KT4Z1007A-18GB-5SS</t>
  </si>
  <si>
    <t>Fuel Rider Set of Four (4) 18 inches Gloss Black ABS Wheel Skins Impostors Wheel Covers Compatible with 2019-2021 Ford Edge Wheels- Auto Tire Replacement Cap Cover</t>
  </si>
  <si>
    <t>114-5181605-9941864</t>
  </si>
  <si>
    <t>DYwV2fLpRRMA</t>
  </si>
  <si>
    <t>1ZH92F629091772611</t>
  </si>
  <si>
    <t>B0CHKSSL9T</t>
  </si>
  <si>
    <t>AL-KS-FRWS-3847-20CH-5SS</t>
  </si>
  <si>
    <t>Fuel Rider Single 20 inche Chrome ABS Wheel Skins Impostors Wheel Cover Compatible with 2011-2014 Ford Edge Wheels- Auto Tire Replacement Cap Cover</t>
  </si>
  <si>
    <t>111-8640699-4662627</t>
  </si>
  <si>
    <t>DpdGFTLJRRMA</t>
  </si>
  <si>
    <t>B0CJB2HVFL</t>
  </si>
  <si>
    <t>AL-KS-FRCC-H3289-CH-FR</t>
  </si>
  <si>
    <t>Fuel Rider Set of 2 Chrome ABS Center Caps Designed for 11-22 Chevrolet Silverado 3500 Front Pair</t>
  </si>
  <si>
    <t>CR-DAMAGED_BY_CARRIER</t>
  </si>
  <si>
    <t>112-4870139-7025029</t>
  </si>
  <si>
    <t>Dx07L2LsRRMA</t>
  </si>
  <si>
    <t>1ZH92F629011130151</t>
  </si>
  <si>
    <t>B0CJB2PYNZ</t>
  </si>
  <si>
    <t>AL-KS-FRCC-9009-GBK-FR</t>
  </si>
  <si>
    <t>Fuel Rider Set of 2 Gloss Black ABS Center Caps Designed for 19-22 Ram 3500 Front Pair</t>
  </si>
  <si>
    <t>114-3644799-9869067</t>
  </si>
  <si>
    <t>DW0j7SLqRRMA</t>
  </si>
  <si>
    <t>1ZH92F629012537630</t>
  </si>
  <si>
    <t>B0CJB3P9T8</t>
  </si>
  <si>
    <t>AL-KS-FRCC-5500-SL-AL</t>
  </si>
  <si>
    <t>Fuel Rider Set of 4 Silver Center Caps for 2011-2024 Chevy Silverado &amp; GMC Sierra 2500/3500 HD Alloy Wheels Only - Silver/Black</t>
  </si>
  <si>
    <t>113-9245657-3882657</t>
  </si>
  <si>
    <t>Dr4hvnLBRRMA</t>
  </si>
  <si>
    <t>1ZH92F629096432952</t>
  </si>
  <si>
    <t>111-2089551-5478637</t>
  </si>
  <si>
    <t>DHtlVZLXRRMA</t>
  </si>
  <si>
    <t>1ZH92F629093143458</t>
  </si>
  <si>
    <t>B0CMWZS3QJ</t>
  </si>
  <si>
    <t>AL-KS-FRHC-61133-15SL-6S</t>
  </si>
  <si>
    <t>Fuel Rider 15 inch Silver ABS Hubcap Wheel Compatible with 2005-2008 Toyota Corolla (Set of 4) Wheelcovers for 15 inch Standard Steel Wheels- Auto Tire Cover Replacement Exterior Cap Cover</t>
  </si>
  <si>
    <t>112-5054907-9156207</t>
  </si>
  <si>
    <t>D7Zx2jLgRRMA</t>
  </si>
  <si>
    <t>1ZH92F629091801946</t>
  </si>
  <si>
    <t>B0CMWZS6SG</t>
  </si>
  <si>
    <t>AL-KS-FRWS-2185-20CH-10S</t>
  </si>
  <si>
    <t>Fuel Rider Set of 4 20 Inch Chrome Impostor Wheel Skins Compatible with 2021-2022 Dodge Durango GT R/T, 10 Spoke - Snap-on</t>
  </si>
  <si>
    <t>113-1810006-2497026</t>
  </si>
  <si>
    <t>DrfHQXLGRRMA</t>
  </si>
  <si>
    <t>1ZH92F629098462210</t>
  </si>
  <si>
    <t>B0CMX11Z4P</t>
  </si>
  <si>
    <t>AL-KS-FRHC-7052-17SL-5SP</t>
  </si>
  <si>
    <t>Fuel Rider 17 inch Silver ABS Hubcap Wheel Compatible with 2010-2012 Ford Fusion (Set of 4) Wheelcovers for 17 inch Standard Steel Wheels- Auto Tire Cover Replacement Exterior Cap Cover</t>
  </si>
  <si>
    <t>113-5415596-7372264</t>
  </si>
  <si>
    <t>Dt0wvzLrRRMA</t>
  </si>
  <si>
    <t>1ZH92F629095626530</t>
  </si>
  <si>
    <t>B0CMX1GKKW</t>
  </si>
  <si>
    <t>AL-KS-FRWS-2185-17GB-5VS</t>
  </si>
  <si>
    <t>Fuel Rider Set of 4 Gloss Black ABS Impostor Wheel Skins Compatible with 18-21 Chevy Equinox 5 "V Spoke</t>
  </si>
  <si>
    <t>114-3137178-7590617</t>
  </si>
  <si>
    <t>D8zS7gL6RRMA</t>
  </si>
  <si>
    <t>1ZH92F629012757572</t>
  </si>
  <si>
    <t>B0CMX1SZP9</t>
  </si>
  <si>
    <t>AL-KS-FRWS-3859-18GB-5SS</t>
  </si>
  <si>
    <t>Fuel Rider Set of 4 Gloss Black ABS Impostor Wheel Skins Compatible with 11-17 Ford Explorer 5 Split Spoke</t>
  </si>
  <si>
    <t>113-5144811-1358663</t>
  </si>
  <si>
    <t>Dk5kY4LNRRMA</t>
  </si>
  <si>
    <t>1ZH92F629087929513</t>
  </si>
  <si>
    <t>B0CMX28JCM</t>
  </si>
  <si>
    <t>AL-KS-FRHC-53096-15SL-5DS</t>
  </si>
  <si>
    <t>Fuel Rider 15 inch Silver ABS Hubcap Wheel Compatible with 2020-2022 Nissan's Versa (Set of 4) Wheelcovers for 15 inch Standard Steel Wheels- Auto Tire Cover Replacement Exterior Cap Cover</t>
  </si>
  <si>
    <t>111-8721140-5765835</t>
  </si>
  <si>
    <t>Dj4pvNL5RRMA</t>
  </si>
  <si>
    <t>1ZH92F629096452823</t>
  </si>
  <si>
    <t>B0CZ5GCV3F</t>
  </si>
  <si>
    <t>AL-KS-FRWS-1684-16SS-8L8HH</t>
  </si>
  <si>
    <t>Fuel Rider Set of 4 Universal Polished Stainless Steel 16 inch Wheel Simulators with 360° Saw Tooth Clip Retention Truck Van RV Motorhome Dually Wheel Covers</t>
  </si>
  <si>
    <t>114-7008905-1992267</t>
  </si>
  <si>
    <t>DFsZMrLrRRMA</t>
  </si>
  <si>
    <t>1ZH92F629016735212</t>
  </si>
  <si>
    <t>114-0819588-3178667</t>
  </si>
  <si>
    <t>DBpXTVLPRRMA</t>
  </si>
  <si>
    <t>1ZH92F629024288986</t>
  </si>
  <si>
    <t>113-2732706-5003440</t>
  </si>
  <si>
    <t>DTrvntLYRRMA</t>
  </si>
  <si>
    <t>1ZH92F629022951931</t>
  </si>
  <si>
    <t>112-5285214-0512253</t>
  </si>
  <si>
    <t>DpGnGXLKRRMA</t>
  </si>
  <si>
    <t>1ZH92F629029276426</t>
  </si>
  <si>
    <t>B014EIYMS4</t>
  </si>
  <si>
    <t>AL-KS-WCHC-61104-15SL</t>
  </si>
  <si>
    <t>OxGord 15 inch Hubcaps Compatible with 1988-2001 Toyota Camry - (Set of 4) Wheel Covers 15in Hub Caps Silver Rim Cover for Standard Steel Wheels - Snap On</t>
  </si>
  <si>
    <t>111-5096939-3888230</t>
  </si>
  <si>
    <t>Dfy6tSLCRRMA</t>
  </si>
  <si>
    <t>1ZH92F629028730972</t>
  </si>
  <si>
    <t>112-0663092-6871423</t>
  </si>
  <si>
    <t>DKNXPBLPRRMA</t>
  </si>
  <si>
    <t>1ZH92F629027274155</t>
  </si>
  <si>
    <t>113-3766405-6131462</t>
  </si>
  <si>
    <t>DFHznVLQRRMA</t>
  </si>
  <si>
    <t>1ZH92F629023220577</t>
  </si>
  <si>
    <t>112-2235169-0667422</t>
  </si>
  <si>
    <t>DfVv3WLtRRMA</t>
  </si>
  <si>
    <t>1ZH92F629020387715</t>
  </si>
  <si>
    <t>113-6541468-2558628</t>
  </si>
  <si>
    <t>D4kRM8LlRRMA</t>
  </si>
  <si>
    <t>1ZH92F629017727461</t>
  </si>
  <si>
    <t>113-0984368-6784238</t>
  </si>
  <si>
    <t>DZ39tVLHRRMA</t>
  </si>
  <si>
    <t>1ZH92F629028646420</t>
  </si>
  <si>
    <t>B014ER3VTQ</t>
  </si>
  <si>
    <t>AL-KS-WCHC-53078-16SL</t>
  </si>
  <si>
    <t>16 inch Hubcaps Best for 2009-2012 Nissan Altima - (Set of 4) Wheel Covers 16in Hub Caps Silver Rim Cover - Car Accessories for 16 inch Wheels - Snap On Hubcap, Auto Tire Replacement Exterior Cap</t>
  </si>
  <si>
    <t>111-4587109-8972239</t>
  </si>
  <si>
    <t>DrJv0bLBRRMA</t>
  </si>
  <si>
    <t>1ZH92F629035958302</t>
  </si>
  <si>
    <t>Filed</t>
  </si>
  <si>
    <t>112-9869186-5341867</t>
  </si>
  <si>
    <t>D8ZXxRL6RRMA</t>
  </si>
  <si>
    <t>1ZH92F629021966463</t>
  </si>
  <si>
    <t>111-1508779-8984208</t>
  </si>
  <si>
    <t>DsFTxdL2RRMA</t>
  </si>
  <si>
    <t>1ZH92F629022456048</t>
  </si>
  <si>
    <t>B014HZZMNI</t>
  </si>
  <si>
    <t>AL-KS-WCHC-61156-15SL</t>
  </si>
  <si>
    <t>OxGord 15 inch Hubcaps Best for 10-11 Toyota Prius - (Set of 4) Wheel Covers 15in Hub Caps Silver Rim Cover - Car Accessories for 15 inch Wheels - Bolt On Hubcap, Auto Tire Replacement Exterior Cap</t>
  </si>
  <si>
    <t>111-4582760-0533804</t>
  </si>
  <si>
    <t>DkGBJVLzRRMA</t>
  </si>
  <si>
    <t>1ZH92F629018243419</t>
  </si>
  <si>
    <t>B014I2AH0S</t>
  </si>
  <si>
    <t>AL-KS-WCHC-3021-16SL-2</t>
  </si>
  <si>
    <t>16 Inch Hub-caps Compatible with 06-11 Chevrolet Impala (Pack of 4) Wheel Covers - Snap On (Silver)</t>
  </si>
  <si>
    <t>112-1379182-9643434</t>
  </si>
  <si>
    <t>D8VfP1LpRRMA</t>
  </si>
  <si>
    <t>1ZH92F629026777579</t>
  </si>
  <si>
    <t>B014I7BJUA</t>
  </si>
  <si>
    <t>AL-KS-WCHC-3285-15SL</t>
  </si>
  <si>
    <t>Hub-caps for 05-10 Chevrolet Cobalt (Pack of 4) Wheel Covers 15 inch Snap On Silver</t>
  </si>
  <si>
    <t>113-1761301-2255452</t>
  </si>
  <si>
    <t>Dr9g3FLWRRMA</t>
  </si>
  <si>
    <t>1ZH92F629020199777</t>
  </si>
  <si>
    <t>SUBMIT</t>
  </si>
  <si>
    <t>83541-58083-5268530</t>
  </si>
  <si>
    <t>PENDING_ACTION</t>
  </si>
  <si>
    <t>114-3199728-5337846</t>
  </si>
  <si>
    <t>DfBBPhLBRRMA</t>
  </si>
  <si>
    <t>1ZH92F629026848939</t>
  </si>
  <si>
    <t>111-4845240-7045862</t>
  </si>
  <si>
    <t>DKYTJgLWRRMA</t>
  </si>
  <si>
    <t>1ZH92F629018376419</t>
  </si>
  <si>
    <t>B014K38XMO</t>
  </si>
  <si>
    <t>AL-KS-WCHC-55056-15SL</t>
  </si>
  <si>
    <t>Hub-caps for 03-05 Honda Civic (Pack of 4) Wheel Covers 15 inch Snap On Silver</t>
  </si>
  <si>
    <t>D4XTr4L5RRMA</t>
  </si>
  <si>
    <t>1ZH92F629014858736</t>
  </si>
  <si>
    <t>DfXmrYL8RRMA</t>
  </si>
  <si>
    <t>1ZH92F629014855793</t>
  </si>
  <si>
    <t>113-1371591-7352269</t>
  </si>
  <si>
    <t>Df5PMVLMRRMA</t>
  </si>
  <si>
    <t>1ZH92F629017885844</t>
  </si>
  <si>
    <t>113-5108217-1137817</t>
  </si>
  <si>
    <t>DBtKTWL8RRMA</t>
  </si>
  <si>
    <t>1ZH92F629025085845</t>
  </si>
  <si>
    <t>114-9036345-1853818</t>
  </si>
  <si>
    <t>Dkcy3KLyRRMA</t>
  </si>
  <si>
    <t>1ZH92F629019982986</t>
  </si>
  <si>
    <t>B015HZH4BK</t>
  </si>
  <si>
    <t>AL-KS-WCWS-5433-17CH</t>
  </si>
  <si>
    <t>OxGord Set of 4 17 inch Chrome ABS Wheel Skins Impostors Wheel Covers Compatible with 2010-2017 Chevrolet Equinox Wheels- Auto Tire Replacement Cap Cover</t>
  </si>
  <si>
    <t>111-7364573-1705853</t>
  </si>
  <si>
    <t>DrLVJ3LrRRMA</t>
  </si>
  <si>
    <t>111-9527880-8930645</t>
  </si>
  <si>
    <t>112-4893392-0432249</t>
  </si>
  <si>
    <t>DrvHxGLsRRMA</t>
  </si>
  <si>
    <t>1ZH92F629022652504</t>
  </si>
  <si>
    <t>B017APLO6Q</t>
  </si>
  <si>
    <t>AL-EB-FFBS-112</t>
  </si>
  <si>
    <t>Fender Flares Compatible with 99-07 F-250 and F-350 (Pack of 4) Bolt On Pocket Style Wheel Fenders Flare - Accessories Best for Pick-up Trucks Trim Guards - Black, Paintable Parts with Hardware Kit</t>
  </si>
  <si>
    <t>114-6005811-7281063</t>
  </si>
  <si>
    <t>DYrgMrLMRRMA</t>
  </si>
  <si>
    <t>1ZH92F629016678865</t>
  </si>
  <si>
    <t>112-5656644-7849835</t>
  </si>
  <si>
    <t>Dtbc1YLtRRMA</t>
  </si>
  <si>
    <t>B017E14VIO</t>
  </si>
  <si>
    <t>AL-KS-WCWS-1684-SS</t>
  </si>
  <si>
    <t>Wheel Simulators Stainless Steel 16-inch (Set of 4) 16in Dually Wheels Simulator - Truck Accessories Best for Pick-up Trucks Vans RV Hub Caps Rim Skin Chrome Cover Parts - Universal Fits 8 Lug, 4 Hole</t>
  </si>
  <si>
    <t>111-0818360-4488248</t>
  </si>
  <si>
    <t>DkKYd9LqRRMA</t>
  </si>
  <si>
    <t>1ZH92F629032779387</t>
  </si>
  <si>
    <t>111-0564520-0024245</t>
  </si>
  <si>
    <t>DsrZnvLFRRMA</t>
  </si>
  <si>
    <t>1ZH92F629022947731</t>
  </si>
  <si>
    <t>111-2679704-3530652</t>
  </si>
  <si>
    <t>Dx8RJ1LDRRMA</t>
  </si>
  <si>
    <t>1ZH92F629018936984</t>
  </si>
  <si>
    <t>113-4581576-2092207</t>
  </si>
  <si>
    <t>B0192Q0UQQ</t>
  </si>
  <si>
    <t>AL-EB-ABTY-TCMA-9504</t>
  </si>
  <si>
    <t>Manual Automotive Antenna Ornament Nut Best for and Compatible with 1995-2004 Toyota Tacoma Mounted Radio Base Bezel Fender Replacement Part 86396-16020</t>
  </si>
  <si>
    <t>114-4129822-2119451</t>
  </si>
  <si>
    <t>DjYZdbLVRRMA</t>
  </si>
  <si>
    <t>1ZH92F629031459742</t>
  </si>
  <si>
    <t>113-8264491-0094651</t>
  </si>
  <si>
    <t>DQbm6MLMRRMA</t>
  </si>
  <si>
    <t>1ZH92F629033681640</t>
  </si>
  <si>
    <t>113-4479670-5469030</t>
  </si>
  <si>
    <t>DBXJPHLQRRMA</t>
  </si>
  <si>
    <t>1ZH92F629027405165</t>
  </si>
  <si>
    <t>113-1369939-0443451</t>
  </si>
  <si>
    <t>Dxhzr8LPRRMA</t>
  </si>
  <si>
    <t>1ZH92F629014054621</t>
  </si>
  <si>
    <t>114-0114116-9877044</t>
  </si>
  <si>
    <t>Dsg26zL3RRMA</t>
  </si>
  <si>
    <t>1ZH92F629033864407</t>
  </si>
  <si>
    <t>B01AYL4WKI</t>
  </si>
  <si>
    <t>AL-KS-WCHC-3021-16BK</t>
  </si>
  <si>
    <t>16 Inch Hub-caps Compatible with 06-11 Chevrolet Impala (Pack of 4) Wheel Covers - Snap On (Black)</t>
  </si>
  <si>
    <t>111-7325750-6557859</t>
  </si>
  <si>
    <t>DsR2tYLmRRMA</t>
  </si>
  <si>
    <t>1ZH92F629027601845</t>
  </si>
  <si>
    <t>111-2845935-0833855</t>
  </si>
  <si>
    <t>DLMnncLNRRMA</t>
  </si>
  <si>
    <t>1ZH92F629023592158</t>
  </si>
  <si>
    <t>113-8809328-8337004</t>
  </si>
  <si>
    <t>DjdzxXLXRRMA</t>
  </si>
  <si>
    <t>1ZH92F629021372014</t>
  </si>
  <si>
    <t>112-5916220-8405828</t>
  </si>
  <si>
    <t>D7pTP8LVRRMA</t>
  </si>
  <si>
    <t>1ZH92F629025893294</t>
  </si>
  <si>
    <t>B01DUZ7AAE</t>
  </si>
  <si>
    <t>AL-KS-WCHC-55069-16SL</t>
  </si>
  <si>
    <t>OxGord 16 inch Hubcaps Compatible with 06-09 Honda Civic - (Set of 4) Wheel Covers 16in Hub Caps Silver Rim Cover - Car Accessories for 16 inch Wheels - Bolt On Hubcap</t>
  </si>
  <si>
    <t>114-8992979-2829865</t>
  </si>
  <si>
    <t>114-8119213-9279461</t>
  </si>
  <si>
    <t>Dh2XPSLRRRMA</t>
  </si>
  <si>
    <t>1ZH92F629026787586</t>
  </si>
  <si>
    <t>111-3724051-2880222</t>
  </si>
  <si>
    <t>112-5577552-0685844</t>
  </si>
  <si>
    <t>D7Gw1fL2RRMA</t>
  </si>
  <si>
    <t>1ZH92F629015157063</t>
  </si>
  <si>
    <t>B01MFAJFUI</t>
  </si>
  <si>
    <t>AL-KS-WCWS-9077-16CH</t>
  </si>
  <si>
    <t>OxGord 16 inch Wheel Skins for 2007-2017 Jeep Patriot (Set of 4) Impostor Wheel Covers for 16 inch Chrome ABS Wheels- Auto Tire Replacement Exterior Cap Cover</t>
  </si>
  <si>
    <t>113-1509791-1105007</t>
  </si>
  <si>
    <t>Dtgs62LTRRMA</t>
  </si>
  <si>
    <t>9302010949890119002579</t>
  </si>
  <si>
    <t>111-7509611-5429023</t>
  </si>
  <si>
    <t>DFWtdfLjRRMA</t>
  </si>
  <si>
    <t>9302010949890118090881</t>
  </si>
  <si>
    <t>111-9961270-2957836</t>
  </si>
  <si>
    <t>D52BG3LGRRMA</t>
  </si>
  <si>
    <t>9302010949890117304484</t>
  </si>
  <si>
    <t>112-7618163-3788222</t>
  </si>
  <si>
    <t>Dj9mtKLLRRMA</t>
  </si>
  <si>
    <t>9302010949890116369729</t>
  </si>
  <si>
    <t>113-6942313-5424227</t>
  </si>
  <si>
    <t>DB24PJLTRRMA</t>
  </si>
  <si>
    <t>9302010949890115723478</t>
  </si>
  <si>
    <t>114-7177968-9405001</t>
  </si>
  <si>
    <t>D8KXTLLlRRMA</t>
  </si>
  <si>
    <t>9302010949890115242573</t>
  </si>
  <si>
    <t>113-3140370-7491412</t>
  </si>
  <si>
    <t>D2bwTmL6RRMA</t>
  </si>
  <si>
    <t>9302010949890114892045</t>
  </si>
  <si>
    <t>112-8440833-4369807</t>
  </si>
  <si>
    <t>DTQNxPL8RRMA</t>
  </si>
  <si>
    <t>9302010949890113403600</t>
  </si>
  <si>
    <t>112-8170864-4354661</t>
  </si>
  <si>
    <t>DrJMxyLdRRMA</t>
  </si>
  <si>
    <t>9302010949890113180419</t>
  </si>
  <si>
    <t>114-6282429-2171454</t>
  </si>
  <si>
    <t>DLqjxnLhRRMA</t>
  </si>
  <si>
    <t>9302010949890113111123</t>
  </si>
  <si>
    <t>114-5461655-9999442</t>
  </si>
  <si>
    <t>Dr1cJRLPRRMA</t>
  </si>
  <si>
    <t>9302010949890112269436</t>
  </si>
  <si>
    <t>114-2267205-3317016</t>
  </si>
  <si>
    <t>DkxPJNLPRRMA</t>
  </si>
  <si>
    <t>1ZH92F629018133216</t>
  </si>
  <si>
    <t>B06XDRTMDY</t>
  </si>
  <si>
    <t>AL-KS-WCCC-800-CH</t>
  </si>
  <si>
    <t>OxGord Rally Wheel Center Caps (Pack of 4) Best for GM Classic Car Accessories Snaps Over 14x6, 14x7, 15x6, 15x7, 15x8 &amp; 15x10 Rim-High Hat Derby Cap Cover is 7" Diameter, 3X Chrome Plated ABS Plastic</t>
  </si>
  <si>
    <t>113-0267980-8385049</t>
  </si>
  <si>
    <t>DZ2drqL3RRMA</t>
  </si>
  <si>
    <t>1ZH92F629014302988</t>
  </si>
  <si>
    <t>B0752B3F67</t>
  </si>
  <si>
    <t>AL-KS-WCHC-SWUN-16SL</t>
  </si>
  <si>
    <t>OxGord 16 Inch Hubcap Wheel Covers - (4) Hub Caps for Standard Steel Wheels - Snap On, Silver</t>
  </si>
  <si>
    <t>114-1015499-6862652</t>
  </si>
  <si>
    <t>DTpnd6L0RRMA</t>
  </si>
  <si>
    <t>1ZH92F629031041362</t>
  </si>
  <si>
    <t>112-1769148-5009865</t>
  </si>
  <si>
    <t>DZtVG9LkRRMA</t>
  </si>
  <si>
    <t>1ZH92F629030031017</t>
  </si>
  <si>
    <t>114-4945865-4420236</t>
  </si>
  <si>
    <t>DTDDMWLzRRMA</t>
  </si>
  <si>
    <t>1ZH92F629017571245</t>
  </si>
  <si>
    <t>B075Z8Q3ZC</t>
  </si>
  <si>
    <t>AL-KS-WCHC-SWUN-15GBK</t>
  </si>
  <si>
    <t>OxGord Hubcaps Wheel Covers - (Set of 4) Hub Caps Wheels Rim Cover - Car Accessories Silver Hubcap Standard Steel Rims - Snap On Auto Tire Replacement Exterior Cap (Black, 15 Inch)</t>
  </si>
  <si>
    <t>113-9594892-2234646</t>
  </si>
  <si>
    <t>Dx1FGMLkRRMA</t>
  </si>
  <si>
    <t>1ZH92F629030413319</t>
  </si>
  <si>
    <t>111-4207732-0949850</t>
  </si>
  <si>
    <t>DjJ0xNLJRRMA</t>
  </si>
  <si>
    <t>1ZH92F629021302974</t>
  </si>
  <si>
    <t>111-7605818-4502620</t>
  </si>
  <si>
    <t>DjZ43YLTRRMA</t>
  </si>
  <si>
    <t>1ZH92F629020289009</t>
  </si>
  <si>
    <t>113-6294111-0637852</t>
  </si>
  <si>
    <t>D28mGjLhRRMA</t>
  </si>
  <si>
    <t>1ZH92F629030326164</t>
  </si>
  <si>
    <t>113-2973595-8027419</t>
  </si>
  <si>
    <t>DZHYtYL1RRMA</t>
  </si>
  <si>
    <t>1ZH92F629027979984</t>
  </si>
  <si>
    <t>111-6415655-8413044</t>
  </si>
  <si>
    <t>DWs5tCLFRRMA</t>
  </si>
  <si>
    <t>1ZH92F629027742989</t>
  </si>
  <si>
    <t>114-5819126-5172262</t>
  </si>
  <si>
    <t>DvW1r7L3RRMA</t>
  </si>
  <si>
    <t>1ZH92F629014163950</t>
  </si>
  <si>
    <t>112-6081957-8777053</t>
  </si>
  <si>
    <t>Dt2bGWLJRRMA</t>
  </si>
  <si>
    <t>1ZH92F629030141283</t>
  </si>
  <si>
    <t>112-2424845-6477031</t>
  </si>
  <si>
    <t>B0771VTC3H</t>
  </si>
  <si>
    <t>AL-EB-PTGP-02-LG</t>
  </si>
  <si>
    <t>Dog Grass Pee Pad Potty - Artificial Grass Patch for Dogs - Pet Litter Box Training Pads Best for Puppy Indoor Turf - Fresh Fake Porch Lawn Toilet Mat Bathroom Tray - Doggie Trainer Balcony Patio Mats</t>
  </si>
  <si>
    <t>111-8375664-2501035</t>
  </si>
  <si>
    <t>DWqMGwL0RRMA</t>
  </si>
  <si>
    <t>1ZH92F629028989480</t>
  </si>
  <si>
    <t>Not filed</t>
  </si>
  <si>
    <t>112-5854733-1434639</t>
  </si>
  <si>
    <t>D2lbtRLmRRMA</t>
  </si>
  <si>
    <t>1ZH92F629027954125</t>
  </si>
  <si>
    <t>113-0215642-6917820</t>
  </si>
  <si>
    <t>DTgH78L6RRMA</t>
  </si>
  <si>
    <t>1ZH92F629013127483</t>
  </si>
  <si>
    <t>113-1583242-0072244</t>
  </si>
  <si>
    <t>DftBM2LyRRMA</t>
  </si>
  <si>
    <t>1ZH92F629017343287</t>
  </si>
  <si>
    <t>B0779J54PD</t>
  </si>
  <si>
    <t>AL-KS-WCHC-55099-16SLB</t>
  </si>
  <si>
    <t>16 inch Hubcaps Best for 2016-2017 Honda Civic - (Set of 4) Wheel Covers 16in Hub Caps Ice Black Rim Cover - Car Accessories for 16 inch Wheels - Snap On Hubcap, Auto Tire Replacement Exterior Cap</t>
  </si>
  <si>
    <t>113-2330300-6709846</t>
  </si>
  <si>
    <t>DZkY18LrRRMA</t>
  </si>
  <si>
    <t>1ZH92F629016122857</t>
  </si>
  <si>
    <t>114-9281794-5249003</t>
  </si>
  <si>
    <t>D7JpSRLmRRMA</t>
  </si>
  <si>
    <t>1ZH92F629034505918</t>
  </si>
  <si>
    <t>113-6059019-8724221</t>
  </si>
  <si>
    <t>DTl5MMLjRRMA</t>
  </si>
  <si>
    <t>1ZH92F629016971323</t>
  </si>
  <si>
    <t>112-4226324-5844204</t>
  </si>
  <si>
    <t>D5sp6LLfRRMA</t>
  </si>
  <si>
    <t>1ZH92F629033106271</t>
  </si>
  <si>
    <t>OxGord Fender Flares Compatible with 02-08 Dodge Ram 1500 2500 3500 - Bolt On Pocket Rivet Style - Pick-up Truck Accessories Trim Guards Re-Paintable Parts w/Hardware Kit (Pack of 4)</t>
  </si>
  <si>
    <t>112-8445536-4243414</t>
  </si>
  <si>
    <t>DfYp1kLzRRMA</t>
  </si>
  <si>
    <t>B078PB1PRY</t>
  </si>
  <si>
    <t>AL-EB-FFBS-113</t>
  </si>
  <si>
    <t>Fender Flares Compatible with Ford F-150 09-14 (Pack of 4) Bolt On Pocket Style Wheel Fenders Flare - Truck Accessories Best for Pick-up Trucks Trim Guards - Black Re-Paintable Parts with Hardware Kit</t>
  </si>
  <si>
    <t>114-8614989-9397868</t>
  </si>
  <si>
    <t>Df2kr7LPRRMA</t>
  </si>
  <si>
    <t>1ZH92F629014316973</t>
  </si>
  <si>
    <t>B078X2R3Y5</t>
  </si>
  <si>
    <t>AL-KS-WCHC-1153-15SL</t>
  </si>
  <si>
    <t>15 inch Hubcaps Best for 1997-2005 Buik Century - (Set of 4) Wheel Covers 15in Hub Caps Silver Rim Cover - Car Accessories for 15 inch Wheels - Snap On Hubcap, Auto Tire Replacement Exterior Cap</t>
  </si>
  <si>
    <t>114-2371737-3105861</t>
  </si>
  <si>
    <t>D8jP3SLVRRMA</t>
  </si>
  <si>
    <t>1ZH92F629020663550</t>
  </si>
  <si>
    <t>B079BCSDZV</t>
  </si>
  <si>
    <t>AL-KS-WCHC-8038-17CH</t>
  </si>
  <si>
    <t>17 inch Hubcaps Best for 2011-2014 Dodge Avenger - (Set of 4) Wheel Covers 17in Hub Caps Chrome Rim Cover - Car Accessories for 17 inch Wheels - Snap On Hubcap, Auto Tire Replacement Exterior Cap</t>
  </si>
  <si>
    <t>114-0554653-5781023</t>
  </si>
  <si>
    <t>DflCPQLJRRMA</t>
  </si>
  <si>
    <t>1ZH92F629026320767</t>
  </si>
  <si>
    <t>B079SMTQ2M</t>
  </si>
  <si>
    <t>AL-KS-WCHC-SWUN-17SL</t>
  </si>
  <si>
    <t>OxGord 17" Hubcap Wheel Cover Set for Standard Steel Wheels - Snap-on, Silver</t>
  </si>
  <si>
    <t>111-7868425-3490636</t>
  </si>
  <si>
    <t>DW3dSLLvRRMA</t>
  </si>
  <si>
    <t>1ZH92F629035513676</t>
  </si>
  <si>
    <t>113-6816435-1128265</t>
  </si>
  <si>
    <t>DsfZ15L7RRMA</t>
  </si>
  <si>
    <t>1ZH92F629015253584</t>
  </si>
  <si>
    <t>B07B5N2YWD</t>
  </si>
  <si>
    <t>AL-KS-WCWS-69394-16CH</t>
  </si>
  <si>
    <t>OxGord Set of 4 16 inch Chrome ABS Wheel Skin Impostor Wheel Covers Compatible with 2000-2006 Toyota Tundra &amp; 2001-2007 Sequoia - Auto Tire Replacement Cover</t>
  </si>
  <si>
    <t>113-2504702-5243451</t>
  </si>
  <si>
    <t>DLT6d3LtRRMA</t>
  </si>
  <si>
    <t>1ZH92F629031634767</t>
  </si>
  <si>
    <t>114-3446677-3628215</t>
  </si>
  <si>
    <t>D4jCT7LqRRMA</t>
  </si>
  <si>
    <t>1ZH92F629025402019</t>
  </si>
  <si>
    <t>112-7436370-5996264</t>
  </si>
  <si>
    <t>DK3nxyLCRRMA</t>
  </si>
  <si>
    <t>1ZH92F629022444373</t>
  </si>
  <si>
    <t>112-8582850-5465043</t>
  </si>
  <si>
    <t>Dq8B3gLKRRMA</t>
  </si>
  <si>
    <t>1ZH92F629020551359</t>
  </si>
  <si>
    <t>114-5979614-1715415</t>
  </si>
  <si>
    <t>DftzMPLSRRMA</t>
  </si>
  <si>
    <t>1ZH92F629017365094</t>
  </si>
  <si>
    <t>113-0356658-3608279</t>
  </si>
  <si>
    <t>D5lS11LXRRMA</t>
  </si>
  <si>
    <t>1ZH92F629015364259</t>
  </si>
  <si>
    <t>111-2399222-6988209</t>
  </si>
  <si>
    <t>D82NnwLyRRMA</t>
  </si>
  <si>
    <t>1ZH92F629023559775</t>
  </si>
  <si>
    <t>111-5323216-2464248</t>
  </si>
  <si>
    <t>DY7t79L7RRMA</t>
  </si>
  <si>
    <t>1ZH92F629013192448</t>
  </si>
  <si>
    <t>113-8434300-2887469</t>
  </si>
  <si>
    <t>D28fxyLbRRMA</t>
  </si>
  <si>
    <t>1ZH92F629022202535</t>
  </si>
  <si>
    <t>B07B8RL299</t>
  </si>
  <si>
    <t>AL-KS-WCWS-69450-15CH</t>
  </si>
  <si>
    <t>OxGord 15 inch Wheel Skins for 2004-2009 Toyota Prius (Set of 4) Impostor Wheel Covers for 15 inch Chrome ABS Wheels- Auto Tire Replacement Exterior Cap Cover</t>
  </si>
  <si>
    <t>114-6787524-4337842</t>
  </si>
  <si>
    <t>DkfYrWLTRRMA</t>
  </si>
  <si>
    <t>1ZH92F629013843271</t>
  </si>
  <si>
    <t>B07B9LXJY8</t>
  </si>
  <si>
    <t>AL-KS-WCHC-53088-16SL</t>
  </si>
  <si>
    <t>16 inch Hubcaps Compatible with 2013-2019 Nissan Altima - (Set of 4) Wheel Covers 16in Hub Cap Silver Rim Cover - Car Accessories for 16 inch Wheels - Snap On Hubcap</t>
  </si>
  <si>
    <t>114-7251013-1911427</t>
  </si>
  <si>
    <t>DY1nxKLhRRMA</t>
  </si>
  <si>
    <t>1ZH92F629022325420</t>
  </si>
  <si>
    <t>114-4815376-9020261</t>
  </si>
  <si>
    <t>DBX63lLhRRMA</t>
  </si>
  <si>
    <t>1ZH92F629021047983</t>
  </si>
  <si>
    <t>112-8216747-1514624</t>
  </si>
  <si>
    <t>Dpl11nLBRRMA</t>
  </si>
  <si>
    <t>1ZH92F629015331865</t>
  </si>
  <si>
    <t>112-3833962-3763437</t>
  </si>
  <si>
    <t>DHKFSmL5RRMA</t>
  </si>
  <si>
    <t>1ZH92F629035783250</t>
  </si>
  <si>
    <t>113-9525717-9841036</t>
  </si>
  <si>
    <t>DFq1GtLgRRMA</t>
  </si>
  <si>
    <t>1ZH92F629028995026</t>
  </si>
  <si>
    <t>114-7537143-4268221</t>
  </si>
  <si>
    <t>D4Ct3ZL1RRMA</t>
  </si>
  <si>
    <t>1ZH92F629019872774</t>
  </si>
  <si>
    <t>113-3706017-4521063</t>
  </si>
  <si>
    <t>Dp8XMQLlRRMA</t>
  </si>
  <si>
    <t>1ZH92F629017553041</t>
  </si>
  <si>
    <t>111-4668698-6229059</t>
  </si>
  <si>
    <t>DTCfPbL4RRMA</t>
  </si>
  <si>
    <t>1ZH92F629026235823</t>
  </si>
  <si>
    <t>B07DM9MR6W</t>
  </si>
  <si>
    <t>AL-KS-WCHC-61155-16BK</t>
  </si>
  <si>
    <t>16 inch Hubcaps Best for 2010-2011 Toyota Camry - (Set of 4) Wheel Covers 16in Hub Caps Black Rim Cover - Car Accessories for 16 inch Wheels - Snap On Hubcap, Auto Tire Replacement Exterior Cap</t>
  </si>
  <si>
    <t>113-6213663-6053003</t>
  </si>
  <si>
    <t>D7XZ38LRRRMA</t>
  </si>
  <si>
    <t>1ZH92F629021010584</t>
  </si>
  <si>
    <t>B07KBJ75J1</t>
  </si>
  <si>
    <t>AL-KS-WCTR-17-PLCH</t>
  </si>
  <si>
    <t>OxGord Beauty Trim Rings for 17 inch Rally Wheels 1 1/2 inch Deep Chrome ABS with Metal Clip &amp; Ring Retention</t>
  </si>
  <si>
    <t>111-1425295-3389835</t>
  </si>
  <si>
    <t>B07R3CCGSJ</t>
  </si>
  <si>
    <t>AL-EB-ABTY-UNIV-1114</t>
  </si>
  <si>
    <t>Antenna Mount Mast Pole for Toyota- Fits 2011-2014 FJ Cruiser, 2011-2013 Highlander, 2011-2014 Sienna, 2011-2014 Tundra</t>
  </si>
  <si>
    <t>111-9073740-6431442</t>
  </si>
  <si>
    <t>111-1704850-6306620</t>
  </si>
  <si>
    <t>113-7229192-4411458</t>
  </si>
  <si>
    <t>DsGV6KLxRRMA</t>
  </si>
  <si>
    <t>1ZH92F629033121156</t>
  </si>
  <si>
    <t>113-7681893-1325832</t>
  </si>
  <si>
    <t>DfS8tGL2RRMA</t>
  </si>
  <si>
    <t>1ZH92F629028832184</t>
  </si>
  <si>
    <t>114-3048363-3364222</t>
  </si>
  <si>
    <t>Dpm0x8LcRRMA</t>
  </si>
  <si>
    <t>1ZH92F629022362676</t>
  </si>
  <si>
    <t>111-3541471-3026607</t>
  </si>
  <si>
    <t>D7106fLtRRMA</t>
  </si>
  <si>
    <t>1ZH92F629033982342</t>
  </si>
  <si>
    <t>B09S4SMN53</t>
  </si>
  <si>
    <t>AL-KS-WCHC-56554-16IBK</t>
  </si>
  <si>
    <t>OxGord Hubcaps 16 inch Wheel Covers - (Set of 4) Hub Caps for 16in Wheels Rim Cover - Car Accessories Ice Black Hubcap Compatible with 2009-2013 Mazda 6 - Snap On Auto Tire Replacement Exterior Cap</t>
  </si>
  <si>
    <t>112-8236482-8430668</t>
  </si>
  <si>
    <t>DtWMG1LsRRMA</t>
  </si>
  <si>
    <t>1ZH92F629029871461</t>
  </si>
  <si>
    <t>B09WP82XBC</t>
  </si>
  <si>
    <t>AL-KS-WCWS-69459-16BK</t>
  </si>
  <si>
    <t>OxGord 16 inch Wheel Skins for 2005-2022 Toyota Tacoma (Set of 4) Impostor Wheel Covers for 16 inch Gloss Black ABS Wheels- Auto Tire Replacement Exterior Cap Cover</t>
  </si>
  <si>
    <t>113-0441041-0533824</t>
  </si>
  <si>
    <t>DK3FT0LTRRMA</t>
  </si>
  <si>
    <t>1ZH92F629025488311</t>
  </si>
  <si>
    <t>113-6471481-7203406</t>
  </si>
  <si>
    <t>DvXP3PLwRRMA</t>
  </si>
  <si>
    <t>1ZH92F629021007007</t>
  </si>
  <si>
    <t>112-0089097-9231441</t>
  </si>
  <si>
    <t>DsgGnFLzRRMA</t>
  </si>
  <si>
    <t>1ZH92F629023658220</t>
  </si>
  <si>
    <t>B09WP9D861</t>
  </si>
  <si>
    <t>AL-KS-WCWS-69514-BK</t>
  </si>
  <si>
    <t>OxGord 18 inch Wheel Skins for 2007-2021 Toyota Tundra (Set of 4) Impostor Wheel Covers for 18 inch Gloss Black ABS Wheels- Auto Tire Replacement Exterior Cap Cover</t>
  </si>
  <si>
    <t>114-1043590-3901814</t>
  </si>
  <si>
    <t>DZc23bLzRRMA</t>
  </si>
  <si>
    <t>1ZH92F629019983305</t>
  </si>
  <si>
    <t>114-4926837-7610615</t>
  </si>
  <si>
    <t>DQsRMFLtRRMA</t>
  </si>
  <si>
    <t>1ZH92F629016750553</t>
  </si>
  <si>
    <t>111-3130292-4701801</t>
  </si>
  <si>
    <t>DfGY34LRRRMA</t>
  </si>
  <si>
    <t>1ZH92F629019742735</t>
  </si>
  <si>
    <t>B0BC9XFNKD</t>
  </si>
  <si>
    <t>AL-KS-WCWS-2521-18BLK</t>
  </si>
  <si>
    <t>OxGord 18 inch Wheel Skins for 2015-2022 Dodge Challenger (Set of 4) Impostor Wheel Covers for 18 inch Gloss Black ABS Wheels- Auto Tire Replacement Exterior Cap Cover</t>
  </si>
  <si>
    <t>114-8135238-3133865</t>
  </si>
  <si>
    <t>DTl1tsLBRRMA</t>
  </si>
  <si>
    <t>1ZH92F629027945813</t>
  </si>
  <si>
    <t>B0BG3JZQS5</t>
  </si>
  <si>
    <t>AL-KS-WCWS-03995-17CH</t>
  </si>
  <si>
    <t>OxGord 17 inch Wheel Skins for 2015-2020 Ford F-150 (Set of 4) Impostor Wheel Covers for 17 inch Chrome ABS Wheels- Auto Tire Replacement Exterior Cap Cover</t>
  </si>
  <si>
    <t>112-1091651-1285859</t>
  </si>
  <si>
    <t>DtG5SqLJRRMA</t>
  </si>
  <si>
    <t>B0BP9S4Y7P</t>
  </si>
  <si>
    <t>AL-KS-WCWS-5296-17CH</t>
  </si>
  <si>
    <t>OxGord 17 inch Wheel Skins for 2007-2013 GMC Sierra 1500 (Set of 4) Impostor Wheel Covers for 17 inch Chrome ABS Wheels- Auto Tire Replacement Exterior Cap Cover - Snap On</t>
  </si>
  <si>
    <t>114-4616635-9493006</t>
  </si>
  <si>
    <t>D89cxTLVRRMA</t>
  </si>
  <si>
    <t>1ZH92F629021859114</t>
  </si>
  <si>
    <t>B0BP9T3415</t>
  </si>
  <si>
    <t>AL-KS-WCWS- 84473891-17GBK</t>
  </si>
  <si>
    <t>OxGord 17 inch Wheel Skins for 2021-2022 Chevy Colorado (Set of 4) Impostor Wheel Covers for 17 inch Gloss Black ABS Wheels- Auto Tire Replacement Exterior Cap Cover</t>
  </si>
  <si>
    <t>113-0416750-7883440</t>
  </si>
  <si>
    <t>DFTF3YLjRRMA</t>
  </si>
  <si>
    <t>1ZH92F629020042748</t>
  </si>
  <si>
    <t>B0BTSC5CVG</t>
  </si>
  <si>
    <t>AL-KS-WCWS-3943-17GBK</t>
  </si>
  <si>
    <t>OxGord 17 inch Wheel Skins (4) Compatible with Select 2013-2016 Ford Escape - Impostor Wheel Covers for Alloy Rims - Gloss Black</t>
  </si>
  <si>
    <t>114-6670283-9533851</t>
  </si>
  <si>
    <t>D7G73KLSRRMA</t>
  </si>
  <si>
    <t>1ZH92F629019753956</t>
  </si>
  <si>
    <t>111-3270130-1025020</t>
  </si>
  <si>
    <t>DhRdntLMRRMA</t>
  </si>
  <si>
    <t>1ZH92F629022868111</t>
  </si>
  <si>
    <t>113-5591045-8922640</t>
  </si>
  <si>
    <t>Dx0F6VLqRRMA</t>
  </si>
  <si>
    <t>1ZH92F629033210532</t>
  </si>
  <si>
    <t>B0BTSDNW5Q</t>
  </si>
  <si>
    <t>AL-KS-WCWS-5647-18GBK</t>
  </si>
  <si>
    <t>OxGord 18 inch Wheel Skins for 2014-2018 Chevy Silverado 1500 (Set of 4) Impostor Wheel Covers for 18 inch Gloss Black ABS Wheels- Auto Tire Replacement Exterior Cap Cover</t>
  </si>
  <si>
    <t>114-7064839-1825006</t>
  </si>
  <si>
    <t>DsFj1wLWRRMA</t>
  </si>
  <si>
    <t>1ZH92F629016199632</t>
  </si>
  <si>
    <t>B0BTSDRB6K</t>
  </si>
  <si>
    <t>AL-KS-WCWS-5714-16GBK</t>
  </si>
  <si>
    <t>OxGord 16 inch Impostor Wheel Skin Covers Compatible with 2016-2018 Chevy Malibu LS, Gloss Black - Auto Cover</t>
  </si>
  <si>
    <t>111-4294997-9494667</t>
  </si>
  <si>
    <t>D2NsrgLLRRMA</t>
  </si>
  <si>
    <t>1ZH92F629014716559</t>
  </si>
  <si>
    <t>DZNzr9LVRRMA</t>
  </si>
  <si>
    <t>1ZH92F629014715701</t>
  </si>
  <si>
    <t>113-9216079-1002666</t>
  </si>
  <si>
    <t>DjSvrrL1RRMA</t>
  </si>
  <si>
    <t>1ZH92F629014787670</t>
  </si>
  <si>
    <t>B0BWFQBK6M</t>
  </si>
  <si>
    <t>AL-KS-FRGC-CHSI-1420-124</t>
  </si>
  <si>
    <t>Fuel Rider Grille Inserts Overlay Trim for Front Grille Compatible with 2014-2015 Chevy Silverado 1500 - Chrome ABS Snap On 2 Honey Comb Inserts, OE Look- Car Truck Accessories</t>
  </si>
  <si>
    <t>113-8816072-1142626</t>
  </si>
  <si>
    <t>DTSRJTLMRRMA</t>
  </si>
  <si>
    <t>1ZH92F629019321314</t>
  </si>
  <si>
    <t>112-6254703-0973831</t>
  </si>
  <si>
    <t>D5Mp1XLvRRMA</t>
  </si>
  <si>
    <t>1ZH92F629015819366</t>
  </si>
  <si>
    <t>B0BXRKLXP9</t>
  </si>
  <si>
    <t>AL-KS-HC-55565-16SL-FR</t>
  </si>
  <si>
    <t>Fuel Rider 16 inch Silver ABS Hubcap Wheel Covers Compatible with 2011-2014 Hyundai Sonata (Set of 4) Wheelcovers for Standard Steel Wheels - Auto Tire Cover Replacement Exterior Cover</t>
  </si>
  <si>
    <t>113-8640768-6446649</t>
  </si>
  <si>
    <t>DpCDn8LzRRMA</t>
  </si>
  <si>
    <t>1ZH92F629023148414</t>
  </si>
  <si>
    <t>B0C9R3SV4G</t>
  </si>
  <si>
    <t>AL-KS-FRHC-0506NIAL-16SL6S</t>
  </si>
  <si>
    <t>Fuel Rider 16 inch Silver ABS Hubcap Wheel Cover for 2005-2006 Nissan Altima (Set of 4) Wheelcovers for 16 inch Standard Steel Wheels- Auto Tire Cover Replacement Exterior Cap Cover</t>
  </si>
  <si>
    <t>111-7153296-6642625</t>
  </si>
  <si>
    <t>DqFYGBL4RRMA</t>
  </si>
  <si>
    <t>1ZH92F629030580595</t>
  </si>
  <si>
    <t>B0C9R58P7W</t>
  </si>
  <si>
    <t>AL-KS-FRHC-1922FORA-16GB6S</t>
  </si>
  <si>
    <t>Fuel Rider 16 inch Gloss Black ABS Hubcap Wheel Cover for 2019-2022 Ford Ranger (Set of 4) Wheelcovers for 16 inch Standard Steel Wheels- Auto Tire Cover Replacement Exterior Cap Cover</t>
  </si>
  <si>
    <t>113-0416842-2248243</t>
  </si>
  <si>
    <t>DKptxMLsRRMA</t>
  </si>
  <si>
    <t>1ZH92F629021202377</t>
  </si>
  <si>
    <t>B0C9R5MJZ6</t>
  </si>
  <si>
    <t>AL-KS-FRHC-1722MIMI-14PB10S</t>
  </si>
  <si>
    <t>Fuel Rider 14 inch Polished Black Hubcap Wheel Cover for 2017-2022 Mitsubishi Mirage (Set of 4) Wheelcovers for 14 inch Standard Steel Wheels- Auto Tire Cover Replacement Exterior Cap Cover</t>
  </si>
  <si>
    <t>113-9656268-2821011</t>
  </si>
  <si>
    <t>DZ4LxbLjRRMA</t>
  </si>
  <si>
    <t>1ZH92F629022545577</t>
  </si>
  <si>
    <t>B0C9R6672Q</t>
  </si>
  <si>
    <t>AL-KS-FRHC-1618TOPR-15SB5S</t>
  </si>
  <si>
    <t>Fuel Rider 15 inch Silver &amp; Black ABS Hubcap Wheel Cover for 2016-2018 Toyota Prius (Set of 4) Wheelcovers for 15 inch Standard Steel Wheels- Auto Tire Cover Replacement Exterior Cap Cover</t>
  </si>
  <si>
    <t>113-4190595-8683463</t>
  </si>
  <si>
    <t>D2yxrSLzRRMA</t>
  </si>
  <si>
    <t>1ZH92F629014665613</t>
  </si>
  <si>
    <t>113-5950708-5173837</t>
  </si>
  <si>
    <t>DW94ScLXRRMA</t>
  </si>
  <si>
    <t>1ZH92F629035023900</t>
  </si>
  <si>
    <t>B0C9R6NKL4</t>
  </si>
  <si>
    <t>AL-KS-FRHC-1420DOGR-17SL10S</t>
  </si>
  <si>
    <t>Fuel Rider 17 Inch Silver ABS Hubcap Wheel Covers Compatible with 2014-2020 Dodge Grand Caravan SE &amp; 2014-2019 Journey SE (Set of 4) Wheelcovers for Standard Steel Wheels</t>
  </si>
  <si>
    <t>114-9473592-6141849</t>
  </si>
  <si>
    <t>Dr3D6hLHRRMA</t>
  </si>
  <si>
    <t>1ZH92F629034080583</t>
  </si>
  <si>
    <t>B0C9R6WM85</t>
  </si>
  <si>
    <t>AL-KS-FRHC-1420NIRO-17CH10S</t>
  </si>
  <si>
    <t>Fuel Rider 17 inch Chrome ABS Hubcap Wheel Cover for 2014-2020 Nissan Rogue (Set of 4) Wheelcovers for 17 inch Standard Steel Wheels- Auto Tire Cover Replacement Exterior Cap Cover</t>
  </si>
  <si>
    <t>112-7859636-6602641</t>
  </si>
  <si>
    <t>DkcM3bL1RRMA</t>
  </si>
  <si>
    <t>1ZH92F629019996140</t>
  </si>
  <si>
    <t>111-6756472-2067415</t>
  </si>
  <si>
    <t>D7fnG2LBRRMA</t>
  </si>
  <si>
    <t>1ZH92F629029347742</t>
  </si>
  <si>
    <t>B0C9R7TKX4</t>
  </si>
  <si>
    <t>AL-KS-FRHC-9802FOCR-16CH24ST</t>
  </si>
  <si>
    <t>Fuel Rider 16 inch Chrome ABS Hubcap Wheel Cover for 1998-2002 Ford Crown Victoria (Set of 4) Wheelcovers for 16 inch Standard Steel Wheels- Auto Tire Cover Replacement Exterior Cap Cover</t>
  </si>
  <si>
    <t>113-9522755-3783463</t>
  </si>
  <si>
    <t>DsMfdBLFRRMA</t>
  </si>
  <si>
    <t>1ZH92F629032099004</t>
  </si>
  <si>
    <t>B0C9R7X8MD</t>
  </si>
  <si>
    <t>AL-KS-FRHC-1115FOEX-17CH5S</t>
  </si>
  <si>
    <t>Fuel Rider 17 inch Chrome ABS Hubcap Wheel Cover for 2011-2015 Ford Explorer (Set of 4) Wheelcovers for 17 inch Standard Steel Wheels- Auto Tire Cover Replacement Exterior Cap Cover</t>
  </si>
  <si>
    <t>112-6034992-7006657</t>
  </si>
  <si>
    <t>D5fZdDL2RRMA</t>
  </si>
  <si>
    <t>1ZH92F629031389461</t>
  </si>
  <si>
    <t>111-9986129-9234611</t>
  </si>
  <si>
    <t>DQhdPxLRRRMA</t>
  </si>
  <si>
    <t>1ZH92F629026468144</t>
  </si>
  <si>
    <t>112-6641097-4056268</t>
  </si>
  <si>
    <t>D2ltTcLGRRMA</t>
  </si>
  <si>
    <t>1ZH92F629024693770</t>
  </si>
  <si>
    <t>112-7615650-4426665</t>
  </si>
  <si>
    <t>D8ky1lLlRRMA</t>
  </si>
  <si>
    <t>1ZH92F629016125596</t>
  </si>
  <si>
    <t>113-3750937-8331468</t>
  </si>
  <si>
    <t>DL5xdZLbRRMA</t>
  </si>
  <si>
    <t>1ZH92F629032618363</t>
  </si>
  <si>
    <t>112-7298474-7317033</t>
  </si>
  <si>
    <t>DYj4tlLRRRMA</t>
  </si>
  <si>
    <t>1ZH92F629028556483</t>
  </si>
  <si>
    <t>113-1795795-1298665</t>
  </si>
  <si>
    <t>DtLfnnLlRRMA</t>
  </si>
  <si>
    <t>1ZH92F629023077287</t>
  </si>
  <si>
    <t>114-0814025-4218647</t>
  </si>
  <si>
    <t>Dhd1rrLpRRMA</t>
  </si>
  <si>
    <t>1ZH92F629013711047</t>
  </si>
  <si>
    <t>113-9544659-1787436</t>
  </si>
  <si>
    <t>DfRM0RLKRRMA</t>
  </si>
  <si>
    <t>1ZH92F629035924660</t>
  </si>
  <si>
    <t>112-1203741-9808223</t>
  </si>
  <si>
    <t>DFNQt6LgRRMA</t>
  </si>
  <si>
    <t>1ZH92F629028781257</t>
  </si>
  <si>
    <t>112-0648396-9129838</t>
  </si>
  <si>
    <t>DQ4c3CL4RRMA</t>
  </si>
  <si>
    <t>1ZH92F629020840171</t>
  </si>
  <si>
    <t>111-0567541-6951435</t>
  </si>
  <si>
    <t>DxpqtWLxRRMA</t>
  </si>
  <si>
    <t>1ZH92F629027558849</t>
  </si>
  <si>
    <t>B0C9R8VVV4</t>
  </si>
  <si>
    <t>AL-KS-FRHC-1719FOES-17SL5S</t>
  </si>
  <si>
    <t>Fuel Rider 17 inch Silver ABS Hubcap Wheel Cover for 2017-2019 Ford Escape (Set of 4) Wheelcovers for 17 inch Standard Steel Wheels- Auto Tire Cover Replacement Exterior Cap Cover</t>
  </si>
  <si>
    <t>111-1640886-7141834</t>
  </si>
  <si>
    <t>DjQ93mLQRRMA</t>
  </si>
  <si>
    <t>1ZH92F629020153388</t>
  </si>
  <si>
    <t>114-9810281-4185010</t>
  </si>
  <si>
    <t>Dp1BTmLMRRMA</t>
  </si>
  <si>
    <t>1ZH92F629025353313</t>
  </si>
  <si>
    <t>113-1031043-2585820</t>
  </si>
  <si>
    <t>D8fhxZL0RRMA</t>
  </si>
  <si>
    <t>1ZH92F629021517699</t>
  </si>
  <si>
    <t>112-1323245-3317068</t>
  </si>
  <si>
    <t>D5GN63L4RRMA</t>
  </si>
  <si>
    <t>1ZH92F629033113469</t>
  </si>
  <si>
    <t>B0C9R94C2D</t>
  </si>
  <si>
    <t>AL-KS-FRHC-0206TOCA-16SL14S</t>
  </si>
  <si>
    <t>Fuel Rider 16 inch Silver ABS Hubcap Wheel Cover for 2002-2006 Toyota Camry (Set of 4) Wheelcovers for 16 inch Standard Steel Wheels- Auto Tire Cover Replacement Exterior Cap Cover</t>
  </si>
  <si>
    <t>for verification</t>
  </si>
  <si>
    <t>114-9453670-1037028</t>
  </si>
  <si>
    <t>Dxp1T6LPRRMA</t>
  </si>
  <si>
    <t>1ZH92F629024288280</t>
  </si>
  <si>
    <t>B0C9R9BTVW</t>
  </si>
  <si>
    <t>AL-KS-FRHC-1219NIVE-15SL5VS</t>
  </si>
  <si>
    <t>Fuel Rider 15 inch Silver ABS Hubcap Wheel Cover for 2012-2019 Nissan Versa (Set of 4) Wheelcovers for 15 inch Standard Steel Wheels- Auto Tire Cover Replacement Exterior Cap Cover</t>
  </si>
  <si>
    <t>113-2778702-1172255</t>
  </si>
  <si>
    <t>Dfht1XLhRRMA</t>
  </si>
  <si>
    <t>1ZH92F629015526922</t>
  </si>
  <si>
    <t>B0CHK6QFYF</t>
  </si>
  <si>
    <t>AL-KS-FRWS-62749-17GB-5VS</t>
  </si>
  <si>
    <t>Fuel Rider Set of Four (4) 17 inches Gloss Black ABS Wheel Skins Impostors Wheel Covers Compatible with 2017-2020 Nissan Rogue Wheels- Auto Tire Replacement Cap Cover</t>
  </si>
  <si>
    <t>112-9317449-9504232</t>
  </si>
  <si>
    <t>DtQYnRLrRRMA</t>
  </si>
  <si>
    <t>1ZH92F629023362478</t>
  </si>
  <si>
    <t>B0CHK72NDC</t>
  </si>
  <si>
    <t>AL-KS-FRWS-2535-17GB-10S</t>
  </si>
  <si>
    <t>Fuel Rider Set of Four (4) 17 inches Gloss Black ABS Wheel Skins Impostors Wheel Covers Compatible with 2015-2022 Chrysler 300 Wheels- Auto Tire Replacement Cap Cover</t>
  </si>
  <si>
    <t>113-5338540-8884207</t>
  </si>
  <si>
    <t>D7twMYLLRRMA</t>
  </si>
  <si>
    <t>1ZH92F629017363032</t>
  </si>
  <si>
    <t>B0CHK7GXG2</t>
  </si>
  <si>
    <t>AL-KS-FRWS-5657-17CH-5SP</t>
  </si>
  <si>
    <t>Fuel Rider Set of Four (4) 17 inches Chrome ABS Wheel Skins Impostors Wheel Covers Compatible with 2014-2018 Chevrolet Silverado 1500 Wheels- Auto Tire Replacement Cap Cover</t>
  </si>
  <si>
    <t>111-1545309-4764202</t>
  </si>
  <si>
    <t>DqgmrtLdRRMA</t>
  </si>
  <si>
    <t>1ZH92F629014396708</t>
  </si>
  <si>
    <t>111-0765240-8493001</t>
  </si>
  <si>
    <t>DH9qn9L5RRMA</t>
  </si>
  <si>
    <t>1ZH92F629023402880</t>
  </si>
  <si>
    <t>B0CHK96B6F</t>
  </si>
  <si>
    <t>AL-KS-FRWS-74735-17CH-10S</t>
  </si>
  <si>
    <t>Fuel Rider Set of Four (4) 17 inches Chrome ABS Wheel Skins Impostors Wheel Covers Compatible with 2016-2018 Kia Sorento Wheels- Auto Tire Replacement Cap Cover</t>
  </si>
  <si>
    <t>113-8862632-6449025</t>
  </si>
  <si>
    <t>D8sQ6CLlRRMA</t>
  </si>
  <si>
    <t>1ZH92F629033099959</t>
  </si>
  <si>
    <t>114-2577101-9401831</t>
  </si>
  <si>
    <t>DqPvG8LNRRMA</t>
  </si>
  <si>
    <t>1ZH92F629028943457</t>
  </si>
  <si>
    <t>B0CHKK1PQK</t>
  </si>
  <si>
    <t>AL-KS-FRWS-74692-16GB-5FS</t>
  </si>
  <si>
    <t>Fuel Rider Set of Four (4) 16 inches Gloss Black ABS Wheel Skins Impostors Wheel Covers Compatible with 2014-2016 Kia Soul Wheels- Auto Tire Replacement Cap Cover</t>
  </si>
  <si>
    <t>113-6277236-8111413</t>
  </si>
  <si>
    <t>D2NzdGLKRRMA</t>
  </si>
  <si>
    <t>B0CHKLWWLV</t>
  </si>
  <si>
    <t>AL-KS-FRWS-5934-18GB-6SS</t>
  </si>
  <si>
    <t>Fuel Rider Set of Four (4) 18 inche Gloss Black ABS Wheel Skin Impostors Wheel Covers Compatible with Select 2019-2022 Chevrolet Blazer L, 1LT, 2LT - Auto Tire Replacement Cap Cover</t>
  </si>
  <si>
    <t>113-3497390-5096241</t>
  </si>
  <si>
    <t>DYdL6nLqRRMA</t>
  </si>
  <si>
    <t>1ZH92F629033080094</t>
  </si>
  <si>
    <t>B0CHKM2ZJ4</t>
  </si>
  <si>
    <t>AL-KS-FRWS-2670-18CH-5SP</t>
  </si>
  <si>
    <t>Fuel Rider Set of Four (4) 18 inches Chrome ABS Wheel Skins Impostors Wheel Covers Compatible with '19 - '22 Ram 1500 Wheels- Auto Tire Replacement Cap Cover</t>
  </si>
  <si>
    <t>112-3881150-6005006</t>
  </si>
  <si>
    <t>D7GpxgLrRRMA</t>
  </si>
  <si>
    <t>1ZH92F629021419821</t>
  </si>
  <si>
    <t>B0CHKMVVFD</t>
  </si>
  <si>
    <t>AL-KS-FRWS-5650-20GB-6S</t>
  </si>
  <si>
    <t>Fuel Rider Set of Four (4) 20 inches Gloss Black ABS Wheel Skins Impostors Wheel Covers Compatible with 2014-2018 GMC Sierra 1500 Wheels- Auto Tire Replacement Cap Cover</t>
  </si>
  <si>
    <t>113-7523065-4951410</t>
  </si>
  <si>
    <t>DjYTSJLbRRMA</t>
  </si>
  <si>
    <t>1ZH92F629034749512</t>
  </si>
  <si>
    <t>111-2244557-2413038</t>
  </si>
  <si>
    <t>D7cgJ9LQRRMA</t>
  </si>
  <si>
    <t>1ZH92F629018457251</t>
  </si>
  <si>
    <t>111-1632996-6445804</t>
  </si>
  <si>
    <t>DHMSS5LtRRMA</t>
  </si>
  <si>
    <t>1ZH92F629035246269</t>
  </si>
  <si>
    <t>B0CHKQQNR4</t>
  </si>
  <si>
    <t>AL-KS-FRWS-LB5Z1007L-18GB-5SS</t>
  </si>
  <si>
    <t>Fuel Rider Set of Four (4) 18 inches Gloss Black ABS Wheel Skins Impostors Wheel Covers Compatible with 2020-2021 Ford Explorer Wheels- Auto Tire Replacement Cap Cover</t>
  </si>
  <si>
    <t>113-5104071-3985024</t>
  </si>
  <si>
    <t>D5cdSlLWRRMA</t>
  </si>
  <si>
    <t>1ZH92F629034853186</t>
  </si>
  <si>
    <t>112-0218324-9514620</t>
  </si>
  <si>
    <t>DTFWxxLZRRMA</t>
  </si>
  <si>
    <t>1ZH92F629022481921</t>
  </si>
  <si>
    <t>114-2391189-1099445</t>
  </si>
  <si>
    <t>DL59JbL5RRMA</t>
  </si>
  <si>
    <t>1ZH92F629019304511</t>
  </si>
  <si>
    <t>112-4133148-2969058</t>
  </si>
  <si>
    <t>D2qMn3LlRRMA</t>
  </si>
  <si>
    <t>1ZH92F629022782285</t>
  </si>
  <si>
    <t>B0CHKSHFK6</t>
  </si>
  <si>
    <t>AL-KS-FRWS-403006FL3A-18GB-5VS</t>
  </si>
  <si>
    <t>Fuel Rider Set of Four (4) 18 inches Gloss Black ABS Wheel Skins Impostors Wheel Covers Compatible with 2017-2020 Nissan Rogue Wheels- Auto Tire Replacement Cap Cover</t>
  </si>
  <si>
    <t>114-6053157-7998637</t>
  </si>
  <si>
    <t>DK0ZPXLBRRMA</t>
  </si>
  <si>
    <t>1ZH92F629026175460</t>
  </si>
  <si>
    <t>B0CHKSPT18</t>
  </si>
  <si>
    <t>AL-KS-FRWS-64075-17CH-5SP</t>
  </si>
  <si>
    <t>Fuel Rider Set of Four (4) 17 inches Chrome ABS Wheel Skins Impostors Wheel Covers Compatible with 2016-2022 Honda HR-V Wheels- Auto Tire Replacement Cap Cover</t>
  </si>
  <si>
    <t>114-0812825-0069062</t>
  </si>
  <si>
    <t>Dhsd6dL2RRMA</t>
  </si>
  <si>
    <t>1ZH92F629033087300</t>
  </si>
  <si>
    <t>111-7276526-5207412</t>
  </si>
  <si>
    <t>DKMkGDLzRRMA</t>
  </si>
  <si>
    <t>1ZH92F629030165016</t>
  </si>
  <si>
    <t>114-3153920-8817854</t>
  </si>
  <si>
    <t>D7Nm1wLxRRMA</t>
  </si>
  <si>
    <t>1ZH92F629016277655</t>
  </si>
  <si>
    <t>112-7742959-7265003</t>
  </si>
  <si>
    <t>DHXCPGLmRRMA</t>
  </si>
  <si>
    <t>1ZH92F629027413361</t>
  </si>
  <si>
    <t>114-7698918-1219410</t>
  </si>
  <si>
    <t>DFhVTyLXRRMA</t>
  </si>
  <si>
    <t>1ZH92F629024849414</t>
  </si>
  <si>
    <t>114-9001227-4548219</t>
  </si>
  <si>
    <t>Dfg33FLMRRMA</t>
  </si>
  <si>
    <t>1ZH92F629020513113</t>
  </si>
  <si>
    <t>114-1892921-6942630</t>
  </si>
  <si>
    <t>D2DCMTLWRRMA</t>
  </si>
  <si>
    <t>1ZH92F629017589674</t>
  </si>
  <si>
    <t>114-2172240-1073863</t>
  </si>
  <si>
    <t>DZbvJQLBRRMA</t>
  </si>
  <si>
    <t>1ZH92F629018719692</t>
  </si>
  <si>
    <t>B0CJB1P3NT</t>
  </si>
  <si>
    <t>AL-KS-FRCC-5502-CH</t>
  </si>
  <si>
    <t>Fuel Rider Set of 4 Chrome ABS Center Caps Designed for 11-19 Chevrolet Silverado 2500/3500</t>
  </si>
  <si>
    <t>114-9215370-0897058</t>
  </si>
  <si>
    <t>D8QzM5LkRRMA</t>
  </si>
  <si>
    <t>1ZH92F629017169305</t>
  </si>
  <si>
    <t>B0CKWGMPN6</t>
  </si>
  <si>
    <t>AL-KS-FRWS-2448-17CH-5SP</t>
  </si>
  <si>
    <t>Fuel Rider Set of 4 17 Inch Chrome ABS Rim Wheel Skins Designed for 2013-2022 Dodge Ram 1500 Impostor for Style Wheel Covers</t>
  </si>
  <si>
    <t>111-3810753-3540216</t>
  </si>
  <si>
    <t>DKHqrqLYRRMA</t>
  </si>
  <si>
    <t>1ZH92F629013933665</t>
  </si>
  <si>
    <t>B0CMWXRXY2</t>
  </si>
  <si>
    <t>AL-KS-FRHC-3021-16GB-5SP</t>
  </si>
  <si>
    <t>Fuel Rider 16 inch Gloss Black ABS Hubcap Wheel Compatible with 2006-2011 Chevy Impala (Set of 4) Wheelcovers for 16 inch Standard Steel Wheels- Auto Tire Cover Replacement Exterior Cap Cover</t>
  </si>
  <si>
    <t>114-9616532-1197824</t>
  </si>
  <si>
    <t>DWDr66LZRRMA</t>
  </si>
  <si>
    <t>1ZH92F629033930424</t>
  </si>
  <si>
    <t>B0CMWXW35W</t>
  </si>
  <si>
    <t>AL-KS-FRWS-3995-17GB-6S</t>
  </si>
  <si>
    <t>Fuel Rider Set of 4 Gloss Black ABS Impostor Wheel Skins Compatible with 15-20 Ford F-150 6 Spoke</t>
  </si>
  <si>
    <t>113-0537081-9903427</t>
  </si>
  <si>
    <t>Dqm1T7LMRRMA</t>
  </si>
  <si>
    <t>1ZH92F629025419574</t>
  </si>
  <si>
    <t>111-5583456-0826644</t>
  </si>
  <si>
    <t>DhnQMmLDRRMA</t>
  </si>
  <si>
    <t>1ZH92F629016518242</t>
  </si>
  <si>
    <t>B0CMWYS3H8</t>
  </si>
  <si>
    <t>AL-KS-FRHC-61163-15GB-10SS</t>
  </si>
  <si>
    <t>Fuel Rider 15 inch Gloss Black ABS Universal Hubcap Wheel Cover (Set of 4) Hub-Caps for 15 inch Standard Steel Wheels- with 10 Split Spoke Auto Tire Cover Replacement Exterior Cap Cover</t>
  </si>
  <si>
    <t>113-1272938-5625061</t>
  </si>
  <si>
    <t>DrRdd6LnRRMA</t>
  </si>
  <si>
    <t>1ZH92F629031066765</t>
  </si>
  <si>
    <t>B0CMWZMVH8</t>
  </si>
  <si>
    <t>AL-KS-FRHC-53077-16SL-5SP</t>
  </si>
  <si>
    <t>Fuel Rider 16 inch Silver ABS Hubcap Wheel Compatible with 2008-2015 Nissan's Rogue (Set of 4) Wheelcovers for 16 inch Standard Steel Wheels- Auto Tire Cover Replacement Exterior Cap Cover</t>
  </si>
  <si>
    <t>113-9393719-9229027</t>
  </si>
  <si>
    <t>DFgV7kL2RRMA</t>
  </si>
  <si>
    <t>1ZH92F629013114844</t>
  </si>
  <si>
    <t>B0CMWZQDQM</t>
  </si>
  <si>
    <t>AL-KS-FRHC-3277-17CH-5SP</t>
  </si>
  <si>
    <t>Fuel Rider 17 inch Chrome ABS Hubcap Wheel Compatible with Chevy Malibu 2008-2012 (Set of 4) Wheelcovers for 17 inch Standard Steel Wheels- Auto Tire Cover Replacement Exterior Cap Cover</t>
  </si>
  <si>
    <t>112-7824754-4881000</t>
  </si>
  <si>
    <t>DF54ScLhRRMA</t>
  </si>
  <si>
    <t>1ZH92F629035678221</t>
  </si>
  <si>
    <t>114-2184655-0964206</t>
  </si>
  <si>
    <t>DstwShLVRRMA</t>
  </si>
  <si>
    <t>1ZH92F629035150479</t>
  </si>
  <si>
    <t>B0CMX17DDP</t>
  </si>
  <si>
    <t>AL-KS-FRWS-2185-16GB-10S</t>
  </si>
  <si>
    <t>Fuel Rider Set of 4 Gloss Black ABS Impostor Wheel Skins Compatible with 16-19 Nssan Sentra 10 Spoke</t>
  </si>
  <si>
    <t>113-3211082-1792242</t>
  </si>
  <si>
    <t>DHGPdPLVRRMA</t>
  </si>
  <si>
    <t>1ZH92F629031273424</t>
  </si>
  <si>
    <t>B0CMX17DJL</t>
  </si>
  <si>
    <t>AL-KS-FRWS-69514-18GB-5SP</t>
  </si>
  <si>
    <t>Fuel Rider Set of 4 Gloss Black ABS Impostor Wheel Skins Compatible with 07-21 Toyota Tundra 5 Spoke</t>
  </si>
  <si>
    <t>113-2570441-1063426</t>
  </si>
  <si>
    <t>DBQd3cLZRRMA</t>
  </si>
  <si>
    <t>1ZH92F629020165106</t>
  </si>
  <si>
    <t>B0CMX1Q1NB</t>
  </si>
  <si>
    <t>AL-KS-FRHC-55069-16SL-7S</t>
  </si>
  <si>
    <t>Fuel Rider 16 inch Silver ABS Hubcap Wheel Compatible with 2006-2011 Honda Civic (Set of 4) Wheelcovers for 16 inch Standard Steel Wheels- Auto Tire Cover Replacement Exterior Cap Cover</t>
  </si>
  <si>
    <t>113-4360295-1395466</t>
  </si>
  <si>
    <t>DW8678L4RRMA</t>
  </si>
  <si>
    <t>1ZH92F629013140039</t>
  </si>
  <si>
    <t>112-5318528-9053835</t>
  </si>
  <si>
    <t>DxH8lbLQRRMA</t>
  </si>
  <si>
    <t>1ZH92F629037831239</t>
  </si>
  <si>
    <t>112-8198249-3671465</t>
  </si>
  <si>
    <t>DtlxW0L0RRMA</t>
  </si>
  <si>
    <t>1ZH92F629042322387</t>
  </si>
  <si>
    <t>B014EC76EC</t>
  </si>
  <si>
    <t>AL-KS-WCHC-53072-15SL</t>
  </si>
  <si>
    <t>OxGord 15 inch Hubcaps Compatible with Nissan Versa &amp; Cube 2009-2019 - (Set of 4) Wheel Covers 15in Hub Caps Silver Rim Cover - Car Accessories - Push On Hubcap Auto Tire Replacement</t>
  </si>
  <si>
    <t>112-1504404-6824201</t>
  </si>
  <si>
    <t>DYlj0jLvRRMA</t>
  </si>
  <si>
    <t>1ZH92F629036246310</t>
  </si>
  <si>
    <t>112-0319547-6262621</t>
  </si>
  <si>
    <t>DpFh0sLbRRMA</t>
  </si>
  <si>
    <t>1ZH92F629037017039</t>
  </si>
  <si>
    <t>111-6619300-3246648</t>
  </si>
  <si>
    <t>DKwmCJLXRRMA</t>
  </si>
  <si>
    <t>1ZH92F629045634464</t>
  </si>
  <si>
    <t>111-0355445-2402664</t>
  </si>
  <si>
    <t>DrljC6LKRRMA</t>
  </si>
  <si>
    <t>1ZH92F629045332763</t>
  </si>
  <si>
    <t>114-6933479-7343461</t>
  </si>
  <si>
    <t>DkFDpMLwRRMA</t>
  </si>
  <si>
    <t>1ZH92F629044593340</t>
  </si>
  <si>
    <t>NEVER_ARRIVED</t>
  </si>
  <si>
    <t>111-7597822-5166669</t>
  </si>
  <si>
    <t>DWBzWtLqRRMA</t>
  </si>
  <si>
    <t>1ZH92F629042883674</t>
  </si>
  <si>
    <t>113-4755847-7430603</t>
  </si>
  <si>
    <t>DYMYWSLcRRMA</t>
  </si>
  <si>
    <t>1ZH92F629042834342</t>
  </si>
  <si>
    <t>113-7661698-9061041</t>
  </si>
  <si>
    <t>D5V7WZL9RRMA</t>
  </si>
  <si>
    <t>1ZH92F629042769217</t>
  </si>
  <si>
    <t>113-5341639-2321003</t>
  </si>
  <si>
    <t>DYcjKVLCRRMA</t>
  </si>
  <si>
    <t>1ZH92F629040804486</t>
  </si>
  <si>
    <t>DK5KmrLYRRMA</t>
  </si>
  <si>
    <t>1ZH92F629040120330</t>
  </si>
  <si>
    <t>111-7306885-3113020</t>
  </si>
  <si>
    <t>DfvH0DLmRRMA</t>
  </si>
  <si>
    <t>1ZH92F629037231431</t>
  </si>
  <si>
    <t>114-6387023-9769023</t>
  </si>
  <si>
    <t>DQDCl6LJRRMA</t>
  </si>
  <si>
    <t>1ZH92F629038425462</t>
  </si>
  <si>
    <t>112-2061109-9525826</t>
  </si>
  <si>
    <t>DQ5q0DLPRRMA</t>
  </si>
  <si>
    <t>1ZH92F629037160222</t>
  </si>
  <si>
    <t>113-9078449-6339455</t>
  </si>
  <si>
    <t>DjKkpwLSRRMA</t>
  </si>
  <si>
    <t>1ZH92F629044824233</t>
  </si>
  <si>
    <t>Set of 4 15 inch Hubcaps Compatible with 2003-2007 Honda Accord - Wheel Cover Hub Caps for Standard Steel Wheels, Snap-on, Silver</t>
  </si>
  <si>
    <t>D2K8pGL7RRMA</t>
  </si>
  <si>
    <t>1ZH92F629044811078</t>
  </si>
  <si>
    <t>114-5895962-4787440</t>
  </si>
  <si>
    <t>DKjPWSL9RRMA</t>
  </si>
  <si>
    <t>1ZH92F629043045363</t>
  </si>
  <si>
    <t>15 inch Hubcaps Compatible with 2003-2007 Honda Accord - Wheel Cover Hub Caps for Standard Steel Wheels, Snap-on, Silver</t>
  </si>
  <si>
    <t>111-4292219-7185016</t>
  </si>
  <si>
    <t>Dsf4pCLgRRMA</t>
  </si>
  <si>
    <t>1ZH92F629043790147</t>
  </si>
  <si>
    <t>B015GIFWDA</t>
  </si>
  <si>
    <t>AL-KS-WCHC-61123-15SL</t>
  </si>
  <si>
    <t>15 inch Hubcaps Best for 2003-2004 Toyota Corolla - (Set of 4) Wheel Covers 15in Hub Caps Silver Rim Cover - Car Accessories for 15 inch Wheels - Snap On Hubcap, Auto Tire Replacement Exterior Cap</t>
  </si>
  <si>
    <t>112-5337915-9582617</t>
  </si>
  <si>
    <t>D8wBpXLpRRMA</t>
  </si>
  <si>
    <t>1ZH92F629044118676</t>
  </si>
  <si>
    <t>113-3542876-6721843</t>
  </si>
  <si>
    <t>DKJglQLjRRMA</t>
  </si>
  <si>
    <t>112-6214095-0321845</t>
  </si>
  <si>
    <t>DhrXWvLgRRMA</t>
  </si>
  <si>
    <t>1ZH92F629042062122</t>
  </si>
  <si>
    <t>111-6883968-2338663</t>
  </si>
  <si>
    <t>D4CwpMLSRRMA</t>
  </si>
  <si>
    <t>9302010949890123397586</t>
  </si>
  <si>
    <t>B018F2ZFMM</t>
  </si>
  <si>
    <t>AL-EB-WCCC-3328-CH</t>
  </si>
  <si>
    <t>OxGord Center Caps Compatible with 1997-2003 Ford Expedition (Set of 4) Chrome Wheel Cover Replacements</t>
  </si>
  <si>
    <t>113-3994076-0289817</t>
  </si>
  <si>
    <t>DksHlYL7RRMA</t>
  </si>
  <si>
    <t>1ZH92F629037587709</t>
  </si>
  <si>
    <t>114-0213596-1789014</t>
  </si>
  <si>
    <t>D7M0KYLrRRMA</t>
  </si>
  <si>
    <t>1ZH92F629041206737</t>
  </si>
  <si>
    <t>113-4461006-6986653</t>
  </si>
  <si>
    <t>D8drKXLfRRMA</t>
  </si>
  <si>
    <t>1ZH92F629040503248</t>
  </si>
  <si>
    <t>114-1155159-1387414</t>
  </si>
  <si>
    <t>D7PhCWL6RRMA</t>
  </si>
  <si>
    <t>1ZH92F629044862255</t>
  </si>
  <si>
    <t>111-5666120-5413812</t>
  </si>
  <si>
    <t>Dkz7pPL4RRMA</t>
  </si>
  <si>
    <t>1ZH92F629043941180</t>
  </si>
  <si>
    <t>114-0900799-0542620</t>
  </si>
  <si>
    <t>DBXkKPLzRRMA</t>
  </si>
  <si>
    <t>1ZH92F629041761673</t>
  </si>
  <si>
    <t>113-3738778-1705818</t>
  </si>
  <si>
    <t>DYjHlCL7RRMA</t>
  </si>
  <si>
    <t>1ZH92F629038496592</t>
  </si>
  <si>
    <t>114-8766748-5588222</t>
  </si>
  <si>
    <t>DssflJLQRRMA</t>
  </si>
  <si>
    <t>1ZH92F629037585407</t>
  </si>
  <si>
    <t>113-6264244-3151438</t>
  </si>
  <si>
    <t>DWJrpmL7RRMA</t>
  </si>
  <si>
    <t>1ZH92F629043597268</t>
  </si>
  <si>
    <t>B01AOHYT50</t>
  </si>
  <si>
    <t>AL-WLY-WSSC-01</t>
  </si>
  <si>
    <t>OxGord Windshield Cover for Ice and Snow - 700D Marine Waterproof Fabric for Harshest Weather- Fits Cars Trucks SUV Original Design As Seen on TV</t>
  </si>
  <si>
    <t>113-7495205-4338608</t>
  </si>
  <si>
    <t>DLDZKlLgRRMA</t>
  </si>
  <si>
    <t>9302010949890122397730</t>
  </si>
  <si>
    <t>113-9681386-4037817</t>
  </si>
  <si>
    <t>D4WglxLxRRMA</t>
  </si>
  <si>
    <t>1ZH92F629038091635</t>
  </si>
  <si>
    <t>B01ERYTMEO</t>
  </si>
  <si>
    <t>AL-KS-WCHC-08020-15SL</t>
  </si>
  <si>
    <t>Hub-caps for 01-07 Chrysler Town &amp; Country (Pack of 4) Wheel Covers 15 inch Snap On Silver</t>
  </si>
  <si>
    <t>113-1141346-0397028</t>
  </si>
  <si>
    <t>B01I477DRS</t>
  </si>
  <si>
    <t>AL-EB-CAHD-01</t>
  </si>
  <si>
    <t>OxGord Roll Bar Grab Handle Grips Set Compatible with Jeep Wrangler TJ YJ JK ATV UTV 1955-2024 Models - Strap Fits 1 1/2 to 3 Inch Bars - Pack of 2, Black</t>
  </si>
  <si>
    <t>113-7071181-7393029</t>
  </si>
  <si>
    <t>111-9350708-6746617</t>
  </si>
  <si>
    <t>B01LWUM3BM</t>
  </si>
  <si>
    <t>AL-EB-LPBM-F150-0914</t>
  </si>
  <si>
    <t>Front License Plate Bracket Mount for 09-14 Ford F150 - Replaces 9L3Z-17A385-A Tag Frame Holder</t>
  </si>
  <si>
    <t>111-0107195-6226615</t>
  </si>
  <si>
    <t>DT9jWpLVRRMA</t>
  </si>
  <si>
    <t>1ZH92F629042565606</t>
  </si>
  <si>
    <t>111-4139525-4772222</t>
  </si>
  <si>
    <t>DHM8W0LgRRMA</t>
  </si>
  <si>
    <t>9302010949890122994151</t>
  </si>
  <si>
    <t>112-9654857-4552252</t>
  </si>
  <si>
    <t>Dr46mnLcRRMA</t>
  </si>
  <si>
    <t>1ZH92F629040068246</t>
  </si>
  <si>
    <t>OxGord Rally Wheel Center Caps Compatible with GM Classic Car Snaps Over 14x6, 14x7, 15x6, 15x7, 15x8 &amp; 15x10 Rim-High Hat Derby Cap - 9.1" Diameter, Chrome Plated</t>
  </si>
  <si>
    <t>111-3356037-0891411</t>
  </si>
  <si>
    <t>DqTdpLLvRRMA</t>
  </si>
  <si>
    <t>1ZH92F629043924985</t>
  </si>
  <si>
    <t>114-4736983-6679405</t>
  </si>
  <si>
    <t>DHT1p4LlRRMA</t>
  </si>
  <si>
    <t>1ZH92F629043934465</t>
  </si>
  <si>
    <t>B075KS7XBD</t>
  </si>
  <si>
    <t>AL-KS-WCTR-16-SS</t>
  </si>
  <si>
    <t>OxGord Trim Rings 16 inch Diameter (Pack of 4) Chrome Steel Beauty Rims</t>
  </si>
  <si>
    <t>111-2183197-0863413</t>
  </si>
  <si>
    <t>DtHfl2LlRRMA</t>
  </si>
  <si>
    <t>1ZH92F629037846447</t>
  </si>
  <si>
    <t>OxGord 16" Inch Hubcap Wheel Covers - (Set of 4) Hub Caps for Standard Steel Rims - Snap-on (Ice Black)</t>
  </si>
  <si>
    <t>114-5253617-7650614</t>
  </si>
  <si>
    <t>DjZhpMLMRRMA</t>
  </si>
  <si>
    <t>1ZH92F629044137922</t>
  </si>
  <si>
    <t>111-6590917-2590669</t>
  </si>
  <si>
    <t>D8XkKLLbRRMA</t>
  </si>
  <si>
    <t>1ZH92F629041745922</t>
  </si>
  <si>
    <t>114-0186963-4557039</t>
  </si>
  <si>
    <t>Dj1nl3LRRRMA</t>
  </si>
  <si>
    <t>1ZH92F629038470332</t>
  </si>
  <si>
    <t>113-7019310-4127436</t>
  </si>
  <si>
    <t>D79wWvLMRRMA</t>
  </si>
  <si>
    <t>1ZH92F629042572867</t>
  </si>
  <si>
    <t>OxGord Hubcaps Wheel Covers - (Set of 4) Hub Caps for Standard Steel Wheels Only - Car Accessories - Snap On Auto Tire Replacement Exterior (Gloss Black, 16 Inch)</t>
  </si>
  <si>
    <t>113-4405254-5633827</t>
  </si>
  <si>
    <t>DhSDlFLDRRMA</t>
  </si>
  <si>
    <t>1ZH92F629038766808</t>
  </si>
  <si>
    <t>D75MlYLbRRMA</t>
  </si>
  <si>
    <t>1ZH92F629038733450</t>
  </si>
  <si>
    <t>111-0374063-4624201</t>
  </si>
  <si>
    <t>DjS0lmLHRRMA</t>
  </si>
  <si>
    <t>1ZH92F629038760411</t>
  </si>
  <si>
    <t>112-4817295-9150659</t>
  </si>
  <si>
    <t>Dk5fWtLxRRMA</t>
  </si>
  <si>
    <t>1ZH92F629043292588</t>
  </si>
  <si>
    <t>112-4054219-3642653</t>
  </si>
  <si>
    <t>Dj98C7LsRRMA</t>
  </si>
  <si>
    <t>1ZH92F629045560990</t>
  </si>
  <si>
    <t>B07959CP6N</t>
  </si>
  <si>
    <t>AL-KS-WCHC-7052-17CH</t>
  </si>
  <si>
    <t>OxGord 17 inch Hubcaps Compatible with 2010-2012 Ford Fusion (Set of 4) Wheel Covers, Chrome ABS Wheels- Auto Tire Replacement Exterior Cap Cover - Push on</t>
  </si>
  <si>
    <t>113-0952083-1113866</t>
  </si>
  <si>
    <t>Dtbj01LrRRMA</t>
  </si>
  <si>
    <t>1ZH92F629036579863</t>
  </si>
  <si>
    <t>111-1574743-2449060</t>
  </si>
  <si>
    <t>DtDxmqLrRRMA</t>
  </si>
  <si>
    <t>114-0782056-6397039</t>
  </si>
  <si>
    <t>DBmt07LzRRMA</t>
  </si>
  <si>
    <t>1ZH92F629036935594</t>
  </si>
  <si>
    <t>112-2310461-0085000</t>
  </si>
  <si>
    <t>D41bmmLWRRMA</t>
  </si>
  <si>
    <t>1ZH92F629039882065</t>
  </si>
  <si>
    <t>114-2701720-1070607</t>
  </si>
  <si>
    <t>DHqvKvLlRRMA</t>
  </si>
  <si>
    <t>1ZH92F629040297025</t>
  </si>
  <si>
    <t>B07BF5F9D5</t>
  </si>
  <si>
    <t>AL-KS-WCWS-3781-17CH</t>
  </si>
  <si>
    <t>OxGord Set of 4 17 inch Chrome ABS Wheel Skins Impostors Wheel Covers Compatible with 2009-2014 Ford F-150 Wheels- Auto Tire Replacement Cap Cover</t>
  </si>
  <si>
    <t>114-0014105-9545840</t>
  </si>
  <si>
    <t>D5ZVCrLrRRMA</t>
  </si>
  <si>
    <t>OxGord 18 inch Snap-on Wheel Skin Impostors Wheel Covers Compatible with 2010-2016 Cadillac SRX, Chrome</t>
  </si>
  <si>
    <t>111-3820447-6955400</t>
  </si>
  <si>
    <t>DqGpK2L4RRMA</t>
  </si>
  <si>
    <t>1ZH92F629040540645</t>
  </si>
  <si>
    <t>114-3941769-5124210</t>
  </si>
  <si>
    <t>DHlkK9LZRRMA</t>
  </si>
  <si>
    <t>1ZH92F629040747191</t>
  </si>
  <si>
    <t>112-8849722-1795410</t>
  </si>
  <si>
    <t>DrttpwLBRRMA</t>
  </si>
  <si>
    <t>1ZH92F629044187137</t>
  </si>
  <si>
    <t>114-7928002-5510609</t>
  </si>
  <si>
    <t>DBMBKkLZRRMA</t>
  </si>
  <si>
    <t>1ZH92F629041225467</t>
  </si>
  <si>
    <t>112-0748952-5111433</t>
  </si>
  <si>
    <t>DrrCCgLyRRMA</t>
  </si>
  <si>
    <t>1ZH92F629045057687</t>
  </si>
  <si>
    <t>114-8163928-0751456</t>
  </si>
  <si>
    <t>Dt21K7L0RRMA</t>
  </si>
  <si>
    <t>1ZH92F629041175600</t>
  </si>
  <si>
    <t>114-8264009-0455408</t>
  </si>
  <si>
    <t>DHYZlzLDRRMA</t>
  </si>
  <si>
    <t>1ZH92F629037769674</t>
  </si>
  <si>
    <t>B0BG3H3F2C</t>
  </si>
  <si>
    <t>AL-KS-WCWS-10005-20BLK</t>
  </si>
  <si>
    <t>OxGord 20 inch Wheel Skins for 2015-2017 Ford F-150 (Set of 4) Impostor Wheel Covers for 20 inch Gloss Black ABS Wheels- Auto Tire Replacement Exterior Cap Cover</t>
  </si>
  <si>
    <t>113-0520168-8988235</t>
  </si>
  <si>
    <t>DqyGKFLkRRMA</t>
  </si>
  <si>
    <t>1ZH92F629041572387</t>
  </si>
  <si>
    <t>B0BP94ZKKV</t>
  </si>
  <si>
    <t>AL-KS-WCWS-8109-18CH</t>
  </si>
  <si>
    <t>OxGord 16 inch Wheel Skins for 2015-2020 Chevy Colorado (Set of 4) Impostor Wheel Covers for 16 inch Chrome ABS Wheels- Auto Tire Replacement Exterior Cap Cover</t>
  </si>
  <si>
    <t>CR-EXTRA_ITEM</t>
  </si>
  <si>
    <t>ReturnOnly</t>
  </si>
  <si>
    <t>112-2702656-0119405</t>
  </si>
  <si>
    <t>DphzmVLRRRMA</t>
  </si>
  <si>
    <t>1ZH92F629039391943</t>
  </si>
  <si>
    <t>114-0638825-3583430</t>
  </si>
  <si>
    <t>D2BwKhLtRRMA</t>
  </si>
  <si>
    <t>1ZH92F629041246042</t>
  </si>
  <si>
    <t>D2B5K1L2RRMA</t>
  </si>
  <si>
    <t>1ZH92F629041235232</t>
  </si>
  <si>
    <t>112-2323609-3672215</t>
  </si>
  <si>
    <t>DWckKcL5RRMA</t>
  </si>
  <si>
    <t>1ZH92F629040809034</t>
  </si>
  <si>
    <t>113-6333045-3545869</t>
  </si>
  <si>
    <t>DvD8CTLyRRMA</t>
  </si>
  <si>
    <t>1ZH92F629045923802</t>
  </si>
  <si>
    <t>B0BTSFPKMY</t>
  </si>
  <si>
    <t>AL-KS-WCHC-61179-17SB</t>
  </si>
  <si>
    <t>OxGord 17 inch Hubcap Wheel Covers Compatible with 2013-2018 Toyota Rav4 (Set of 4) Hub Caps for Standard Steel Wheels - Silver &amp; Black ABS - Auto Tire Replacement Exterior Cap Cover</t>
  </si>
  <si>
    <t>114-9306362-6641805</t>
  </si>
  <si>
    <t>D5NfKCL7RRMA</t>
  </si>
  <si>
    <t>1ZH92F629041644237</t>
  </si>
  <si>
    <t>113-9880896-5164254</t>
  </si>
  <si>
    <t>Dx9mlbLQRRMA</t>
  </si>
  <si>
    <t>1ZH92F629038051133</t>
  </si>
  <si>
    <t>OxGord 18 inch Wheel Skins Compatible with 2011-2017 Ford Explorer - Impostor Wheel Covers for Standard Steel Wheels - Gloss Black</t>
  </si>
  <si>
    <t>113-5395866-2122627</t>
  </si>
  <si>
    <t>D8jFpHLMRRMA</t>
  </si>
  <si>
    <t>1ZH92F629044480328</t>
  </si>
  <si>
    <t>114-5269118-7117014</t>
  </si>
  <si>
    <t>DfdN0VL4RRMA</t>
  </si>
  <si>
    <t>1ZH92F629036012330</t>
  </si>
  <si>
    <t>B0BWFT2HQ3</t>
  </si>
  <si>
    <t>AL-KS-FRGC-GMSI-2020-173</t>
  </si>
  <si>
    <t>Fuel Rider Grille Inserts Overlay Trim for Front Grille Compatible with 2020-2022 GMC Sierra 2500/3500 - Chrome ABS Snap On 3 Mesh Bar, witho Camera- Car Truck Accessories</t>
  </si>
  <si>
    <t>111-0809147-9340266</t>
  </si>
  <si>
    <t>DW15l6L3RRMA</t>
  </si>
  <si>
    <t>1ZH92F629038480867</t>
  </si>
  <si>
    <t>B0BXHZDLHK</t>
  </si>
  <si>
    <t>AL-KS-WS-64041-16CH-FR</t>
  </si>
  <si>
    <t>Fuel Rider Set of 4 16 inch Chrome ABS Wheel Skins Impostors Wheel Covers Compatible with 2012-2016 Honda CR-V Wheels- Auto Tire Replacement Cap Cover</t>
  </si>
  <si>
    <t>113-2416377-5643403</t>
  </si>
  <si>
    <t>DvN8pbLhRRMA</t>
  </si>
  <si>
    <t>1ZH92F629044694133</t>
  </si>
  <si>
    <t>113-7910039-9165039</t>
  </si>
  <si>
    <t>Dk3zp8LgRRMA</t>
  </si>
  <si>
    <t>1ZH92F629044591039</t>
  </si>
  <si>
    <t>113-2937372-3605832</t>
  </si>
  <si>
    <t>DhyVKLLLRRMA</t>
  </si>
  <si>
    <t>1ZH92F629041580672</t>
  </si>
  <si>
    <t>114-0726998-1900202</t>
  </si>
  <si>
    <t>D7CjWwLVRRMA</t>
  </si>
  <si>
    <t>1ZH92F629042250526</t>
  </si>
  <si>
    <t>112-8829392-3181826</t>
  </si>
  <si>
    <t>D7lsKVLBRRMA</t>
  </si>
  <si>
    <t>1ZH92F629040719855</t>
  </si>
  <si>
    <t>B0C9R5ZKJH</t>
  </si>
  <si>
    <t>AL-KS-FRHC-1214TOCA-16SLBC10SS</t>
  </si>
  <si>
    <t>Fuel Rider 16 inch Silver ABS with Bolt Covers Hubcap Wheel Cover for 2012-2014 Toyota Camry (Set of 4) Wheelcovers for 16 inch Standard Steel Wheels- Auto Tire Cover Replacement Exterior Cap Cover</t>
  </si>
  <si>
    <t>114-7739381-0818622</t>
  </si>
  <si>
    <t>Dq0T0mLMRRMA</t>
  </si>
  <si>
    <t>1ZH92F629036131738</t>
  </si>
  <si>
    <t>113-8437708-9805010</t>
  </si>
  <si>
    <t>DZSRpMLWRRMA</t>
  </si>
  <si>
    <t>1ZH92F629044751384</t>
  </si>
  <si>
    <t>113-6591206-4041029</t>
  </si>
  <si>
    <t>Dq6nlBLYRRMA</t>
  </si>
  <si>
    <t>1ZH92F629037987581</t>
  </si>
  <si>
    <t>113-7290766-5641823</t>
  </si>
  <si>
    <t>DL7HWfLVRRMA</t>
  </si>
  <si>
    <t>1ZH92F629042990638</t>
  </si>
  <si>
    <t>112-4519420-1627447</t>
  </si>
  <si>
    <t>DTscWPLpRRMA</t>
  </si>
  <si>
    <t>1ZH92F629042129079</t>
  </si>
  <si>
    <t>114-1290574-8901820</t>
  </si>
  <si>
    <t>D2Sqm1LXRRMA</t>
  </si>
  <si>
    <t>1ZH92F629040160850</t>
  </si>
  <si>
    <t>114-6022131-7717801</t>
  </si>
  <si>
    <t>D2YnmqL3RRMA</t>
  </si>
  <si>
    <t>1ZH92F629039267373</t>
  </si>
  <si>
    <t>111-9743099-9375406</t>
  </si>
  <si>
    <t>DYq8llLDRRMA</t>
  </si>
  <si>
    <t>1ZH92F629037341250</t>
  </si>
  <si>
    <t>114-6488299-2594633</t>
  </si>
  <si>
    <t>DkTLprLYRRMA</t>
  </si>
  <si>
    <t>1ZH92F629043916921</t>
  </si>
  <si>
    <t>Set of 4 17 inch Silver ABS Hubcap Wheel Cover Compatible with 2017-2019 Ford Escape Wheelcovers for 17 inch Standard Steel Wheels- Auto Tire Cover Replacement</t>
  </si>
  <si>
    <t>111-0315992-9571435</t>
  </si>
  <si>
    <t>DWgZlDLVRRMA</t>
  </si>
  <si>
    <t>1ZH92F629038358277</t>
  </si>
  <si>
    <t>113-8658543-7126634</t>
  </si>
  <si>
    <t>DpdPlTLmRRMA</t>
  </si>
  <si>
    <t>1ZH92F629037570682</t>
  </si>
  <si>
    <t>114-7465889-6387445</t>
  </si>
  <si>
    <t>DqwDCHLmRRMA</t>
  </si>
  <si>
    <t>1ZH92F629045631529</t>
  </si>
  <si>
    <t>B0C9R9NRTF</t>
  </si>
  <si>
    <t>AL-KS-FRHC-0813DOGR-16SL6S</t>
  </si>
  <si>
    <t>Fuel Rider 16 inch Silver ABS Hubcap Wheel Cover for 2008-2013 Dodge Grand Caravan (Set of 4) Wheelcovers for 16 inch Standard Steel Wheels- Auto Tire Cover Replacement Exterior Cap Cover</t>
  </si>
  <si>
    <t>114-2261108-1981030</t>
  </si>
  <si>
    <t>DW8hmhL5RRMA</t>
  </si>
  <si>
    <t>1ZH92F629039789194</t>
  </si>
  <si>
    <t>B0CHK6SZWB</t>
  </si>
  <si>
    <t>AL-KS-FRWS-2451-20GB-5S</t>
  </si>
  <si>
    <t>Fuel Rider Set of 4 Gloss Black ABS Impostor Wheel Skins Compatible with 13-18 Ram 1500 5 Spoke, Will Not Work On The Cladded Version</t>
  </si>
  <si>
    <t>112-5802131-3845849</t>
  </si>
  <si>
    <t>DFXhmYL1RRMA</t>
  </si>
  <si>
    <t>1ZH92F629040203910</t>
  </si>
  <si>
    <t>B0CHK7GQ52</t>
  </si>
  <si>
    <t>AL-KS-FRWS-84760166-18GB-6VS</t>
  </si>
  <si>
    <t>Fuel Rider Set of Four (4) 18 inches Gloss Black ABS Wheel Skins Impostors Wheel Covers Compatible with 2017-2019 GMC Acadia Wheels- Auto Tire Replacement Cap Cover</t>
  </si>
  <si>
    <t>item from TONY</t>
  </si>
  <si>
    <t>114-8970184-1897831</t>
  </si>
  <si>
    <t>D84K0cLtRRMA</t>
  </si>
  <si>
    <t>1ZH92F629037087580</t>
  </si>
  <si>
    <t>B0CHK7NHT1</t>
  </si>
  <si>
    <t>AL-KS-FRWS-6BG71GSAAB-17GB-10S</t>
  </si>
  <si>
    <t>Fuel Rider Set of Four (4) 17 inches Gloss Black ABS Wheel Skins Impostors Wheel Covers Compatible with 2019-2022 Jeep Cherokee Wheels- Auto Tire Replacement Cap Cover</t>
  </si>
  <si>
    <t>114-8832850-1561848</t>
  </si>
  <si>
    <t>DH9QlmLbRRMA</t>
  </si>
  <si>
    <t>1ZH92F629038048012</t>
  </si>
  <si>
    <t>B0CHK97X47</t>
  </si>
  <si>
    <t>AL-KS-FRWS-74735-17GB-10S</t>
  </si>
  <si>
    <t>Fuel Rider Set of Four (4) 17 inches Gloss Black ABS Wheel Skins Impostors Wheel Covers Compatible with 2016-2018 Kia Sorento Wheels- Auto Tire Replacement Cap Cover</t>
  </si>
  <si>
    <t>111-2537704-6572218</t>
  </si>
  <si>
    <t>DZHHmJLNRRMA</t>
  </si>
  <si>
    <t>1ZH92F629039300559</t>
  </si>
  <si>
    <t>B0CHK9DGB2</t>
  </si>
  <si>
    <t>AL-KS-FRWS-9130-17GB-10V</t>
  </si>
  <si>
    <t>Fuel Rider Set of Four (4) 17 inches Gloss Black ABS Wheel Skins Impostors Wheel Covers Compatible with 2014-2018 Jeep Cherokee Wheels- Auto Tire Replacement Cap Cover</t>
  </si>
  <si>
    <t>114-3746762-4229868</t>
  </si>
  <si>
    <t>DWs7mRLVRRMA</t>
  </si>
  <si>
    <t>1ZH92F629039118999</t>
  </si>
  <si>
    <t>111-8213211-1765823</t>
  </si>
  <si>
    <t>DHcGKWL0RRMA</t>
  </si>
  <si>
    <t>1ZH92F629040795522</t>
  </si>
  <si>
    <t>Fuel Rider 17 inch Gloss Black Wheel Skin Impostor Wheel Covers Compatible with 2021-2024 Toyota Sienna LE LXE Wheels- Auto Tire Replacement Cap Cover</t>
  </si>
  <si>
    <t>112-9297385-1297040</t>
  </si>
  <si>
    <t>DWjhmqLZRRMA</t>
  </si>
  <si>
    <t>1ZH92F629039915145</t>
  </si>
  <si>
    <t>111-4062732-6260252</t>
  </si>
  <si>
    <t>DBKKK7LTRRMA</t>
  </si>
  <si>
    <t>1ZH92F629041801763</t>
  </si>
  <si>
    <t>112-0679443-5202638</t>
  </si>
  <si>
    <t>DjSWllLWRRMA</t>
  </si>
  <si>
    <t>1ZH92F629038781774</t>
  </si>
  <si>
    <t>DLHHWLL4RRMA</t>
  </si>
  <si>
    <t>1ZH92F629042339575</t>
  </si>
  <si>
    <t>D2H9W1LNRRMA</t>
  </si>
  <si>
    <t>1ZH92F629042336694</t>
  </si>
  <si>
    <t>113-7351624-3910628</t>
  </si>
  <si>
    <t>D4mJWnLHRRMA</t>
  </si>
  <si>
    <t>1ZH92F629043072726</t>
  </si>
  <si>
    <t>B0CHKQRSB6</t>
  </si>
  <si>
    <t>AL-KS-FRWS-2672-18CH-6S</t>
  </si>
  <si>
    <t>Fuel Rider Set of 4 18 inch Chrome ABS Wheel Skin Impostors Wheel Covers Compatible with Dodge Ram Laramie 1500, 2019-2022 (New Model), 2023-2024 (Old Model) - Auto Tire Replacement Cap Cover</t>
  </si>
  <si>
    <t>113-8430884-1196254</t>
  </si>
  <si>
    <t>DhPwWHLWRRMA</t>
  </si>
  <si>
    <t>1ZH92F629041836048</t>
  </si>
  <si>
    <t>111-5129376-6951462</t>
  </si>
  <si>
    <t>DF9sCpL1RRMA</t>
  </si>
  <si>
    <t>1ZH92F629045564512</t>
  </si>
  <si>
    <t>112-6617658-7536243</t>
  </si>
  <si>
    <t>DLDfmjLlRRMA</t>
  </si>
  <si>
    <t>1ZH92F629039819080</t>
  </si>
  <si>
    <t>113-0593580-1749803</t>
  </si>
  <si>
    <t>DHCDpFLhRRMA</t>
  </si>
  <si>
    <t>1ZH92F629043813836</t>
  </si>
  <si>
    <t>112-1137612-4693839</t>
  </si>
  <si>
    <t>DYcdKcLxRRMA</t>
  </si>
  <si>
    <t>1ZH92F629040789879</t>
  </si>
  <si>
    <t>112-2865321-0476218</t>
  </si>
  <si>
    <t>DQ5HmWLGRRMA</t>
  </si>
  <si>
    <t>1ZH92F629040129019</t>
  </si>
  <si>
    <t>114-6841902-9046663</t>
  </si>
  <si>
    <t>DhFKp8LkRRMA</t>
  </si>
  <si>
    <t>1ZH92F629044589300</t>
  </si>
  <si>
    <t>B0CMWZLSTM</t>
  </si>
  <si>
    <t>AL-KS-FRWS-5712-18GB-10S</t>
  </si>
  <si>
    <t>Fuel Rider Set of 4 Gloss Black ABS Impostor Wheel Skins Compatible with 16-18 Chevy Impala 10 Spoke</t>
  </si>
  <si>
    <t>112-2756253-1529024</t>
  </si>
  <si>
    <t>DtSbK1L8RRMA</t>
  </si>
  <si>
    <t>1ZH92F629041712029</t>
  </si>
  <si>
    <t>113-8962638-7772212</t>
  </si>
  <si>
    <t>Dq6mKwLnRRMA</t>
  </si>
  <si>
    <t>1ZH92F629040907366</t>
  </si>
  <si>
    <t>113-3486948-6549866</t>
  </si>
  <si>
    <t>Dx6YWrLzRRMA</t>
  </si>
  <si>
    <t>1ZH92F629042508230</t>
  </si>
  <si>
    <t>B0CMX1Y29K</t>
  </si>
  <si>
    <t>AL-KS-FRHC-3021-16SL-5SP</t>
  </si>
  <si>
    <t>Fuel Rider 16 inch Silver ABS Hubcap Wheel Compatible with 2006-2011 Chevy Impala (Set of 4) Wheelcovers for 16 inch Standard Steel Wheels- Auto Tire Cover Replacement Exterior Cap Cover</t>
  </si>
  <si>
    <t>111-1210236-2395439</t>
  </si>
  <si>
    <t>D4c85kLtRRMA</t>
  </si>
  <si>
    <t>1ZH92F629051284205</t>
  </si>
  <si>
    <t>111-8273826-0850610</t>
  </si>
  <si>
    <t>DQL15ZLSRRMA</t>
  </si>
  <si>
    <t>1ZH92F629051082389</t>
  </si>
  <si>
    <t>114-5005900-9465845</t>
  </si>
  <si>
    <t>DvpcXjLMRRMA</t>
  </si>
  <si>
    <t>1ZH92F629046528210</t>
  </si>
  <si>
    <t>114-7968999-9841830</t>
  </si>
  <si>
    <t>DKh6ghLqRRMA</t>
  </si>
  <si>
    <t>1ZH92F629049851481</t>
  </si>
  <si>
    <t>112-9487814-5897060</t>
  </si>
  <si>
    <t>DrsMq3L1RRMA</t>
  </si>
  <si>
    <t>1ZH92F629052341589</t>
  </si>
  <si>
    <t>112-6223319-4269832</t>
  </si>
  <si>
    <t>DtCggNL0RRMA</t>
  </si>
  <si>
    <t>1ZH92F629049652624</t>
  </si>
  <si>
    <t>114-1653016-8693012</t>
  </si>
  <si>
    <t>Dk5QCxLKRRMA</t>
  </si>
  <si>
    <t>1ZH92F629046268840</t>
  </si>
  <si>
    <t>111-0403278-9177834</t>
  </si>
  <si>
    <t>D4Fg8zLQRRMA</t>
  </si>
  <si>
    <t>1ZH92F629048988596</t>
  </si>
  <si>
    <t>Set of 4 15 inch Hubcap Covers Compatible with 2007-2012 Nissan Sentra Standard Steel Wheels - Snap On, Silver</t>
  </si>
  <si>
    <t>111-8417640-0828224</t>
  </si>
  <si>
    <t>Ds1FZLL1RRMA</t>
  </si>
  <si>
    <t>1ZH92F629054615762</t>
  </si>
  <si>
    <t>111-8471902-3028219</t>
  </si>
  <si>
    <t>DZkDC5L7RRMA</t>
  </si>
  <si>
    <t>1ZH92F629046082246</t>
  </si>
  <si>
    <t>112-4423323-3649069</t>
  </si>
  <si>
    <t>DscyqDLMRRMA</t>
  </si>
  <si>
    <t>1ZH92F629052590748</t>
  </si>
  <si>
    <t>114-0126776-3835438</t>
  </si>
  <si>
    <t>D4PV8zLXRRMA</t>
  </si>
  <si>
    <t>1ZH92F629047973022</t>
  </si>
  <si>
    <t>113-8064805-6176200</t>
  </si>
  <si>
    <t>Dxm2X5LzRRMA</t>
  </si>
  <si>
    <t>1ZH92F629047637510</t>
  </si>
  <si>
    <t>114-8484407-8942657</t>
  </si>
  <si>
    <t>Dxv284LsRRMA</t>
  </si>
  <si>
    <t>1ZH92F629049161673</t>
  </si>
  <si>
    <t>112-6045377-7458625</t>
  </si>
  <si>
    <t>DTBKX1L8RRMA</t>
  </si>
  <si>
    <t>1ZH92F629047450720</t>
  </si>
  <si>
    <t>114-3411706-1357049</t>
  </si>
  <si>
    <t>DjK1ZmLNRRMA</t>
  </si>
  <si>
    <t>9302010949890128325287</t>
  </si>
  <si>
    <t>114-2381736-5031432</t>
  </si>
  <si>
    <t>DFFNXPLFRRMA</t>
  </si>
  <si>
    <t>9302010949890125096708</t>
  </si>
  <si>
    <t>114-9187963-8413012</t>
  </si>
  <si>
    <t>DhGXgYL0RRMA</t>
  </si>
  <si>
    <t>1ZH92F629049540398</t>
  </si>
  <si>
    <t>112-7635486-5529857</t>
  </si>
  <si>
    <t>B01E5ZEYX4</t>
  </si>
  <si>
    <t>AL-EB-CCLK-CHGM-001-DGY</t>
  </si>
  <si>
    <t>OxGord Center Console Lid Kit for 99-07 Silverado, Avalanche, Suburban, Sierra, Yukon, Escalade - Replaces OEM 19127364 - Dark Grey</t>
  </si>
  <si>
    <t>114-6448081-8842639</t>
  </si>
  <si>
    <t>DBysCBL2RRMA</t>
  </si>
  <si>
    <t>1ZH92F629046160858</t>
  </si>
  <si>
    <t>B01EW34AUQ</t>
  </si>
  <si>
    <t>AL-KS-WCHC-61058-14SL</t>
  </si>
  <si>
    <t>14 inch Hubcaps Best for 1989-1990 Toyota Tercel - (Set of 4) Wheel Covers 14in Hub Caps Silver Rim Cover - Car Accessories for 14 inch Wheels - Snap On Hubcap, Auto Tire Replacement Exterior Cap</t>
  </si>
  <si>
    <t>112-1346906-6999406</t>
  </si>
  <si>
    <t>113-4897930-9290644</t>
  </si>
  <si>
    <t>B01LBYSL36</t>
  </si>
  <si>
    <t>AL-EB-ICDG-508-8PK</t>
  </si>
  <si>
    <t>Ignition Coil (Pack of 8) Curved Boot For Select Ford, Lincoln, Mercury 4.6L 5.4L V8 Engine - Replaces DG508 C1454 C1417 FD503</t>
  </si>
  <si>
    <t>113-5202881-8625810</t>
  </si>
  <si>
    <t>114-7560740-1484252</t>
  </si>
  <si>
    <t>DZwf5KLcRRMA</t>
  </si>
  <si>
    <t>1ZH92F629051496852</t>
  </si>
  <si>
    <t>B075KRTV1J</t>
  </si>
  <si>
    <t>AL-KS-WCTR-15-CH</t>
  </si>
  <si>
    <t>OXGORD Trim Rings 15 inch diameter (Pack of 4) Chrome Steel Beauty Rim</t>
  </si>
  <si>
    <t>112-9094902-3412214</t>
  </si>
  <si>
    <t>DjVQXbLVRRMA</t>
  </si>
  <si>
    <t>1ZH92F629047346834</t>
  </si>
  <si>
    <t>112-3485292-3096239</t>
  </si>
  <si>
    <t>DvfY50LhRRMA</t>
  </si>
  <si>
    <t>1ZH92F629051147809</t>
  </si>
  <si>
    <t>112-1131287-3984253</t>
  </si>
  <si>
    <t>D7fdXLLnRRMA</t>
  </si>
  <si>
    <t>1ZH92F629046835174</t>
  </si>
  <si>
    <t>113-8107759-3002612</t>
  </si>
  <si>
    <t>DpvVCbL1RRMA</t>
  </si>
  <si>
    <t>1ZH92F629046330914</t>
  </si>
  <si>
    <t>112-3974112-4746633</t>
  </si>
  <si>
    <t>D7r15jLTRRMA</t>
  </si>
  <si>
    <t>1ZH92F629050961298</t>
  </si>
  <si>
    <t>112-5148668-6218627</t>
  </si>
  <si>
    <t>DW14XfL1RRMA</t>
  </si>
  <si>
    <t>1ZH92F629047581017</t>
  </si>
  <si>
    <t>114-3852068-2573865</t>
  </si>
  <si>
    <t>DjKKZkLyRRMA</t>
  </si>
  <si>
    <t>1ZH92F629054968202</t>
  </si>
  <si>
    <t>114-4317245-3471404</t>
  </si>
  <si>
    <t>Dj1ggTL8RRMA</t>
  </si>
  <si>
    <t>1ZH92F629050344857</t>
  </si>
  <si>
    <t>111-7681187-1581048</t>
  </si>
  <si>
    <t>Dr5D8KLVRRMA</t>
  </si>
  <si>
    <t>1ZH92F629049097234</t>
  </si>
  <si>
    <t>112-9581847-3389869</t>
  </si>
  <si>
    <t>DfvdX3L9RRMA</t>
  </si>
  <si>
    <t>1ZH92F629047880266</t>
  </si>
  <si>
    <t>DKNn8FLHRRMA</t>
  </si>
  <si>
    <t>112-4950891-9800201</t>
  </si>
  <si>
    <t>Dfcf8fLXRRMA</t>
  </si>
  <si>
    <t>1ZH92F629048406606</t>
  </si>
  <si>
    <t>B078X1S7J1</t>
  </si>
  <si>
    <t>AL-KS-WCHC-3251-16CH</t>
  </si>
  <si>
    <t>Hub-caps for 06-11 Chevrolet HHR (Pack of 4) Wheel Covers 16 inch Snap On Chrome</t>
  </si>
  <si>
    <t>111-1456679-1017012</t>
  </si>
  <si>
    <t>DrkKXkLnRRMA</t>
  </si>
  <si>
    <t>1ZH92F629047672688</t>
  </si>
  <si>
    <t>B0795BFRDN</t>
  </si>
  <si>
    <t>AL-KS-WCHC-7052-17SPL</t>
  </si>
  <si>
    <t>Hub-caps for 10-12 Ford Fusion (Pack of 4) Wheel Covers 17 inch Snap On Silver</t>
  </si>
  <si>
    <t>114-4559095-6386668</t>
  </si>
  <si>
    <t>DFPtXFL8RRMA</t>
  </si>
  <si>
    <t>1ZH92F629046441483</t>
  </si>
  <si>
    <t>OxGord 20 inch Wheel Skins Compatible with 2009-2012 Ram 1500 - Impostor Wheel Covers for Alloy Rims, Push-on, Chrome</t>
  </si>
  <si>
    <t>112-6471904-2288206</t>
  </si>
  <si>
    <t>DYz6Z4LcRRMA</t>
  </si>
  <si>
    <t>1ZH92F629054094996</t>
  </si>
  <si>
    <t>Set of 4 Wheel Skins Compatible with Select 2013-2024 Ram 1500, 2500, 3500 - Impostor Covers for 20 inch Alloy Rims - Snap-on, Chrome</t>
  </si>
  <si>
    <t>111-3968888-1317061</t>
  </si>
  <si>
    <t>D7MRqYLjRRMA</t>
  </si>
  <si>
    <t>1ZH92F629052981272</t>
  </si>
  <si>
    <t>111-6932102-2303437</t>
  </si>
  <si>
    <t>DLk3CGL8RRMA</t>
  </si>
  <si>
    <t>1ZH92F629046088160</t>
  </si>
  <si>
    <t>112-0129802-7304216</t>
  </si>
  <si>
    <t>DLQqZjLPRRMA</t>
  </si>
  <si>
    <t>1ZH92F629054175925</t>
  </si>
  <si>
    <t>114-1031930-3105861</t>
  </si>
  <si>
    <t>DjMvgfLYRRMA</t>
  </si>
  <si>
    <t>1ZH92F629050144037</t>
  </si>
  <si>
    <t>111-1216354-6595462</t>
  </si>
  <si>
    <t>D5Yt83LYRRMA</t>
  </si>
  <si>
    <t>1ZH92F629048317935</t>
  </si>
  <si>
    <t>114-2797056-9895405</t>
  </si>
  <si>
    <t>DYXnghLLRRMA</t>
  </si>
  <si>
    <t>1ZH92F629050689664</t>
  </si>
  <si>
    <t>112-2430740-0121852</t>
  </si>
  <si>
    <t>B07CZ5QCGT</t>
  </si>
  <si>
    <t>AL-EB-PSSB-CHGM-001-GY</t>
  </si>
  <si>
    <t>Power Seat Adjuster Switch Trim Bezel Panel for GM Vehicles - Replaces OEM Part 88941674 - Front Left Driver Side - Gray</t>
  </si>
  <si>
    <t>112-0959805-0978663</t>
  </si>
  <si>
    <t>Dv5rCXLxRRMA</t>
  </si>
  <si>
    <t>B07KJWHZR5</t>
  </si>
  <si>
    <t>AL-KS-WCWS-5442-19CH</t>
  </si>
  <si>
    <t>OxGord 19 inch Wheel Skins for 2010-2015 Chevy Camaro (Set of 4) Impostor Wheel Covers for 19 inch Chrome ABS Wheels- Auto Tire Replacement Exterior Cap Cover</t>
  </si>
  <si>
    <t>114-5351900-6267403</t>
  </si>
  <si>
    <t>DZdy87LrRRMA</t>
  </si>
  <si>
    <t>1ZH92F629048155280</t>
  </si>
  <si>
    <t>B07KWFJ423</t>
  </si>
  <si>
    <t>AL-KS-WCHC-SWUN-15CH</t>
  </si>
  <si>
    <t>OxGord Hubcaps Wheel Covers - (Set of 4) Hub Caps Wheels Rim Cover - Car Accessories Silver Hubcap Standard Steel Rims - Snap On Auto Tire Replacement Exterior Cap (Chrome, 15 Inch)</t>
  </si>
  <si>
    <t>112-3366132-3936203</t>
  </si>
  <si>
    <t>113-3449215-3169804</t>
  </si>
  <si>
    <t>DFvyZzLQRRMA</t>
  </si>
  <si>
    <t>1ZH92F629054911049</t>
  </si>
  <si>
    <t>113-0360054-0171402</t>
  </si>
  <si>
    <t>DYcJ5bL7RRMA</t>
  </si>
  <si>
    <t>1ZH92F629051277231</t>
  </si>
  <si>
    <t>114-9903792-6235414</t>
  </si>
  <si>
    <t>DhyggHLHRRMA</t>
  </si>
  <si>
    <t>1ZH92F629050505049</t>
  </si>
  <si>
    <t>B0BG3K98LB</t>
  </si>
  <si>
    <t>AL-KS-WCWS-3957-17CH</t>
  </si>
  <si>
    <t>OxGord 17 inch Wheel Skins for 2013-2016 Ford Fusion (Set of 4) Impostor Wheel Covers for 17 inch Chrome ABS Wheels- Auto Tire Replacement Exterior Cap Cover</t>
  </si>
  <si>
    <t>112-6109441-1295433</t>
  </si>
  <si>
    <t>Ds9jXTLVRRMA</t>
  </si>
  <si>
    <t>1ZH92F629047162087</t>
  </si>
  <si>
    <t>B0BTSDZND6</t>
  </si>
  <si>
    <t>AL-KS-WCWS-5657-17GBK</t>
  </si>
  <si>
    <t>OxGord 17 inch Wheel Skins for 2014-2018 Chevy Silverado 1500 (Set of 4) Impostor Wheel Covers for 17 inch Gloss Black ABS Wheels- Auto Tire Replacement Exterior Cap Cover</t>
  </si>
  <si>
    <t>114-9152627-6464237</t>
  </si>
  <si>
    <t>Dfk78fL1RRMA</t>
  </si>
  <si>
    <t>1ZH92F629048933902</t>
  </si>
  <si>
    <t>B0BWFQWNPX</t>
  </si>
  <si>
    <t>AL-KS-FRGC-FOF1-1320-113</t>
  </si>
  <si>
    <t>Fuel Rider Grille Inserts Overlay Trim for Front Grille Compatible with 2013-2014 Ford F-150 - Chrome ABS Snap On 2 Bar, OE Look- Car Truck Accessories</t>
  </si>
  <si>
    <t>111-8149592-8993811</t>
  </si>
  <si>
    <t>DL04ZHLDRRMA</t>
  </si>
  <si>
    <t>1ZH92F629053850858</t>
  </si>
  <si>
    <t>113-2850400-1804236</t>
  </si>
  <si>
    <t>DKRH5HLjRRMA</t>
  </si>
  <si>
    <t>1ZH92F629050879548</t>
  </si>
  <si>
    <t>113-5409687-0009035</t>
  </si>
  <si>
    <t>DKC15FL4RRMA</t>
  </si>
  <si>
    <t>1ZH92F629051153301</t>
  </si>
  <si>
    <t>112-5934435-4928250</t>
  </si>
  <si>
    <t>DKspZnL1RRMA</t>
  </si>
  <si>
    <t>1ZH92F629053783850</t>
  </si>
  <si>
    <t>111-7075057-0881059</t>
  </si>
  <si>
    <t>D7CD5qLlRRMA</t>
  </si>
  <si>
    <t>1ZH92F629051176680</t>
  </si>
  <si>
    <t>B0C9R7TR9M</t>
  </si>
  <si>
    <t>AL-KS-FRHC-1316DODA-16CH5S</t>
  </si>
  <si>
    <t>Fuel Rider 16 inch Chrome ABS Hubcap Wheel Cover for 2013-2016 Dodge Dart (Set of 4) Wheelcovers for 16 inch Standard Steel Wheels- Auto Tire Cover Replacement Exterior Cap Cover</t>
  </si>
  <si>
    <t>113-9413259-3664250</t>
  </si>
  <si>
    <t>DvrqqhLKRRMA</t>
  </si>
  <si>
    <t>1ZH92F629052305985</t>
  </si>
  <si>
    <t>114-2624320-1566646</t>
  </si>
  <si>
    <t>DBV0XgLhRRMA</t>
  </si>
  <si>
    <t>1ZH92F629047367151</t>
  </si>
  <si>
    <t>113-9534681-0183400</t>
  </si>
  <si>
    <t>Dtz3g2LPRRMA</t>
  </si>
  <si>
    <t>1ZH92F629049826642</t>
  </si>
  <si>
    <t>112-7028645-0023465</t>
  </si>
  <si>
    <t>DTBMXdLsRRMA</t>
  </si>
  <si>
    <t>1ZH92F629047436871</t>
  </si>
  <si>
    <t>114-8271571-8779460</t>
  </si>
  <si>
    <t>DffdgPLvRRMA</t>
  </si>
  <si>
    <t>1ZH92F629049606620</t>
  </si>
  <si>
    <t>B0CHK89QHJ</t>
  </si>
  <si>
    <t>AL-KS-FRWS-10010-16GB-10S</t>
  </si>
  <si>
    <t>Fuel Rider Set of Four (4) 16 inches Gloss Black ABS Wheel Skins Impostors Wheel Covers Compatible with 2015-2018 Ford Focus Wheels- Auto Tire Replacement Cap Cover</t>
  </si>
  <si>
    <t>111-3950783-3120257</t>
  </si>
  <si>
    <t>DtJZX9LKRRMA</t>
  </si>
  <si>
    <t>1ZH92F629046625203</t>
  </si>
  <si>
    <t>B0CHK8BXY6</t>
  </si>
  <si>
    <t>AL-KS-FRWS-75153-17GB-6S</t>
  </si>
  <si>
    <t>Fuel Rider Set of Four (4) 17 inches Gloss Black ABS Wheel Skins Impostors Wheel Covers Compatible with 2014-2022 Toyota 4Runner Wheels- Auto Tire Replacement Cap Cover</t>
  </si>
  <si>
    <t>112-3392312-8965843</t>
  </si>
  <si>
    <t>D26t5NL2RRMA</t>
  </si>
  <si>
    <t>1ZH92F629051379676</t>
  </si>
  <si>
    <t>112-5500745-5662610</t>
  </si>
  <si>
    <t>Dv0QXxLHRRMA</t>
  </si>
  <si>
    <t>B0CHKGWWV8</t>
  </si>
  <si>
    <t>AL-KS-FRWS-9156-18GB-5VS</t>
  </si>
  <si>
    <t>Fuel Rider Set of Four (4) 18 inches Gloss Black ABS Wheel Skins Impostors Wheel Covers Compatible with 2017-2022 Jeep Grand Cherokee Wheels- Auto Tire Replacement Cap Cover</t>
  </si>
  <si>
    <t>111-9132880-5212227</t>
  </si>
  <si>
    <t>Dqbj8fL9RRMA</t>
  </si>
  <si>
    <t>1ZH92F629048630720</t>
  </si>
  <si>
    <t>B0CHKJ4FFS</t>
  </si>
  <si>
    <t>AL-KS-FRWS-LJ6Z1007A-17GB-10S</t>
  </si>
  <si>
    <t>Fuel Rider Set of Four (4) 17 inches Gloss Black ABS Wheel Skins Impostors Wheel Covers Compatible with 2020-2022 Ford Escape Wheels- Auto Tire Replacement Cap Cover</t>
  </si>
  <si>
    <t>114-6923388-7297823</t>
  </si>
  <si>
    <t>DfyY5yLzRRMA</t>
  </si>
  <si>
    <t>1ZH92F629051950717</t>
  </si>
  <si>
    <t>B0CHKK84LW</t>
  </si>
  <si>
    <t>AL-KS-FRWS-10027-17GB-5SP</t>
  </si>
  <si>
    <t>Fuel Rider 17 inch Gloss Black Wheel Skins Impostor Wheel Covers Compatible with 2015-2019 Ford Mustang - Auto Tire Replacement Cap Cover</t>
  </si>
  <si>
    <t>113-6088861-8726622</t>
  </si>
  <si>
    <t>D2tvqPLbRRMA</t>
  </si>
  <si>
    <t>1ZH92F629052873111</t>
  </si>
  <si>
    <t>114-1605015-8975450</t>
  </si>
  <si>
    <t>DkfPXwLkRRMA</t>
  </si>
  <si>
    <t>1ZH92F629046803234</t>
  </si>
  <si>
    <t>114-6064861-3563457</t>
  </si>
  <si>
    <t>DK1RgYLFRRMA</t>
  </si>
  <si>
    <t>1ZH92F629050327321</t>
  </si>
  <si>
    <t>111-3349841-0938634</t>
  </si>
  <si>
    <t>Df38XXLBRRMA</t>
  </si>
  <si>
    <t>1ZH92F629047687798</t>
  </si>
  <si>
    <t>112-9066953-3147445</t>
  </si>
  <si>
    <t>DtJd5zLVRRMA</t>
  </si>
  <si>
    <t>1ZH92F629050924784</t>
  </si>
  <si>
    <t>111-4014511-5219414</t>
  </si>
  <si>
    <t>D2r85DLhRRMA</t>
  </si>
  <si>
    <t>1ZH92F629050973865</t>
  </si>
  <si>
    <t>B0CMWZ144X</t>
  </si>
  <si>
    <t>AL-KS-FRHC-1153-15SL-24H</t>
  </si>
  <si>
    <t>Fuel Rider 15 inch Silver ABS Hubcap Wheel Compatible with 1997-2005 Buick Century (Set of 4) Wheelcovers for 15 inch Standard Steel Wheels- Auto Tire Cover Replacement Exterior Cap Cover</t>
  </si>
  <si>
    <t>112-6002580-5081807</t>
  </si>
  <si>
    <t>D2P2fSLGRRMA</t>
  </si>
  <si>
    <t>1ZH92F629056328319</t>
  </si>
  <si>
    <t>114-8043837-3239421</t>
  </si>
  <si>
    <t>DYNMHj0NRRMA</t>
  </si>
  <si>
    <t>1ZH92F629065794361</t>
  </si>
  <si>
    <t>114-1592195-2010655</t>
  </si>
  <si>
    <t>B00KHUQ2PU</t>
  </si>
  <si>
    <t>AL-EB-FMPV99D-BK</t>
  </si>
  <si>
    <t>OxGord All-Weather Rubber Cargo-Liner - Waterproof Trunk Protector/Cover for Rear - Best for Rough Luggage, Dog, Pets, Spills, Car, SUV, Minivan, Truck, Black</t>
  </si>
  <si>
    <t>113-6736391-3212234</t>
  </si>
  <si>
    <t>112-1897468-9943432</t>
  </si>
  <si>
    <t>Dtv6kT0WRRMA</t>
  </si>
  <si>
    <t>1ZH92F629063104752</t>
  </si>
  <si>
    <t>114-7061590-5601017</t>
  </si>
  <si>
    <t>DthB9105RRMA</t>
  </si>
  <si>
    <t>1ZH92F629067931244</t>
  </si>
  <si>
    <t>112-4718965-4636210</t>
  </si>
  <si>
    <t>DTtQh3LCRRMA</t>
  </si>
  <si>
    <t>1ZH92F629058568824</t>
  </si>
  <si>
    <t>113-6459809-0327406</t>
  </si>
  <si>
    <t>DrzKfmLPRRMA</t>
  </si>
  <si>
    <t>1ZH92F629056847026</t>
  </si>
  <si>
    <t>INVALID_EVIDENCE</t>
  </si>
  <si>
    <t>19019-10283-0186263</t>
  </si>
  <si>
    <t>NOGRANT</t>
  </si>
  <si>
    <t>113-4458458-6284248</t>
  </si>
  <si>
    <t>D8MVkh07RRMA</t>
  </si>
  <si>
    <t>1ZH92F629062706907</t>
  </si>
  <si>
    <t>111-9961779-0043412</t>
  </si>
  <si>
    <t>DZ60Nz0vRRMA</t>
  </si>
  <si>
    <t>1ZH92F629061053696</t>
  </si>
  <si>
    <t>111-3381253-2114636</t>
  </si>
  <si>
    <t>DBmKNm0tRRMA</t>
  </si>
  <si>
    <t>1ZH92F629061578450</t>
  </si>
  <si>
    <t>114-9487482-3678654</t>
  </si>
  <si>
    <t>DWl9HG0YRRMA</t>
  </si>
  <si>
    <t>1ZH92F629065020875</t>
  </si>
  <si>
    <t>113-5596509-9018655</t>
  </si>
  <si>
    <t>Dqzmf7LLRRMA</t>
  </si>
  <si>
    <t>1ZH92F629056838116</t>
  </si>
  <si>
    <t>112-2749333-6303450</t>
  </si>
  <si>
    <t>D2t0bM0JRRMA</t>
  </si>
  <si>
    <t>1ZH92F629063923091</t>
  </si>
  <si>
    <t>113-8881832-1808229</t>
  </si>
  <si>
    <t>DsQtN20lRRMA</t>
  </si>
  <si>
    <t>1ZH92F629061094286</t>
  </si>
  <si>
    <t>114-7821771-3379466</t>
  </si>
  <si>
    <t>DhYlfBL0RRMA</t>
  </si>
  <si>
    <t>1ZH92F629056718737</t>
  </si>
  <si>
    <t>111-5642670-8213044</t>
  </si>
  <si>
    <t>DhFwHP00RRMA</t>
  </si>
  <si>
    <t>1ZH92F629065748858</t>
  </si>
  <si>
    <t>112-3673836-8781866</t>
  </si>
  <si>
    <t>DtGPkK0bRRMA</t>
  </si>
  <si>
    <t>1ZH92F629062192267</t>
  </si>
  <si>
    <t>114-1967428-6340241</t>
  </si>
  <si>
    <t>DKFFNB0wRRMA</t>
  </si>
  <si>
    <t>1ZH92F629061653403</t>
  </si>
  <si>
    <t>114-1318745-3430662</t>
  </si>
  <si>
    <t>DWmnNB0GRRMA</t>
  </si>
  <si>
    <t>1ZH92F629061584649</t>
  </si>
  <si>
    <t>114-6928765-6329837</t>
  </si>
  <si>
    <t>DfQfR606RRMA</t>
  </si>
  <si>
    <t>1ZH92F629059726080</t>
  </si>
  <si>
    <t>112-3517169-9708233</t>
  </si>
  <si>
    <t>D8nDRV0TRRMA</t>
  </si>
  <si>
    <t>1ZH92F629059251566</t>
  </si>
  <si>
    <t>112-1629011-4324203</t>
  </si>
  <si>
    <t>DswRh4L7RRMA</t>
  </si>
  <si>
    <t>1ZH92F629058466569</t>
  </si>
  <si>
    <t>111-3203010-8836267</t>
  </si>
  <si>
    <t>DsfDhxLdRRMA</t>
  </si>
  <si>
    <t>1ZH92F629058101845</t>
  </si>
  <si>
    <t>111-3044584-5371452</t>
  </si>
  <si>
    <t>DqB2fRL1RRMA</t>
  </si>
  <si>
    <t>1ZH92F629057195765</t>
  </si>
  <si>
    <t>113-6464005-2814615</t>
  </si>
  <si>
    <t>D82DfrLnRRMA</t>
  </si>
  <si>
    <t>1ZH92F629057144266</t>
  </si>
  <si>
    <t>113-5051802-8589831</t>
  </si>
  <si>
    <t>DBsVfSL3RRMA</t>
  </si>
  <si>
    <t>1ZH92F629056547896</t>
  </si>
  <si>
    <t>111-0525114-4373819</t>
  </si>
  <si>
    <t>111-8003393-4868261</t>
  </si>
  <si>
    <t>111-1916277-6477000</t>
  </si>
  <si>
    <t>112-4164681-9660221</t>
  </si>
  <si>
    <t>113-1532213-5305030</t>
  </si>
  <si>
    <t>114-0245402-5401052</t>
  </si>
  <si>
    <t>114-0922093-0630665</t>
  </si>
  <si>
    <t>Dff1bg0MRRMA</t>
  </si>
  <si>
    <t>1ZH92F629063484486</t>
  </si>
  <si>
    <t>114-4803179-1197849</t>
  </si>
  <si>
    <t>DZpLbq0rRRMA</t>
  </si>
  <si>
    <t>1ZH92F629063221901</t>
  </si>
  <si>
    <t>112-5155613-9518656</t>
  </si>
  <si>
    <t>Df7ck00PRRMA</t>
  </si>
  <si>
    <t>1ZH92F629062831478</t>
  </si>
  <si>
    <t>113-6929283-4828249</t>
  </si>
  <si>
    <t>DqTPkZ02RRMA</t>
  </si>
  <si>
    <t>1ZH92F629062425283</t>
  </si>
  <si>
    <t>113-8336195-4987406</t>
  </si>
  <si>
    <t>DLm2NG0MRRMA</t>
  </si>
  <si>
    <t>1ZH92F629061572910</t>
  </si>
  <si>
    <t>111-5689873-4492267</t>
  </si>
  <si>
    <t>Dt1TjjLcRRMA</t>
  </si>
  <si>
    <t>9302010949890128818833</t>
  </si>
  <si>
    <t>113-0031323-7983431</t>
  </si>
  <si>
    <t>DBn1hVLjRRMA</t>
  </si>
  <si>
    <t>1ZH92F629057789034</t>
  </si>
  <si>
    <t>112-4851780-8156265</t>
  </si>
  <si>
    <t>D847htLgRRMA</t>
  </si>
  <si>
    <t>1ZH92F629059014536</t>
  </si>
  <si>
    <t>112-3261290-1507400</t>
  </si>
  <si>
    <t>B01E4GHJFY</t>
  </si>
  <si>
    <t>AL-EB-CCLL-CHGM-001</t>
  </si>
  <si>
    <t>OxGord Lid Latch Lock for Center Console Armrest Best for Silverado, Avalanche, Suburban, Sierra, Yukon, Escalade - Replaces OEM Part 20864151, 20864153, 20864154</t>
  </si>
  <si>
    <t>111-8902853-5490648</t>
  </si>
  <si>
    <t>DrTb9g0FRRMA</t>
  </si>
  <si>
    <t>1ZH92F629067853249</t>
  </si>
  <si>
    <t>111-9955714-6851437</t>
  </si>
  <si>
    <t>D5vG4v04RRMA</t>
  </si>
  <si>
    <t>1ZH92F629067197646</t>
  </si>
  <si>
    <t>113-2596116-2734649</t>
  </si>
  <si>
    <t>Djyy4Y0gRRMA</t>
  </si>
  <si>
    <t>1ZH92F629067080717</t>
  </si>
  <si>
    <t>111-7269163-5253018</t>
  </si>
  <si>
    <t>B07233KS7D</t>
  </si>
  <si>
    <t>AL-EB-LPBM-BMW-S1236</t>
  </si>
  <si>
    <t>License Plate Holder Bracket Mounting Kit Compatible with BMW 1 2 3 4 5 6 Series Rear Plates Car Accessories Replaces 51187160607, 511882380615 &amp; 51188238061 Tag Frame Back Bumper Trunk Mount Adapter</t>
  </si>
  <si>
    <t>114-9283175-8806610</t>
  </si>
  <si>
    <t>D4rjRG0FRRMA</t>
  </si>
  <si>
    <t>1ZH92F629059366817</t>
  </si>
  <si>
    <t>112-2895967-6128235</t>
  </si>
  <si>
    <t>Ds9ljnLVRRMA</t>
  </si>
  <si>
    <t>1ZH92F629055625455</t>
  </si>
  <si>
    <t>112-9967649-0361844</t>
  </si>
  <si>
    <t>DTYbH70fRRMA</t>
  </si>
  <si>
    <t>1ZH92F629065014239</t>
  </si>
  <si>
    <t>113-4355994-3194638</t>
  </si>
  <si>
    <t>DHfnkt0SRRMA</t>
  </si>
  <si>
    <t>1ZH92F629062283114</t>
  </si>
  <si>
    <t>113-4161903-4752238</t>
  </si>
  <si>
    <t>D7sLH104RRMA</t>
  </si>
  <si>
    <t>1ZH92F629064809847</t>
  </si>
  <si>
    <t>114-1774528-4271434</t>
  </si>
  <si>
    <t>D7fKkm0QRRMA</t>
  </si>
  <si>
    <t>1ZH92F629062279496</t>
  </si>
  <si>
    <t>111-7898737-8495419</t>
  </si>
  <si>
    <t>DsnWhwL9RRMA</t>
  </si>
  <si>
    <t>1ZH92F629057773274</t>
  </si>
  <si>
    <t>111-9380552-2027423</t>
  </si>
  <si>
    <t>D5259C03RRMA</t>
  </si>
  <si>
    <t>1ZH92F629068221741</t>
  </si>
  <si>
    <t>111-8634742-6527424</t>
  </si>
  <si>
    <t>DhRqHZ0qRRMA</t>
  </si>
  <si>
    <t>1ZH92F629064689450</t>
  </si>
  <si>
    <t>114-6409617-7427466</t>
  </si>
  <si>
    <t>DxpfHv0dRRMA</t>
  </si>
  <si>
    <t>1ZH92F629064657083</t>
  </si>
  <si>
    <t>B077BR41SF</t>
  </si>
  <si>
    <t>AL-KS-WCHC-61175-16SL</t>
  </si>
  <si>
    <t>16 inch Hubcaps Compatible with 2015-2017 Toyota Camry - Set of 4 Wheel Cover for Standard Steel Rims - Car Auto Accessories - Snap On</t>
  </si>
  <si>
    <t>113-5429453-2452242</t>
  </si>
  <si>
    <t>DfPrh5LvRRMA</t>
  </si>
  <si>
    <t>1ZH92F629057716317</t>
  </si>
  <si>
    <t>B0793H3B2P</t>
  </si>
  <si>
    <t>AL-KS-WCTR-14-SS</t>
  </si>
  <si>
    <t>OxGord Beauty Trim Rings for 14 inch Rally Wheels 1 1/2 inch Deep Polished Stainless Steel with 360 Degrees Saw Tooth Clip Retention</t>
  </si>
  <si>
    <t>114-1448229-7629021</t>
  </si>
  <si>
    <t>Dss2fvLYRRMA</t>
  </si>
  <si>
    <t>1ZH92F629056545227</t>
  </si>
  <si>
    <t>AL-TNY-WCWS-1688-UNPL</t>
  </si>
  <si>
    <t>114-5467527-0687405</t>
  </si>
  <si>
    <t>DqWNH20CRRMA</t>
  </si>
  <si>
    <t>1ZH92F629065277732</t>
  </si>
  <si>
    <t>113-8757895-3308204</t>
  </si>
  <si>
    <t>DkGHhwLgRRMA</t>
  </si>
  <si>
    <t>1ZH92F629058018427</t>
  </si>
  <si>
    <t>114-8192831-7021839</t>
  </si>
  <si>
    <t>DQFwNf0SRRMA</t>
  </si>
  <si>
    <t>1ZH92F629061668899</t>
  </si>
  <si>
    <t>113-0214028-8320227</t>
  </si>
  <si>
    <t>DqfRRl05RRMA</t>
  </si>
  <si>
    <t>1ZH92F629059505596</t>
  </si>
  <si>
    <t>112-8310735-3474637</t>
  </si>
  <si>
    <t>D4mxN30sRRMA</t>
  </si>
  <si>
    <t>Set of 4 17 Inch Hubcap Wheel Covers Compatible with 2014-2020 Nissan Rogue - for Standard Steel Wheels Only - Snap-on, Silver</t>
  </si>
  <si>
    <t>111-5139662-3035450</t>
  </si>
  <si>
    <t>DqLxhkLvRRMA</t>
  </si>
  <si>
    <t>1ZH92F629058025606</t>
  </si>
  <si>
    <t>113-6285991-7319420</t>
  </si>
  <si>
    <t>DW5yjJL7RRMA</t>
  </si>
  <si>
    <t>1ZH92F629056206914</t>
  </si>
  <si>
    <t>B07BB8RMJQ</t>
  </si>
  <si>
    <t>AL-KS-WCWS-8095-17CH</t>
  </si>
  <si>
    <t>OxGord Wheel Skins for 11-24 Silverado, Suburban, Sierra 2500/3500 (Set of 4) - Impostor ABS Chrome Wheel Cover for 17 inch Steel Wheels - Auto Accessories Tire Rim Replacement Cap Covers</t>
  </si>
  <si>
    <t>Chrome peeling off</t>
  </si>
  <si>
    <t>114-3821994-7338605</t>
  </si>
  <si>
    <t>B07D7HXT8X</t>
  </si>
  <si>
    <t>AL-EB-OX-SRHL-CHGM-001-BK</t>
  </si>
  <si>
    <t>Seat Recliner Handle Driver Side Left Handle Compatible with Select Chevrolet, Hummer &amp; GMC Vehicles - Replacement Part 89041697</t>
  </si>
  <si>
    <t>111-9410233-4603445</t>
  </si>
  <si>
    <t>DpNTNk09RRMA</t>
  </si>
  <si>
    <t>1ZH92F629061742030</t>
  </si>
  <si>
    <t>B07KBDNBF7</t>
  </si>
  <si>
    <t>AL-KS-WCTR-18-PLCH</t>
  </si>
  <si>
    <t>OxGord Beauty Trim Rings for 18 inch Rally Wheels 1 1/2 inch Deep Chrome ABS with Metal Clip &amp; Ring Retention</t>
  </si>
  <si>
    <t>113-5833742-9105037</t>
  </si>
  <si>
    <t>Df4tRf0QRRMA</t>
  </si>
  <si>
    <t>1ZH92F629060272488</t>
  </si>
  <si>
    <t>113-0219992-3568233</t>
  </si>
  <si>
    <t>DFt5Rz0VRRMA</t>
  </si>
  <si>
    <t>1ZH92F629059857797</t>
  </si>
  <si>
    <t>113-0291297-1545855</t>
  </si>
  <si>
    <t>DtD8hVLgRRMA</t>
  </si>
  <si>
    <t>1ZH92F629058779721</t>
  </si>
  <si>
    <t>111-0521494-1169000</t>
  </si>
  <si>
    <t>D81FhfL2RRMA</t>
  </si>
  <si>
    <t>1ZH92F629058815726</t>
  </si>
  <si>
    <t>113-6447798-2530607</t>
  </si>
  <si>
    <t>Dpfhf6L2RRMA</t>
  </si>
  <si>
    <t>1ZH92F629056653324</t>
  </si>
  <si>
    <t>112-6733329-3977835</t>
  </si>
  <si>
    <t>DYCJbd0bRRMA</t>
  </si>
  <si>
    <t>1ZH92F629063492940</t>
  </si>
  <si>
    <t>112-3848162-3399433</t>
  </si>
  <si>
    <t>D87R4C09RRMA</t>
  </si>
  <si>
    <t>1ZH92F629066875692</t>
  </si>
  <si>
    <t>B0BC9YVBNM</t>
  </si>
  <si>
    <t>AL-KS-WCWS-2305-17BLK</t>
  </si>
  <si>
    <t>OxGord 17 inch Wheel Skins for 2008-2014 Dodge Charger (Set of 4) Impostor Wheel Covers for 17 inch Gloss Black ABS Wheels- Auto Tire Replacement Exterior Cap Cover</t>
  </si>
  <si>
    <t>111-2665810-7529030</t>
  </si>
  <si>
    <t>DW269k0lRRMA</t>
  </si>
  <si>
    <t>1ZH92F629068227030</t>
  </si>
  <si>
    <t>114-0643797-6165867</t>
  </si>
  <si>
    <t>D5vSRT0wRRMA</t>
  </si>
  <si>
    <t>1ZH92F629060375957</t>
  </si>
  <si>
    <t>113-3010348-9569049</t>
  </si>
  <si>
    <t>D7369y0lRRMA</t>
  </si>
  <si>
    <t>1ZH92F629068562061</t>
  </si>
  <si>
    <t>113-1805920-3663408</t>
  </si>
  <si>
    <t>DZjlkM0bRRMA</t>
  </si>
  <si>
    <t>1ZH92F629062854524</t>
  </si>
  <si>
    <t>114-4287268-4297025</t>
  </si>
  <si>
    <t>DKGQ9H01RRMA</t>
  </si>
  <si>
    <t>1ZH92F629067586841</t>
  </si>
  <si>
    <t>B0BWFP82Z7</t>
  </si>
  <si>
    <t>AL-KS-FRGC-CHSI-2020-168BLK</t>
  </si>
  <si>
    <t>Fuel Rider Grille Inserts Overlay Trim for Front Grille Compatible with Select 2020-2022 Chevy Silverado 2500/3500 HD - Gloss Black ABS Snap On 4 Slotted Bar, with Logo Cutout- Car Truck Accessories</t>
  </si>
  <si>
    <t>113-0838553-3358656</t>
  </si>
  <si>
    <t>DQlx9L0yRRMA</t>
  </si>
  <si>
    <t>1ZH92F629067752910</t>
  </si>
  <si>
    <t>B0BWFQV3RT</t>
  </si>
  <si>
    <t>AL-KS-FRGC-FORA-1920-169</t>
  </si>
  <si>
    <t>Fuel Rider Grille Inserts Overlay Trim for Front Grille Compatible with 2019-2022 Ford Ranger - Chrome ABS Snap On Mesh Insert, OE Look- Car Truck Accessories</t>
  </si>
  <si>
    <t>112-6430956-7381816</t>
  </si>
  <si>
    <t>Drqk9C0kRRMA</t>
  </si>
  <si>
    <t>1ZH92F629067312510</t>
  </si>
  <si>
    <t>B0BWFR64Y6</t>
  </si>
  <si>
    <t>AL-KS-FRGC-GMSI-1920-172</t>
  </si>
  <si>
    <t>Fuel Rider Grille Inserts Overlay Trim for Front Grille Compatible with 2019-2022 GMC Sierra 1500 - Chrome ABS Snap On 3 Bar, OE Look- Car Truck Accessories</t>
  </si>
  <si>
    <t>112-1650299-7196203</t>
  </si>
  <si>
    <t>D7f6Nd0wRRMA</t>
  </si>
  <si>
    <t>B0BWFSQL5Q</t>
  </si>
  <si>
    <t>AL-KS-FRGC-CHSI-1920-167</t>
  </si>
  <si>
    <t>Fuel Rider Grille Inserts Overlay Trim for Front Grille Compatible with 2019-2022 Chevy Silverado - Chrome ABS Snap On 6 Slotted Bar, with Logo Cutout- Car Truck Accessories</t>
  </si>
  <si>
    <t>113-2250506-6775465</t>
  </si>
  <si>
    <t>D5CYNl02RRMA</t>
  </si>
  <si>
    <t>1ZH92F629060829752</t>
  </si>
  <si>
    <t>112-5809590-3501823</t>
  </si>
  <si>
    <t>D597jBLHRRMA</t>
  </si>
  <si>
    <t>1ZH92F629055635186</t>
  </si>
  <si>
    <t>113-4624871-0209069</t>
  </si>
  <si>
    <t>DQS44s0QRRMA</t>
  </si>
  <si>
    <t>1ZH92F629067174296</t>
  </si>
  <si>
    <t>Fuel Rider 17 inch Gloss Black ABS Hubcap Wheel Covers Compatible with 2019-2022 Toyota Rav4 LE (Set of 4) Wheelcovers for 17 inch Standard Steel Wheels- Auto Tire Cover Replacement Exterior Cap Cover</t>
  </si>
  <si>
    <t>112-6845362-0223417</t>
  </si>
  <si>
    <t>DH0z4F0zRRMA</t>
  </si>
  <si>
    <t>1ZH92F629066206842</t>
  </si>
  <si>
    <t>114-1744701-1473828</t>
  </si>
  <si>
    <t>DfYqhNLMRRMA</t>
  </si>
  <si>
    <t>1ZH92F629058153316</t>
  </si>
  <si>
    <t>B0CHK83BRF</t>
  </si>
  <si>
    <t>AL-KS-FRWS-42700TVAA73-17GB-10S</t>
  </si>
  <si>
    <t>Fuel Rider Set of Four (4) 17 inches Gloss Black ABS Wheel Skins Impostors Wheel Covers Compatible with 2018-2021 Honda Accord Wheels- Auto Tire Replacement Cap Cover</t>
  </si>
  <si>
    <t>112-9670782-0724212</t>
  </si>
  <si>
    <t>DW5VhXL7RRMA</t>
  </si>
  <si>
    <t>1ZH92F629059065722</t>
  </si>
  <si>
    <t>112-4844959-7597868</t>
  </si>
  <si>
    <t>DrwTkb01RRMA</t>
  </si>
  <si>
    <t>1ZH92F629062588821</t>
  </si>
  <si>
    <t>112-9435897-4908208</t>
  </si>
  <si>
    <t>DTShf9LWRRMA</t>
  </si>
  <si>
    <t>1ZH92F629057619940</t>
  </si>
  <si>
    <t>B0CHKSHFK5</t>
  </si>
  <si>
    <t>AL-KS-FRWS-ML3Z1007DA-18GB-6YS</t>
  </si>
  <si>
    <t>Fuel Rider Set of Four (4) 18 inches Gloss Black ABS Wheel Skins Impostors Wheel Covers Compatible with 2021-2022 Ford F-150 Wheels- Auto Tire Replacement Cap Cover</t>
  </si>
  <si>
    <t>111-8595670-0516208</t>
  </si>
  <si>
    <t>DF2xHN0cRRMA</t>
  </si>
  <si>
    <t>1ZH92F629065436891</t>
  </si>
  <si>
    <t>112-6182727-0877006</t>
  </si>
  <si>
    <t>D7gRbd0TRRMA</t>
  </si>
  <si>
    <t>1ZH92F629064063483</t>
  </si>
  <si>
    <t>111-1248530-6261049</t>
  </si>
  <si>
    <t>Dxbhb70MRRMA</t>
  </si>
  <si>
    <t>1ZH92F629063891652</t>
  </si>
  <si>
    <t>114-7692108-7429023</t>
  </si>
  <si>
    <t>DLL6hHLJRRMA</t>
  </si>
  <si>
    <t>1ZH92F629058030243</t>
  </si>
  <si>
    <t>B0CMWZK968</t>
  </si>
  <si>
    <t>AL-KS-FRWS-5672-17GB-5SP</t>
  </si>
  <si>
    <t>Fuel Rider Set of 4 Gloss Black ABS Impostor Wheel Skins Compatible with 15-22 Chevy Colorado 5 Spoke</t>
  </si>
  <si>
    <t>113-5957352-2789032</t>
  </si>
  <si>
    <t>DYpTR20FRRMA</t>
  </si>
  <si>
    <t>1ZH92F629059264365</t>
  </si>
  <si>
    <t>113-6217368-3367465</t>
  </si>
  <si>
    <t>Dplf920kRRMA</t>
  </si>
  <si>
    <t>1ZH92F629067751484</t>
  </si>
  <si>
    <t>B0DCZXC8F2</t>
  </si>
  <si>
    <t>AL-TNY-WCWS-1688-UNIB</t>
  </si>
  <si>
    <t>Wheel Simulators 16-inch (Set of 4) 16in Wheels Simulator - Truck Accessories Best for Pick-up Trucks Vans RV Rim Parts ABS Plastic Skin Cover - Universal Fits 8 Lug, 8 Hole -Gloss Black</t>
  </si>
  <si>
    <t>114-4368989-0760251</t>
  </si>
  <si>
    <t>DtsGcT01RRMA</t>
  </si>
  <si>
    <t>1ZJ74J529083591209</t>
  </si>
  <si>
    <t>112-0762430-7050631</t>
  </si>
  <si>
    <t>Dq072B0hRRMA</t>
  </si>
  <si>
    <t>1ZH92F629077739416</t>
  </si>
  <si>
    <t>AMZ-PG-APP-TOO-LARGE</t>
  </si>
  <si>
    <t>114-4764998-6436234</t>
  </si>
  <si>
    <t>Dq9wFh06RRMA</t>
  </si>
  <si>
    <t>1ZH92F629076684334</t>
  </si>
  <si>
    <t>113-5810678-2810659</t>
  </si>
  <si>
    <t>DWjLY90CRRMA</t>
  </si>
  <si>
    <t>1ZH92F629074149023</t>
  </si>
  <si>
    <t>114-8059083-3972219</t>
  </si>
  <si>
    <t>D5QGyr0lRRMA</t>
  </si>
  <si>
    <t>1ZH92F629072359390</t>
  </si>
  <si>
    <t>113-2882068-4033810</t>
  </si>
  <si>
    <t>DsYTcn0HRRMA</t>
  </si>
  <si>
    <t>1ZJ74J529083755505</t>
  </si>
  <si>
    <t>112-3392206-5726634</t>
  </si>
  <si>
    <t>DQ4mVT09RRMA</t>
  </si>
  <si>
    <t>1ZJ74J529080207835</t>
  </si>
  <si>
    <t>113-9242751-7597863</t>
  </si>
  <si>
    <t>DKBRVS06RRMA</t>
  </si>
  <si>
    <t>1ZJ74J529079889334</t>
  </si>
  <si>
    <t>DxBBVB0dRRMA</t>
  </si>
  <si>
    <t>1ZJ74J529079889174</t>
  </si>
  <si>
    <t>DLT62d0gRRMA</t>
  </si>
  <si>
    <t>1ZH92F629077922226</t>
  </si>
  <si>
    <t>112-3910415-9422640</t>
  </si>
  <si>
    <t>DKW1F00KRRMA</t>
  </si>
  <si>
    <t>1ZH92F629076707247</t>
  </si>
  <si>
    <t>112-5780772-2774619</t>
  </si>
  <si>
    <t>DhcJFc0qRRMA</t>
  </si>
  <si>
    <t>1ZH92F629076553332</t>
  </si>
  <si>
    <t>112-9126691-5499431</t>
  </si>
  <si>
    <t>D2jrwD0MRRMA</t>
  </si>
  <si>
    <t>1ZH92F629071267142</t>
  </si>
  <si>
    <t>111-7848792-7761033</t>
  </si>
  <si>
    <t>DWYYcD05RRMA</t>
  </si>
  <si>
    <t>1ZJ74J529083771630</t>
  </si>
  <si>
    <t>111-1216317-8591469</t>
  </si>
  <si>
    <t>D4HxY90mRRMA</t>
  </si>
  <si>
    <t>1ZH92F629073536099</t>
  </si>
  <si>
    <t>112-1745038-4967446</t>
  </si>
  <si>
    <t>DWyyDL09RRMA</t>
  </si>
  <si>
    <t>1ZH92F629075809362</t>
  </si>
  <si>
    <t>112-2344732-6961861</t>
  </si>
  <si>
    <t>DtNmYf0vRRMA</t>
  </si>
  <si>
    <t>1ZH92F629074318760</t>
  </si>
  <si>
    <t>113-1853687-2302622</t>
  </si>
  <si>
    <t>DsdTFC0BRRMA</t>
  </si>
  <si>
    <t>1ZH92F629076277640</t>
  </si>
  <si>
    <t>B014GF4HNA</t>
  </si>
  <si>
    <t>AL-KS-WCHC-61541-15SCBK</t>
  </si>
  <si>
    <t>15 inch Hubcaps Best for VW Volkswagen - (Set of 4) Wheel Covers 15in Hub Caps Silver Chrome Black Rim Cover - Car Accessories for 15 inch Wheels - Snap On Hubcap, Auto Tire Replacement Exterior Cap</t>
  </si>
  <si>
    <t>111-1620770-4681806</t>
  </si>
  <si>
    <t>DqftyH0dRRMA</t>
  </si>
  <si>
    <t>1ZH92F629072067240</t>
  </si>
  <si>
    <t>113-2907432-1684255</t>
  </si>
  <si>
    <t>Dsn6QY0lRRMA</t>
  </si>
  <si>
    <t>1ZJ74J529084712246</t>
  </si>
  <si>
    <t>Set of 4 Hub-caps Compatible with 2005-2010 Chevrolet Cobalt Wheel Covers 15 Inch Snap On Silver</t>
  </si>
  <si>
    <t>114-4437276-5155441</t>
  </si>
  <si>
    <t>DHGYFF00RRMA</t>
  </si>
  <si>
    <t>1ZH92F629076350748</t>
  </si>
  <si>
    <t>112-3898609-7319440</t>
  </si>
  <si>
    <t>DLPMFk0ZRRMA</t>
  </si>
  <si>
    <t>1ZH92F629076076625</t>
  </si>
  <si>
    <t>114-2655088-9681815</t>
  </si>
  <si>
    <t>DWJTzz0sRRMA</t>
  </si>
  <si>
    <t>1ZJ74J529080507556</t>
  </si>
  <si>
    <t>114-6316720-2314612</t>
  </si>
  <si>
    <t>DjPhc40qRRMA</t>
  </si>
  <si>
    <t>1ZJ74J529083343398</t>
  </si>
  <si>
    <t>114-6165487-0135448</t>
  </si>
  <si>
    <t>D4LT250hRRMA</t>
  </si>
  <si>
    <t>1ZH92F629077703276</t>
  </si>
  <si>
    <t>111-2896753-9496231</t>
  </si>
  <si>
    <t>DpsJvj0rRRMA</t>
  </si>
  <si>
    <t>1ZJ74J529082009304</t>
  </si>
  <si>
    <t>113-7141333-6617816</t>
  </si>
  <si>
    <t>DQjPVV0kRRMA</t>
  </si>
  <si>
    <t>1ZJ74J529080045699</t>
  </si>
  <si>
    <t>113-6341042-8769056</t>
  </si>
  <si>
    <t>DYhWVd0SRRMA</t>
  </si>
  <si>
    <t>1ZJ74J529079547159</t>
  </si>
  <si>
    <t>111-4122881-0361027</t>
  </si>
  <si>
    <t>DLlTVx09RRMA</t>
  </si>
  <si>
    <t>1ZJ74J529079363124</t>
  </si>
  <si>
    <t>113-9204894-0237852</t>
  </si>
  <si>
    <t>DTswFM0RRRMA</t>
  </si>
  <si>
    <t>1ZH92F629076299368</t>
  </si>
  <si>
    <t>112-4376153-7711456</t>
  </si>
  <si>
    <t>DFWDz70tRRMA</t>
  </si>
  <si>
    <t>1ZJ74J529081015228</t>
  </si>
  <si>
    <t>B01855R6FI</t>
  </si>
  <si>
    <t>AL-KS-WCHC-61124-16SL</t>
  </si>
  <si>
    <t>OxGord Hubcaps 16 inch Wheel Covers (Set of 4) Compatible with Toyota Sienna - Car Accessories Silver Hubcap Wheel Covers Fit 2004 2005 2006 2007 2008 Sienna</t>
  </si>
  <si>
    <t>111-5206707-7303427</t>
  </si>
  <si>
    <t>DHLSV10pRRMA</t>
  </si>
  <si>
    <t>1ZJ74J529079235709</t>
  </si>
  <si>
    <t>B01A622ABI</t>
  </si>
  <si>
    <t>AL-KS-WCHC-61109-14SL</t>
  </si>
  <si>
    <t>14 inch Hubcaps Best for 2000-2005 Toyota Echo - (Set of 4) Wheel Covers 14in Hub Caps Silver Rim Cover - Car Accessories for 14 inch Wheels - Snap On Hubcap, Auto Tire Replacement Exterior Cap</t>
  </si>
  <si>
    <t>114-3769973-6545826</t>
  </si>
  <si>
    <t>DxJvQS0PRRMA</t>
  </si>
  <si>
    <t>1ZJ74J529084816143</t>
  </si>
  <si>
    <t>111-4933293-2643456</t>
  </si>
  <si>
    <t>DLk1cg09RRMA</t>
  </si>
  <si>
    <t>1ZJ74J529084364211</t>
  </si>
  <si>
    <t>112-8561648-0479447</t>
  </si>
  <si>
    <t>D7L1c40hRRMA</t>
  </si>
  <si>
    <t>1ZJ74J529083665960</t>
  </si>
  <si>
    <t>111-4903427-5149866</t>
  </si>
  <si>
    <t>D4BmvW0SRRMA</t>
  </si>
  <si>
    <t>1ZJ74J529082761152</t>
  </si>
  <si>
    <t>112-7681464-8788213</t>
  </si>
  <si>
    <t>DZLhzW0BRRMA</t>
  </si>
  <si>
    <t>1ZJ74J529080616830</t>
  </si>
  <si>
    <t>111-7748988-9814640</t>
  </si>
  <si>
    <t>DjQsVq0XRRMA</t>
  </si>
  <si>
    <t>1ZJ74J529079605532</t>
  </si>
  <si>
    <t>113-7858330-3005858</t>
  </si>
  <si>
    <t>Dh2swm0zRRMA</t>
  </si>
  <si>
    <t>1ZH92F629071029908</t>
  </si>
  <si>
    <t>111-4515476-5294601</t>
  </si>
  <si>
    <t>DTZVwh0yRRMA</t>
  </si>
  <si>
    <t>1ZH92F629070905589</t>
  </si>
  <si>
    <t>113-7384560-6368250</t>
  </si>
  <si>
    <t>112-0823814-2308225</t>
  </si>
  <si>
    <t>113-8726356-8987418</t>
  </si>
  <si>
    <t>112-0599277-2032242</t>
  </si>
  <si>
    <t>DkDm2m06RRMA</t>
  </si>
  <si>
    <t>1ZH92F629078410974</t>
  </si>
  <si>
    <t>111-7837075-9546624</t>
  </si>
  <si>
    <t>DklDz60mRRMA</t>
  </si>
  <si>
    <t>1ZJ74J529080772000</t>
  </si>
  <si>
    <t>112-8376048-3130656</t>
  </si>
  <si>
    <t>DsQ2v90SRRMA</t>
  </si>
  <si>
    <t>1ZJ74J529082444647</t>
  </si>
  <si>
    <t>112-1537809-8584269</t>
  </si>
  <si>
    <t>DBdJwc0sRRMA</t>
  </si>
  <si>
    <t>1ZH92F629070385874</t>
  </si>
  <si>
    <t>111-9332057-2242625</t>
  </si>
  <si>
    <t>B01LXIL26G</t>
  </si>
  <si>
    <t>AL-EB-SCHC-FD01</t>
  </si>
  <si>
    <t>OxGord Overdrive Gear Shifter Ring Cap for Select Ford Vehicles - Replaces F2UZ-7A214-CA Steering Column Handle Button End Bezel Cover</t>
  </si>
  <si>
    <t>112-6421483-1320210</t>
  </si>
  <si>
    <t>DLkfVX0rRRMA</t>
  </si>
  <si>
    <t>1ZJ74J529080107783</t>
  </si>
  <si>
    <t>03 avalance did not fit</t>
  </si>
  <si>
    <t>113-5918015-5948229</t>
  </si>
  <si>
    <t>DpqmyY0tRRMA</t>
  </si>
  <si>
    <t>1ZH92F629071700182</t>
  </si>
  <si>
    <t xml:space="preserve"> </t>
  </si>
  <si>
    <t>112-3396707-6975421</t>
  </si>
  <si>
    <t>D4ncwk0LRRMA</t>
  </si>
  <si>
    <t>1ZH92F629070217895</t>
  </si>
  <si>
    <t>These are not compatible with the vehicle I purchased them for.</t>
  </si>
  <si>
    <t>111-3025372-6094652</t>
  </si>
  <si>
    <t>D2TMYQ0FRRMA</t>
  </si>
  <si>
    <t>1ZH92F629073580095</t>
  </si>
  <si>
    <t>B01M5E6BTW</t>
  </si>
  <si>
    <t>AL-KS-WCWS-3857-17CH</t>
  </si>
  <si>
    <t>Fuel Rider Set of 4 17 inch Chrome ABS Wheel Skins Impostors Wheel Covers Compatible with 2010-2022 Ford F-150 Wheels- Auto Tire Replacement Cap Cover</t>
  </si>
  <si>
    <t>112-1839946-1081035</t>
  </si>
  <si>
    <t>Dp0qYZ0bRRMA</t>
  </si>
  <si>
    <t>1ZH92F629073386322</t>
  </si>
  <si>
    <t>113-8435383-4444262</t>
  </si>
  <si>
    <t>DBg1vF0ZRRMA</t>
  </si>
  <si>
    <t>1ZJ74J529082800930</t>
  </si>
  <si>
    <t>111-4513330-9741833</t>
  </si>
  <si>
    <t>DWSvYB0wRRMA</t>
  </si>
  <si>
    <t>1ZH92F629074369830</t>
  </si>
  <si>
    <t>113-2977016-5888206</t>
  </si>
  <si>
    <t>Dhl6zL0yRRMA</t>
  </si>
  <si>
    <t>1ZJ74J529080754968</t>
  </si>
  <si>
    <t>B071JD4MJ9</t>
  </si>
  <si>
    <t>AL-KS-WCHC-8038-17SL</t>
  </si>
  <si>
    <t>17 inch Hubcaps Best for 2011-2014 Dodge Avenger - (Set of 4) Wheel Covers 17in Hub Caps Silver Rim Cover - Car Accessories for 17 inch Wheels - Snap On Hubcap, Auto Tire Replacement Exterior Cap</t>
  </si>
  <si>
    <t>111-2423509-8368228</t>
  </si>
  <si>
    <t>DHlgFL0fRRMA</t>
  </si>
  <si>
    <t>1ZH92F629076506035</t>
  </si>
  <si>
    <t>112-8304203-4459458</t>
  </si>
  <si>
    <t>113-4993594-5640225</t>
  </si>
  <si>
    <t>DKX72k07RRMA</t>
  </si>
  <si>
    <t>1ZH92F629078817213</t>
  </si>
  <si>
    <t>B072PSX69P</t>
  </si>
  <si>
    <t>AL-EB-FFBS-152</t>
  </si>
  <si>
    <t>Fender Flares Compatible with 07-13 Toyota Tundra (Pack of 4) Bolt-On Pocket Style - Truck Accessories Best for Pick-up Truck Trim Guards - Black Re-Paintable</t>
  </si>
  <si>
    <t>114-1765994-0680269</t>
  </si>
  <si>
    <t>DhGBQD0rRRMA</t>
  </si>
  <si>
    <t>1ZJ74J529084914528</t>
  </si>
  <si>
    <t>B075KP3SDB</t>
  </si>
  <si>
    <t>AL-KS-WCTR-15-SS</t>
  </si>
  <si>
    <t>OxGord Beauty Trim Rings for 15 inch Rally Wheels 1 1/2 inch Deep Polished Stainless Steel with 360 Degrees Saw Tooth Clip Retention</t>
  </si>
  <si>
    <t>112-4258553-3754626</t>
  </si>
  <si>
    <t>D5D1vv0dRRMA</t>
  </si>
  <si>
    <t>1ZJ74J529082847417</t>
  </si>
  <si>
    <t>113-7807001-2633003</t>
  </si>
  <si>
    <t>DLybzM0VRRMA</t>
  </si>
  <si>
    <t>1ZJ74J529081531072</t>
  </si>
  <si>
    <t>113-1245600-1124267</t>
  </si>
  <si>
    <t>Dp5B2k0jRRMA</t>
  </si>
  <si>
    <t>1ZH92F629078744435</t>
  </si>
  <si>
    <t>114-6482743-3349038</t>
  </si>
  <si>
    <t>Dvth230MRRMA</t>
  </si>
  <si>
    <t>1ZH92F629078190391</t>
  </si>
  <si>
    <t>113-8377956-0645819</t>
  </si>
  <si>
    <t>DLT6Yy0KRRMA</t>
  </si>
  <si>
    <t>1ZH92F629073594866</t>
  </si>
  <si>
    <t>111-7441425-8273836</t>
  </si>
  <si>
    <t>D545wT0JRRMA</t>
  </si>
  <si>
    <t>1ZH92F629071443228</t>
  </si>
  <si>
    <t>114-1620029-1643444</t>
  </si>
  <si>
    <t>Dx1NBz0yRRMA</t>
  </si>
  <si>
    <t>1ZH92F629069789824</t>
  </si>
  <si>
    <t>111-4916880-5375431</t>
  </si>
  <si>
    <t>D4jwvJ0WRRMA</t>
  </si>
  <si>
    <t>1ZJ74J529082943732</t>
  </si>
  <si>
    <t>113-3916367-0351416</t>
  </si>
  <si>
    <t>Df6Kvy0gRRMA</t>
  </si>
  <si>
    <t>1ZJ74J529082416052</t>
  </si>
  <si>
    <t>113-4564331-9507417</t>
  </si>
  <si>
    <t>DslHYK0XRRMA</t>
  </si>
  <si>
    <t>1ZH92F629073518055</t>
  </si>
  <si>
    <t>111-5846083-3469832</t>
  </si>
  <si>
    <t>DjKwcr09RRMA</t>
  </si>
  <si>
    <t>1ZJ74J529084613095</t>
  </si>
  <si>
    <t>111-0673224-4083426</t>
  </si>
  <si>
    <t>DtcQzp0FRRMA</t>
  </si>
  <si>
    <t>1ZJ74J529080813233</t>
  </si>
  <si>
    <t>114-9183524-4524219</t>
  </si>
  <si>
    <t>DxQlVc0bRRMA</t>
  </si>
  <si>
    <t>1ZJ74J529079586465</t>
  </si>
  <si>
    <t>113-0705188-1886640</t>
  </si>
  <si>
    <t>D488c50xRRMA</t>
  </si>
  <si>
    <t>1ZJ74J529084230070</t>
  </si>
  <si>
    <t>112-2915892-5649016</t>
  </si>
  <si>
    <t>Dtf8cN0DRRMA</t>
  </si>
  <si>
    <t>1ZJ74J529083696409</t>
  </si>
  <si>
    <t>112-6606771-2550651</t>
  </si>
  <si>
    <t>DHryDn01RRMA</t>
  </si>
  <si>
    <t>1ZH92F629074708491</t>
  </si>
  <si>
    <t>113-3457470-7581842</t>
  </si>
  <si>
    <t>DxnJDc0SRRMA</t>
  </si>
  <si>
    <t>1ZH92F629074562497</t>
  </si>
  <si>
    <t>112-3246350-3705049</t>
  </si>
  <si>
    <t>DZKh9N0WRRMA</t>
  </si>
  <si>
    <t>1ZH92F629068819721</t>
  </si>
  <si>
    <t>113-3772976-1389011</t>
  </si>
  <si>
    <t>DktDF60jRRMA</t>
  </si>
  <si>
    <t>1ZH92F629076797981</t>
  </si>
  <si>
    <t>112-1560397-6300219</t>
  </si>
  <si>
    <t>Djn0Yt0VRRMA</t>
  </si>
  <si>
    <t>1ZH92F629073131301</t>
  </si>
  <si>
    <t>113-4597888-1520206</t>
  </si>
  <si>
    <t>DHvTV00CRRMA</t>
  </si>
  <si>
    <t>1ZJ74J529080312248</t>
  </si>
  <si>
    <t>Set of 4 16 inch Hubcap Wheel Covers for Standard Steel Wheels Only - Snap-on, Silver/Black</t>
  </si>
  <si>
    <t>112-8085184-4535441</t>
  </si>
  <si>
    <t>Dqk7vC0bRRMA</t>
  </si>
  <si>
    <t>1ZJ74J529082973281</t>
  </si>
  <si>
    <t>112-6639743-2095447</t>
  </si>
  <si>
    <t>DZrvyx0KRRMA</t>
  </si>
  <si>
    <t>1ZH92F629071869644</t>
  </si>
  <si>
    <t>112-7463417-9581016</t>
  </si>
  <si>
    <t>Dk9cVL0PRRMA</t>
  </si>
  <si>
    <t>1ZJ74J529079637865</t>
  </si>
  <si>
    <t>Set of 4 14 inch Hubcaps Compatible with 1997-1999 Toyota Camry Wheel Covers 14in Hub Caps Silver Rim Cover - Car Accessories for 14 inch Wheels - Snap On Hubcap</t>
  </si>
  <si>
    <t>114-4804234-5421802</t>
  </si>
  <si>
    <t>DfWpwf00RRMA</t>
  </si>
  <si>
    <t>1ZH92F629070861635</t>
  </si>
  <si>
    <t>112-7929203-0714612</t>
  </si>
  <si>
    <t>DqfYBk0nRRMA</t>
  </si>
  <si>
    <t>1ZH92F629069203296</t>
  </si>
  <si>
    <t>111-5519530-5943415</t>
  </si>
  <si>
    <t>DKYR210HRRMA</t>
  </si>
  <si>
    <t>1ZH92F629077794526</t>
  </si>
  <si>
    <t>AMZ-PG-APP-TOO-SMALL</t>
  </si>
  <si>
    <t>111-2726661-1982651</t>
  </si>
  <si>
    <t>DBvkwK0LRRMA</t>
  </si>
  <si>
    <t>1ZH92F629071567470</t>
  </si>
  <si>
    <t>111-9330715-1169847</t>
  </si>
  <si>
    <t>DvTWVT0ZRRMA</t>
  </si>
  <si>
    <t>1ZJ74J529079485109</t>
  </si>
  <si>
    <t>114-6000470-8298609</t>
  </si>
  <si>
    <t>Dr6LBp0GRRMA</t>
  </si>
  <si>
    <t>1ZH92F629069414791</t>
  </si>
  <si>
    <t>114-7836531-8211461</t>
  </si>
  <si>
    <t>DtQQvV0qRRMA</t>
  </si>
  <si>
    <t>1ZJ74J529082455144</t>
  </si>
  <si>
    <t>Hubcaps for 2006-2011 Chevrolet HHR Wheel Covers 16 Inch Snap-On Chrome (Set of 4)</t>
  </si>
  <si>
    <t>111-5661474-2126604</t>
  </si>
  <si>
    <t>D28vwm08RRMA</t>
  </si>
  <si>
    <t>1ZH92F629071165136</t>
  </si>
  <si>
    <t>B0794NDXX4</t>
  </si>
  <si>
    <t>AL-KS-WCHC-53077-16CH</t>
  </si>
  <si>
    <t>16 inch Hubcaps Best for 2008-2013 Nissan Rogue - (Set of 4) Wheel Covers 16in Hub Caps Chrome Rim Cover - Car Accessories for 16 inch Wheels - Snap On Hubcap, Auto Tire Replacement Exterior Cap</t>
  </si>
  <si>
    <t>112-7138223-2031456</t>
  </si>
  <si>
    <t>DpHMcB0jRRMA</t>
  </si>
  <si>
    <t>1ZJ74J529083839193</t>
  </si>
  <si>
    <t>113-7638729-4477048</t>
  </si>
  <si>
    <t>DjrlYN0KRRMA</t>
  </si>
  <si>
    <t>1ZH92F629073270205</t>
  </si>
  <si>
    <t>111-9060041-1737858</t>
  </si>
  <si>
    <t>DLpdzK0HRRMA</t>
  </si>
  <si>
    <t>1ZJ74J529080439951</t>
  </si>
  <si>
    <t>112-1080790-3751468</t>
  </si>
  <si>
    <t>DB5sDv0WRRMA</t>
  </si>
  <si>
    <t>1ZH92F629075917067</t>
  </si>
  <si>
    <t>114-4264228-2433001</t>
  </si>
  <si>
    <t>D5VQD40FRRMA</t>
  </si>
  <si>
    <t>1ZH92F629075389423</t>
  </si>
  <si>
    <t>111-7003748-0019467</t>
  </si>
  <si>
    <t>DFr2cw0KRRMA</t>
  </si>
  <si>
    <t>1ZJ74J529083546606</t>
  </si>
  <si>
    <t>111-9535537-8400251</t>
  </si>
  <si>
    <t>DpslQ80mRRMA</t>
  </si>
  <si>
    <t>1ZJ74J529084893202</t>
  </si>
  <si>
    <t>112-3790268-2928266</t>
  </si>
  <si>
    <t>DKPLvv0MRRMA</t>
  </si>
  <si>
    <t>1ZJ74J529081756722</t>
  </si>
  <si>
    <t>111-0659378-8439443</t>
  </si>
  <si>
    <t>DZqzV70yRRMA</t>
  </si>
  <si>
    <t>1ZH92F629078912011</t>
  </si>
  <si>
    <t>112-1171338-3565827</t>
  </si>
  <si>
    <t>DvR2z90qRRMA</t>
  </si>
  <si>
    <t>1ZJ74J529080479079</t>
  </si>
  <si>
    <t>111-0295613-9005013</t>
  </si>
  <si>
    <t>Dtgy2l0zRRMA</t>
  </si>
  <si>
    <t>1ZH92F629078337581</t>
  </si>
  <si>
    <t>111-7234931-5353850</t>
  </si>
  <si>
    <t>DxmJFV0jRRMA</t>
  </si>
  <si>
    <t>1ZH92F629077078158</t>
  </si>
  <si>
    <t>113-6794565-2004207</t>
  </si>
  <si>
    <t>DQcSFQ01RRMA</t>
  </si>
  <si>
    <t>1ZH92F629076538797</t>
  </si>
  <si>
    <t>113-3062912-7841832</t>
  </si>
  <si>
    <t>D5RTBx0vRRMA</t>
  </si>
  <si>
    <t>114-6797664-6153061</t>
  </si>
  <si>
    <t>D8JccQ04RRMA</t>
  </si>
  <si>
    <t>112-9981158-3404204</t>
  </si>
  <si>
    <t>DZq3vb06RRMA</t>
  </si>
  <si>
    <t>112-1209517-4582663</t>
  </si>
  <si>
    <t>Dx32zZ0fRRMA</t>
  </si>
  <si>
    <t>111-2183303-0988223</t>
  </si>
  <si>
    <t>DhyGcZ0RRRMA</t>
  </si>
  <si>
    <t>1ZJ74J529084435055</t>
  </si>
  <si>
    <t>111-9865388-4850616</t>
  </si>
  <si>
    <t>DxZbYW0pRRMA</t>
  </si>
  <si>
    <t>1ZH92F629073812521</t>
  </si>
  <si>
    <t>114-8406781-0914644</t>
  </si>
  <si>
    <t>DHX1y00MRRMA</t>
  </si>
  <si>
    <t>1ZH92F629073042363</t>
  </si>
  <si>
    <t>112-5313682-7906643</t>
  </si>
  <si>
    <t>DY0Z2209RRMA</t>
  </si>
  <si>
    <t>1ZH92F629077705694</t>
  </si>
  <si>
    <t>111-8361239-8077840</t>
  </si>
  <si>
    <t>Djd7D804RRMA</t>
  </si>
  <si>
    <t>1ZH92F629074732731</t>
  </si>
  <si>
    <t>113-6040719-9253046</t>
  </si>
  <si>
    <t>DWXwyZ0mRRMA</t>
  </si>
  <si>
    <t>1ZH92F629073053548</t>
  </si>
  <si>
    <t>File</t>
  </si>
  <si>
    <t>111-0247140-0055426</t>
  </si>
  <si>
    <t>DvvfB00cRRMA</t>
  </si>
  <si>
    <t>1ZH92F629070082192</t>
  </si>
  <si>
    <t>114-3469040-9748211</t>
  </si>
  <si>
    <t>DYxHV90QRRMA</t>
  </si>
  <si>
    <t>1ZJ74J529079038968</t>
  </si>
  <si>
    <t>111-9396684-3980228</t>
  </si>
  <si>
    <t>DvqK2y0GRRMA</t>
  </si>
  <si>
    <t>1ZH92F629077422089</t>
  </si>
  <si>
    <t>111-4806393-3269047</t>
  </si>
  <si>
    <t>DrxrVC0GRRMA</t>
  </si>
  <si>
    <t>1ZJ74J529079046128</t>
  </si>
  <si>
    <t>113-1359692-6954645</t>
  </si>
  <si>
    <t>DF8P270wRRMA</t>
  </si>
  <si>
    <t>1ZH92F629078365685</t>
  </si>
  <si>
    <t>112-0852425-6859409</t>
  </si>
  <si>
    <t>DqMdyY0wRRMA</t>
  </si>
  <si>
    <t>1ZH92F629072593163</t>
  </si>
  <si>
    <t>112-4908879-2676242</t>
  </si>
  <si>
    <t>DHpLFv0GRRMA</t>
  </si>
  <si>
    <t>1ZH92F629076152104</t>
  </si>
  <si>
    <t>B07M6Y3Z9W</t>
  </si>
  <si>
    <t>AL-KS-WCHC-61172-16SL</t>
  </si>
  <si>
    <t>OxGord 16 inch Hubcap Wheel Skins for 2014-2016 Toyota Corolla (Set of 4) (Charcoal)</t>
  </si>
  <si>
    <t>111-5773512-3988261</t>
  </si>
  <si>
    <t>DF1QYp0yRRMA</t>
  </si>
  <si>
    <t>1ZH92F629074104142</t>
  </si>
  <si>
    <t>113-0409418-5465864</t>
  </si>
  <si>
    <t>DK1Ny70XRRMA</t>
  </si>
  <si>
    <t>1ZH92F629072775743</t>
  </si>
  <si>
    <t>114-5717291-0143401</t>
  </si>
  <si>
    <t>DLTkyr0BRRMA</t>
  </si>
  <si>
    <t>1ZH92F629072226667</t>
  </si>
  <si>
    <t>112-6257413-9738617</t>
  </si>
  <si>
    <t>DtGb2x0gRRMA</t>
  </si>
  <si>
    <t>1ZH92F629077677037</t>
  </si>
  <si>
    <t>B09WPJ9B19</t>
  </si>
  <si>
    <t>AL-KS-WCWS-8130-17CH</t>
  </si>
  <si>
    <t>OxGord 17 inch Wheel Skins for 2019-2022 Chevy Silverado 1500 (Set of 4) Impostor Wheel Covers for 17 inch Chrome ABS Wheels- Auto Tire Replacement Exterior Cap Cover</t>
  </si>
  <si>
    <t>113-6098522-9925846</t>
  </si>
  <si>
    <t>DLPBQ20kRRMA</t>
  </si>
  <si>
    <t>1ZJ74J529084639817</t>
  </si>
  <si>
    <t>114-8201035-5567421</t>
  </si>
  <si>
    <t>DHj3z50YRRMA</t>
  </si>
  <si>
    <t>1ZJ74J529081389316</t>
  </si>
  <si>
    <t>112-9348592-6173856</t>
  </si>
  <si>
    <t>DkpfFF0FRRMA</t>
  </si>
  <si>
    <t>1ZH92F629076129907</t>
  </si>
  <si>
    <t>113-9429942-5726616</t>
  </si>
  <si>
    <t>DrgRDm0pRRMA</t>
  </si>
  <si>
    <t>1ZH92F629075522386</t>
  </si>
  <si>
    <t>112-2204053-1219410</t>
  </si>
  <si>
    <t>Dp5ByD0PRRMA</t>
  </si>
  <si>
    <t>1ZH92F629072978720</t>
  </si>
  <si>
    <t>113-0883040-5617841</t>
  </si>
  <si>
    <t>DTz4yM0rRRMA</t>
  </si>
  <si>
    <t>1ZH92F629072271028</t>
  </si>
  <si>
    <t>114-8251779-7373824</t>
  </si>
  <si>
    <t>DkPNyk0lRRMA</t>
  </si>
  <si>
    <t>1ZH92F629071669664</t>
  </si>
  <si>
    <t>112-5947186-7330653</t>
  </si>
  <si>
    <t>DZFswL0DRRMA</t>
  </si>
  <si>
    <t>1ZH92F629071377827</t>
  </si>
  <si>
    <t>111-9878735-2277037</t>
  </si>
  <si>
    <t>DTkRwK0BRRMA</t>
  </si>
  <si>
    <t>1ZH92F629071318168</t>
  </si>
  <si>
    <t>113-5015463-4500211</t>
  </si>
  <si>
    <t>DhVVvh0xRRMA</t>
  </si>
  <si>
    <t>1ZJ74J529082661591</t>
  </si>
  <si>
    <t>114-9965815-7195451</t>
  </si>
  <si>
    <t>DYmScl0NRRMA</t>
  </si>
  <si>
    <t>1ZJ74J529084337705</t>
  </si>
  <si>
    <t>112-1665611-2353838</t>
  </si>
  <si>
    <t>Dq4jzB0gRRMA</t>
  </si>
  <si>
    <t>1ZJ74J529081575472</t>
  </si>
  <si>
    <t>112-6304362-9181065</t>
  </si>
  <si>
    <t>DF0dvt0VRRMA</t>
  </si>
  <si>
    <t>1ZJ74J529082108117</t>
  </si>
  <si>
    <t>112-6993860-9625057</t>
  </si>
  <si>
    <t>DYWs2m0KRRMA</t>
  </si>
  <si>
    <t>1ZH92F629078085906</t>
  </si>
  <si>
    <t>113-3528756-2540227</t>
  </si>
  <si>
    <t>D8mCFp0cRRMA</t>
  </si>
  <si>
    <t>1ZH92F629077066223</t>
  </si>
  <si>
    <t>DtdqFd0nRRMA</t>
  </si>
  <si>
    <t>1ZH92F629076281028</t>
  </si>
  <si>
    <t>113-9520630-2481008</t>
  </si>
  <si>
    <t>DHvDv00hRRMA</t>
  </si>
  <si>
    <t>1ZJ74J529083250461</t>
  </si>
  <si>
    <t>112-9976090-3373829</t>
  </si>
  <si>
    <t>DrK52Q07RRMA</t>
  </si>
  <si>
    <t>1ZH92F629078852792</t>
  </si>
  <si>
    <t>111-2360741-0133039</t>
  </si>
  <si>
    <t>D4HVDZ0cRRMA</t>
  </si>
  <si>
    <t>1ZH92F629074998937</t>
  </si>
  <si>
    <t>112-7095901-4663466</t>
  </si>
  <si>
    <t>DQqSV40mRRMA</t>
  </si>
  <si>
    <t>1ZJ74J529078930352</t>
  </si>
  <si>
    <t>114-6788154-7461066</t>
  </si>
  <si>
    <t>DBj4Fz0gRRMA</t>
  </si>
  <si>
    <t>1ZH92F629077041857</t>
  </si>
  <si>
    <t>111-6578397-8471436</t>
  </si>
  <si>
    <t>DhjnyV0HRRMA</t>
  </si>
  <si>
    <t>1ZH92F629072779061</t>
  </si>
  <si>
    <t>OxGord 18 inch Wheel Skins Compatible with 2016-2024 Chevy Camaro LT - Impostor Wheel Covers for Alloy Rims, Gloss Black - Auto Tire Replacement Cap Cover</t>
  </si>
  <si>
    <t>113-6953179-1550600</t>
  </si>
  <si>
    <t>D7Nmw20KRRMA</t>
  </si>
  <si>
    <t>1ZH92F629071495468</t>
  </si>
  <si>
    <t>112-3846105-6133063</t>
  </si>
  <si>
    <t>D7Ck2W0LRRMA</t>
  </si>
  <si>
    <t>1ZH92F629077775109</t>
  </si>
  <si>
    <t>113-9569439-8109020</t>
  </si>
  <si>
    <t>DTQSyN0KRRMA</t>
  </si>
  <si>
    <t>1ZH92F629072361038</t>
  </si>
  <si>
    <t>111-5965810-9783437</t>
  </si>
  <si>
    <t>DKmJVF0YRRMA</t>
  </si>
  <si>
    <t>1ZJ74J529080079699</t>
  </si>
  <si>
    <t>B0BTSFVPL5</t>
  </si>
  <si>
    <t>AL-KS-WCHC-44733TBAA23-16GBK</t>
  </si>
  <si>
    <t>OxGord 16 inch Hubcap Wheel Skins for 2019-2021 Honda Civic (Set of 4) Impostor Wheel Covers for 16 inch Gloss Black ABS Wheels- Auto Tire Replacement Exterior Cap Cover</t>
  </si>
  <si>
    <t>112-5437677-0217016</t>
  </si>
  <si>
    <t>DpgJvg0FRRMA</t>
  </si>
  <si>
    <t>1ZJ74J529082775914</t>
  </si>
  <si>
    <t>114-1861458-7268249</t>
  </si>
  <si>
    <t>DYWf2n0sRRMA</t>
  </si>
  <si>
    <t>1ZH92F629078064750</t>
  </si>
  <si>
    <t>113-1661417-5649007</t>
  </si>
  <si>
    <t>DYJBFv0CRRMA</t>
  </si>
  <si>
    <t>1ZH92F629076238058</t>
  </si>
  <si>
    <t>B0BWFQWNPY</t>
  </si>
  <si>
    <t>AL-KS-FRGC-GMSI-1920-163</t>
  </si>
  <si>
    <t>Fuel Rider Grille Inserts Overlay Trim for Front Grille Compatible with 2019-2022 GMC Sierra 1500 - Chrome ABS Snap On 3 Mesh Inserts, witho Camera- Car Truck Accessories</t>
  </si>
  <si>
    <t>113-8092220-3197864</t>
  </si>
  <si>
    <t>Dfbr2s0ZRRMA</t>
  </si>
  <si>
    <t>1ZH92F629078170788</t>
  </si>
  <si>
    <t>112-6169591-5545015</t>
  </si>
  <si>
    <t>Dt352G0jRRMA</t>
  </si>
  <si>
    <t>1ZH92F629078593830</t>
  </si>
  <si>
    <t>114-3141828-2464247</t>
  </si>
  <si>
    <t>DkhnYb0qRRMA</t>
  </si>
  <si>
    <t>1ZH92F629073653499</t>
  </si>
  <si>
    <t>B0C9R7JJQW</t>
  </si>
  <si>
    <t>AL-KS-FRHC-0711CHHH-16SL5S</t>
  </si>
  <si>
    <t>Fuel Rider 16 inch Hubcap Wheel Covers Compatible with 2007-2011 Chevrolet HHR, Wheelcovers for Standard Steel Wheels - Silver, Auto Cover Replacement</t>
  </si>
  <si>
    <t>111-4264762-1978669</t>
  </si>
  <si>
    <t>DvS42d0xRRMA</t>
  </si>
  <si>
    <t>1ZH92F629078768302</t>
  </si>
  <si>
    <t>114-8882589-6128202</t>
  </si>
  <si>
    <t>Dj84Yw0NRRMA</t>
  </si>
  <si>
    <t>1ZH92F629074011251</t>
  </si>
  <si>
    <t>111-3019900-4917002</t>
  </si>
  <si>
    <t>D5ykB806RRMA</t>
  </si>
  <si>
    <t>1ZH92F629069965133</t>
  </si>
  <si>
    <t>113-8911682-1918632</t>
  </si>
  <si>
    <t>D70DB707RRMA</t>
  </si>
  <si>
    <t>1ZH92F629069177520</t>
  </si>
  <si>
    <t>B0CSY3XQ4X</t>
  </si>
  <si>
    <t>AL-KS-FRMC-FOEX1619CH-HTR</t>
  </si>
  <si>
    <t>Fuel Rider Chrome ABS Half Top Replacement w/or w/o Turn Signal Pair of Two Mirror Covers Compatible with Ford Explorer 2016 to 2019 Trim Level/s Left - Driver Side and Right Passenger Side</t>
  </si>
  <si>
    <t>111-0325938-4236238</t>
  </si>
  <si>
    <t>DsHYFx0cRRMA</t>
  </si>
  <si>
    <t>1ZH92F629076517176</t>
  </si>
  <si>
    <t>B0CZ5HYKLD</t>
  </si>
  <si>
    <t>AL-KS-FRWS-6LN07S4AAB-17SS-8L5HH</t>
  </si>
  <si>
    <t>Fuel Rider Set of 4 Polished Stainless Steel Wheel Simulators Compatible with 03-03 Ram 3500 8 Lug, 5 Hand Holes, Full Set Wheel Covers</t>
  </si>
  <si>
    <t>114-1388107-2367402</t>
  </si>
  <si>
    <t>DkVDrK04RRMA</t>
  </si>
  <si>
    <t>1ZJ74J529091378934</t>
  </si>
  <si>
    <t>B00D38PFBA</t>
  </si>
  <si>
    <t>AL-KS-FMCP01A-CC</t>
  </si>
  <si>
    <t>OxGord 4 Piece Luxe Carpet-Floor-Mats Set for Car - Rubber-Lined All-Weather Heavy-Duty Protection for All Vehicles, Charcoal</t>
  </si>
  <si>
    <t>114-0436856-7002627</t>
  </si>
  <si>
    <t>DYxpr50yRRMA</t>
  </si>
  <si>
    <t>1ZJ74J529090637807</t>
  </si>
  <si>
    <t>111-4704438-0425816</t>
  </si>
  <si>
    <t>DtpMr40HRRMA</t>
  </si>
  <si>
    <t>1ZJ74J529090569926</t>
  </si>
  <si>
    <t>113-7643199-1088253</t>
  </si>
  <si>
    <t>B00JK325V0</t>
  </si>
  <si>
    <t>AL-EB-BOOST-04-25</t>
  </si>
  <si>
    <t>OxGord CABC-04-25 4 Gauge 25 Feet Jumper Cable</t>
  </si>
  <si>
    <t>113-2701121-7836220</t>
  </si>
  <si>
    <t>DpfCrv0FRRMA</t>
  </si>
  <si>
    <t>1ZJ74J529090874220</t>
  </si>
  <si>
    <t>B014EG81CO</t>
  </si>
  <si>
    <t>AL-KS-WCHC-61137-16SL</t>
  </si>
  <si>
    <t>OxGord 16 inch Hubcaps Best for 07-11 Toyota Camry - (Set of 4) Wheel Covers 16in Hub Caps Silver Rim Cover - Car Accessories for 16 inch Wheels - Snap On Hubcap, Auto Tire Replacement Exterior Cap</t>
  </si>
  <si>
    <t>113-0121331-8718671</t>
  </si>
  <si>
    <t>DKSx7b01RRMA</t>
  </si>
  <si>
    <t>1ZJ74J529090364941</t>
  </si>
  <si>
    <t>112-1063926-1670647</t>
  </si>
  <si>
    <t>DvWbQk0lRRMA</t>
  </si>
  <si>
    <t>1ZJ74J529085326733</t>
  </si>
  <si>
    <t>111-7938948-1674649</t>
  </si>
  <si>
    <t>DWWd1Q0yRRMA</t>
  </si>
  <si>
    <t>1ZJ74J529092583004</t>
  </si>
  <si>
    <t>113-6321519-0765068</t>
  </si>
  <si>
    <t>DvZFrQ0PRRMA</t>
  </si>
  <si>
    <t>1ZJ74J529091307573</t>
  </si>
  <si>
    <t>113-2668261-4711410</t>
  </si>
  <si>
    <t>D5lr7Y0VRRMA</t>
  </si>
  <si>
    <t>1ZJ74J529089414158</t>
  </si>
  <si>
    <t>112-9585936-7781822</t>
  </si>
  <si>
    <t>DLR4sC0MRRMA</t>
  </si>
  <si>
    <t>1ZJ74J529086194964</t>
  </si>
  <si>
    <t>114-0475902-4929828</t>
  </si>
  <si>
    <t>DsNY1n0HRRMA</t>
  </si>
  <si>
    <t>1ZJ74J529093150578</t>
  </si>
  <si>
    <t>FILED</t>
  </si>
  <si>
    <t>111-1472931-0919403</t>
  </si>
  <si>
    <t>DYHpLL00RRMA</t>
  </si>
  <si>
    <t>1ZJ74J529088084114</t>
  </si>
  <si>
    <t>111-7362615-9853819</t>
  </si>
  <si>
    <t>DsHLQV0bRRMA</t>
  </si>
  <si>
    <t>1ZJ74J529085089419</t>
  </si>
  <si>
    <t>112-9923436-6257040</t>
  </si>
  <si>
    <t>D49DsX0HRRMA</t>
  </si>
  <si>
    <t>1ZJ74J529086790560</t>
  </si>
  <si>
    <t>B014I3333A</t>
  </si>
  <si>
    <t>AL-TNY-WCHC-923-16SL</t>
  </si>
  <si>
    <t>16 inch Hubcaps Best for Ford Cargo Van &amp; Truck - Set of 4 Wheel Covers 16in Hub Caps All Silver Rim Cover - Car Accessories for 16 inch Wheels - Snap On Hubcap Auto Tire Replacement Exterior Cap</t>
  </si>
  <si>
    <t>113-3198052-0611441</t>
  </si>
  <si>
    <t>DhcM1R0TRRMA</t>
  </si>
  <si>
    <t>1ZJ74J529092400844</t>
  </si>
  <si>
    <t>113-9204543-9557859</t>
  </si>
  <si>
    <t>Dp671k0XRRMA</t>
  </si>
  <si>
    <t>1ZJ74J529092519673</t>
  </si>
  <si>
    <t>B014IBFBUA</t>
  </si>
  <si>
    <t>AL-KS-WCHC-57563-15SL</t>
  </si>
  <si>
    <t>15 inch Hubcaps Best for 1993-2003 Mitsubishi Galant - (Set of 4) Wheel Covers 15in Hub Caps Silver Rim Cover - Car Accessories for 15 inch Wheels - Snap On Hubcap, Auto Tire Replacement Exterior Cap</t>
  </si>
  <si>
    <t>111-5502496-3422623</t>
  </si>
  <si>
    <t>DLK2sm0WRRMA</t>
  </si>
  <si>
    <t>1ZJ74J529087625853</t>
  </si>
  <si>
    <t>112-2917474-7921868</t>
  </si>
  <si>
    <t>D86f1M04RRMA</t>
  </si>
  <si>
    <t>1ZJ74J529092499758</t>
  </si>
  <si>
    <t>111-1930913-7393053</t>
  </si>
  <si>
    <t>DpNv130kRRMA</t>
  </si>
  <si>
    <t>1ZJ74J529093150550</t>
  </si>
  <si>
    <t>114-7736220-4857829</t>
  </si>
  <si>
    <t>DrgJsj0rRRMA</t>
  </si>
  <si>
    <t>1ZJ74J529087110284</t>
  </si>
  <si>
    <t>114-0020784-1477034</t>
  </si>
  <si>
    <t>DWWk1y0fRRMA</t>
  </si>
  <si>
    <t>1ZJ74J529092604188</t>
  </si>
  <si>
    <t>114-7579840-5832205</t>
  </si>
  <si>
    <t>DrhwLk0vRRMA</t>
  </si>
  <si>
    <t>113-8283864-2449031</t>
  </si>
  <si>
    <t>DkLk1R05RRMA</t>
  </si>
  <si>
    <t>1ZJ74J529092229058</t>
  </si>
  <si>
    <t>112-0334781-0228279</t>
  </si>
  <si>
    <t>DWK7s708RRMA</t>
  </si>
  <si>
    <t>1ZJ74J529087628467</t>
  </si>
  <si>
    <t>111-9518202-4286627</t>
  </si>
  <si>
    <t>DxD6Qw0VRRMA</t>
  </si>
  <si>
    <t>1ZJ74J529085612898</t>
  </si>
  <si>
    <t>113-0354219-8490633</t>
  </si>
  <si>
    <t>D4QmLV0MRRMA</t>
  </si>
  <si>
    <t>1ZJ74J529088212672</t>
  </si>
  <si>
    <t>114-5034207-4824261</t>
  </si>
  <si>
    <t>DpXQ1L0yRRMA</t>
  </si>
  <si>
    <t>1ZJ74J529093259701</t>
  </si>
  <si>
    <t>114-1184665-3225039</t>
  </si>
  <si>
    <t>DWDr7V02RRMA</t>
  </si>
  <si>
    <t>1ZJ74J529089994559</t>
  </si>
  <si>
    <t>111-6751387-8574649</t>
  </si>
  <si>
    <t>D7m6sz0hRRMA</t>
  </si>
  <si>
    <t>9302010949890142892352</t>
  </si>
  <si>
    <t>114-8572540-7395425</t>
  </si>
  <si>
    <t>DkKprq0QRRMA</t>
  </si>
  <si>
    <t>1ZJ74J529091932745</t>
  </si>
  <si>
    <t>B01C3I4ER6</t>
  </si>
  <si>
    <t>AL-KS-WCHC-56554-16SL</t>
  </si>
  <si>
    <t>16 inch Hubcaps Best for 2009-2012 Mazda M - (Set of 4) Wheel Covers 16in Hub Caps Silver Rim Cover - Car Accessories for 16 inch Wheels - Snap On Hubcap, Auto Tire Replacement Exterior Cap</t>
  </si>
  <si>
    <t>114-6473107-9377018</t>
  </si>
  <si>
    <t>DtM77S0QRRMA</t>
  </si>
  <si>
    <t>1ZJ74J529089881715</t>
  </si>
  <si>
    <t>113-5487861-1610617</t>
  </si>
  <si>
    <t>Dvzr7R0PRRMA</t>
  </si>
  <si>
    <t>1ZJ74J529089532477</t>
  </si>
  <si>
    <t>111-3107134-1965057</t>
  </si>
  <si>
    <t>DvRmLR0lRRMA</t>
  </si>
  <si>
    <t>1ZJ74J529087763605</t>
  </si>
  <si>
    <t>113-1259533-4891415</t>
  </si>
  <si>
    <t>DB3Lsc0xRRMA</t>
  </si>
  <si>
    <t>1ZJ74J529087357081</t>
  </si>
  <si>
    <t>114-5452620-7703403</t>
  </si>
  <si>
    <t>D8V5sZ05RRMA</t>
  </si>
  <si>
    <t>1ZJ74J529086995269</t>
  </si>
  <si>
    <t>113-1660336-3719429</t>
  </si>
  <si>
    <t>D5Jjrd0dRRMA</t>
  </si>
  <si>
    <t>1ZJ74J529090678148</t>
  </si>
  <si>
    <t>112-0631612-2384226</t>
  </si>
  <si>
    <t>DBBd1k0wRRMA</t>
  </si>
  <si>
    <t>1ZJ74J529092795606</t>
  </si>
  <si>
    <t>114-4674379-9850628</t>
  </si>
  <si>
    <t>DpthMP0mRRMA</t>
  </si>
  <si>
    <t>1ZJ74J529094178592</t>
  </si>
  <si>
    <t>VALID_DIFFERENT_ITEM_RECEIVED_MAKE_MODEL_BRAND_TYPE</t>
  </si>
  <si>
    <t>35760-75294-1684029</t>
  </si>
  <si>
    <t>GRANT</t>
  </si>
  <si>
    <t>111-5301494-0680260</t>
  </si>
  <si>
    <t>D2Xm750bRRMA</t>
  </si>
  <si>
    <t>1ZJ74J529090414646</t>
  </si>
  <si>
    <t>111-2864229-3037851</t>
  </si>
  <si>
    <t>DTFVsj0MRRMA</t>
  </si>
  <si>
    <t>1ZJ74J529087387941</t>
  </si>
  <si>
    <t>112-1780852-4453810</t>
  </si>
  <si>
    <t>DhHJs50sRRMA</t>
  </si>
  <si>
    <t>1ZJ74J529086588584</t>
  </si>
  <si>
    <t>111-0291658-8305064</t>
  </si>
  <si>
    <t>Dfp5110fRRMA</t>
  </si>
  <si>
    <t>1ZJ74J529092037701</t>
  </si>
  <si>
    <t>114-4190016-9323422</t>
  </si>
  <si>
    <t>DspV1m0gRRMA</t>
  </si>
  <si>
    <t>1ZJ74J529092035785</t>
  </si>
  <si>
    <t>112-8778315-0481013</t>
  </si>
  <si>
    <t>DtyCLt05RRMA</t>
  </si>
  <si>
    <t>1ZJ74J529088773343</t>
  </si>
  <si>
    <t>113-7491439-6457808</t>
  </si>
  <si>
    <t>DFbY1g03RRMA</t>
  </si>
  <si>
    <t>1ZJ74J529092669207</t>
  </si>
  <si>
    <t>114-3211869-0314613</t>
  </si>
  <si>
    <t>DBSMrv0MRRMA</t>
  </si>
  <si>
    <t>1ZJ74J529091867852</t>
  </si>
  <si>
    <t>112-1867142-4563418</t>
  </si>
  <si>
    <t>DQmdrS0kRRMA</t>
  </si>
  <si>
    <t>1ZJ74J529091658597</t>
  </si>
  <si>
    <t>114-9884808-2447458</t>
  </si>
  <si>
    <t>D8ZTrp0RRRMA</t>
  </si>
  <si>
    <t>1ZJ74J529091291607</t>
  </si>
  <si>
    <t>113-3134470-8293032</t>
  </si>
  <si>
    <t>DfKG7208RRMA</t>
  </si>
  <si>
    <t>1ZJ74J529090471683</t>
  </si>
  <si>
    <t>112-6881053-5002649</t>
  </si>
  <si>
    <t>DkRK7N0sRRMA</t>
  </si>
  <si>
    <t>1ZJ74J529089087735</t>
  </si>
  <si>
    <t>114-7848607-3032225</t>
  </si>
  <si>
    <t>D8467Z0DRRMA</t>
  </si>
  <si>
    <t>1ZJ74J529090260393</t>
  </si>
  <si>
    <t>112-7668648-9037866</t>
  </si>
  <si>
    <t>DW5qQm0ZRRMA</t>
  </si>
  <si>
    <t>1ZJ74J529085945672</t>
  </si>
  <si>
    <t>114-4461255-4258605</t>
  </si>
  <si>
    <t>DthrQB0bRRMA</t>
  </si>
  <si>
    <t>1ZJ74J529085193592</t>
  </si>
  <si>
    <t>113-8363562-1989848</t>
  </si>
  <si>
    <t>D4Yrr30PRRMA</t>
  </si>
  <si>
    <t>1ZJ74J529090946090</t>
  </si>
  <si>
    <t>B07B5QXDSY</t>
  </si>
  <si>
    <t>AL-KS-WCWS-70804-18CH</t>
  </si>
  <si>
    <t>OxGord Set of 4 18 inch Chrome ABS Wheel Skins Impostors Wheel Covers Compatible with 2011-2013 Hyundai Sonata Wheels- Auto Tire Replacement Cap Cover</t>
  </si>
  <si>
    <t>112-2796306-3405860</t>
  </si>
  <si>
    <t>DtzB7507RRMA</t>
  </si>
  <si>
    <t>1ZJ74J529089525912</t>
  </si>
  <si>
    <t>113-3743801-6017836</t>
  </si>
  <si>
    <t>D8Bxr70yRRMA</t>
  </si>
  <si>
    <t>1ZJ74J529091466964</t>
  </si>
  <si>
    <t>114-6181203-6205855</t>
  </si>
  <si>
    <t>DLkML305RRMA</t>
  </si>
  <si>
    <t>1ZJ74J529088696490</t>
  </si>
  <si>
    <t>114-5653096-7003419</t>
  </si>
  <si>
    <t>D27dr70fRRMA</t>
  </si>
  <si>
    <t>1ZJ74J529091602502</t>
  </si>
  <si>
    <t>111-8111208-3486649</t>
  </si>
  <si>
    <t>D82q7b0HRRMA</t>
  </si>
  <si>
    <t>1ZJ74J529089842990</t>
  </si>
  <si>
    <t>111-3164534-2610626</t>
  </si>
  <si>
    <t>Dkn37z0wRRMA</t>
  </si>
  <si>
    <t>1ZJ74J529089027737</t>
  </si>
  <si>
    <t>111-9605134-1246647</t>
  </si>
  <si>
    <t>DrGnLQ0cRRMA</t>
  </si>
  <si>
    <t>1ZJ74J529087909501</t>
  </si>
  <si>
    <t>111-8668999-5027468</t>
  </si>
  <si>
    <t>D263Qk0kRRMA</t>
  </si>
  <si>
    <t>1ZJ74J529085226967</t>
  </si>
  <si>
    <t>112-0768281-0421055</t>
  </si>
  <si>
    <t>DZCprH0CRRMA</t>
  </si>
  <si>
    <t>113-6761843-9218636</t>
  </si>
  <si>
    <t>Dv6RQk0RRRMA</t>
  </si>
  <si>
    <t>113-0278665-7154616</t>
  </si>
  <si>
    <t>DFTKQM0VRRMA</t>
  </si>
  <si>
    <t>1ZJ74J529085147981</t>
  </si>
  <si>
    <t>114-8408939-7148237</t>
  </si>
  <si>
    <t>D53psV0VRRMA</t>
  </si>
  <si>
    <t>1ZJ74J529087351729</t>
  </si>
  <si>
    <t>113-9007304-7949015</t>
  </si>
  <si>
    <t>DBW9r00QRRMA</t>
  </si>
  <si>
    <t>1ZJ74J529091243883</t>
  </si>
  <si>
    <t>not filed</t>
  </si>
  <si>
    <t>112-3944391-9700219</t>
  </si>
  <si>
    <t>Dh0csS0QRRMA</t>
  </si>
  <si>
    <t>1ZJ74J529086431420</t>
  </si>
  <si>
    <t>114-7563778-0965854</t>
  </si>
  <si>
    <t>DhzTsn0qRRMA</t>
  </si>
  <si>
    <t>1ZJ74J529086695520</t>
  </si>
  <si>
    <t>112-2496786-9619458</t>
  </si>
  <si>
    <t>DrBdQJ0PRRMA</t>
  </si>
  <si>
    <t>1ZJ74J529085535534</t>
  </si>
  <si>
    <t>112-4136779-3343423</t>
  </si>
  <si>
    <t>D2vW7x0mRRMA</t>
  </si>
  <si>
    <t>1ZJ74J529090404951</t>
  </si>
  <si>
    <t>112-0992864-5929004</t>
  </si>
  <si>
    <t>DY527c0mRRMA</t>
  </si>
  <si>
    <t>1ZJ74J529090342714</t>
  </si>
  <si>
    <t>113-6105818-4019402</t>
  </si>
  <si>
    <t>DKXvsK0FRRMA</t>
  </si>
  <si>
    <t>1ZJ74J529087583121</t>
  </si>
  <si>
    <t>111-7977206-7417025</t>
  </si>
  <si>
    <t>DQk9QC05RRMA</t>
  </si>
  <si>
    <t>1ZJ74J529085771243</t>
  </si>
  <si>
    <t>111-2128340-3996252</t>
  </si>
  <si>
    <t>DZmH1t0wRRMA</t>
  </si>
  <si>
    <t>1ZJ74J529092987720</t>
  </si>
  <si>
    <t>113-1584000-4998663</t>
  </si>
  <si>
    <t>Dhz7Q60XRRMA</t>
  </si>
  <si>
    <t>1ZJ74J529085192799</t>
  </si>
  <si>
    <t>B0BP9S545C</t>
  </si>
  <si>
    <t>AL-KS-WCWS-5659-17CH</t>
  </si>
  <si>
    <t>OxGord 17 inch Wheel Skins for 2014-2018 Chevy Silverado 1500 (Set of 4) Impostor Wheel Covers for 17 inch Chrome ABS Wheels- Auto Tire Replacement Exterior Cap Cover</t>
  </si>
  <si>
    <t>112-2060776-7343464</t>
  </si>
  <si>
    <t>Dkbfrp0cRRMA</t>
  </si>
  <si>
    <t>1ZJ74J529091328201</t>
  </si>
  <si>
    <t>113-9602955-2605830</t>
  </si>
  <si>
    <t>Dpp3r80XRRMA</t>
  </si>
  <si>
    <t>1ZJ74J529090592874</t>
  </si>
  <si>
    <t>113-1289544-2456236</t>
  </si>
  <si>
    <t>D7DXQ10wRRMA</t>
  </si>
  <si>
    <t>1ZJ74J529085610452</t>
  </si>
  <si>
    <t>111-4710336-3784226</t>
  </si>
  <si>
    <t>DFDlL70gRRMA</t>
  </si>
  <si>
    <t>1ZJ74J529088561198</t>
  </si>
  <si>
    <t>113-7394181-7228237</t>
  </si>
  <si>
    <t>DHhhQy01RRMA</t>
  </si>
  <si>
    <t>1ZJ74J529085207273</t>
  </si>
  <si>
    <t>114-4238801-1961045</t>
  </si>
  <si>
    <t>DQTmsb07RRMA</t>
  </si>
  <si>
    <t>1ZJ74J529086647288</t>
  </si>
  <si>
    <t>113-9634050-7830603</t>
  </si>
  <si>
    <t>D4b8Qm0bRRMA</t>
  </si>
  <si>
    <t>1ZJ74J529085390388</t>
  </si>
  <si>
    <t>114-0250131-8509829</t>
  </si>
  <si>
    <t>D89R7n0MRRMA</t>
  </si>
  <si>
    <t>1ZJ74J529089644187</t>
  </si>
  <si>
    <t>112-8489075-4982657</t>
  </si>
  <si>
    <t>D2tKrd0TRRMA</t>
  </si>
  <si>
    <t>Fuel Rider Grille Inserts Overlay Trim for Front Grille Compatible with 2019-2021 Chevy Silverado - Chrome ABS Snap On 6 Slotted Bar, with Logo Cutout- Car Truck Accessories</t>
  </si>
  <si>
    <t>112-2144287-9895450</t>
  </si>
  <si>
    <t>113-8562334-7017864</t>
  </si>
  <si>
    <t>D4txQp04RRMA</t>
  </si>
  <si>
    <t>1ZJ74J529085417993</t>
  </si>
  <si>
    <t>B0CHKNVYB3</t>
  </si>
  <si>
    <t>AL-KS-FRWS-5912-18GB-5SS</t>
  </si>
  <si>
    <t>Fuel Rider Set of Four (4) 18 inches Gloss Black ABS Wheel Skins Impostors Wheel Covers Compatible with 2019-2022 Chevrolet Silverado Wheels- Auto Tire Replacement Cap Cover</t>
  </si>
  <si>
    <t>111-0185435-4969079</t>
  </si>
  <si>
    <t>Dj24rN0hRRMA</t>
  </si>
  <si>
    <t>1ZJ74J529091430028</t>
  </si>
  <si>
    <t>Fuel Rider 15 inch Gloss Black Universal Hubcap Wheel Covers for Standard Steel Wheels w/10 Split Spoke - Auto Tire Replacement Exterior Cap Cover</t>
  </si>
  <si>
    <t>114-4857066-1536253</t>
  </si>
  <si>
    <t>DWYHrM0cRRMA</t>
  </si>
  <si>
    <t>1ZJ74J529090937537</t>
  </si>
  <si>
    <t>112-7802920-0132268</t>
  </si>
  <si>
    <t>DB957G0WRRMA</t>
  </si>
  <si>
    <t>1ZJ74J529089653328</t>
  </si>
  <si>
    <t>113-6770083-4585826</t>
  </si>
  <si>
    <t>DqwQQQ0zRRMA</t>
  </si>
  <si>
    <t>1ZJ74J529085341994</t>
  </si>
  <si>
    <t>113-9708623-1571458</t>
  </si>
  <si>
    <t>DLyYLc0XRRMA</t>
  </si>
  <si>
    <t>1ZJ74J529088770873</t>
  </si>
  <si>
    <t>B0CTRZQTLK</t>
  </si>
  <si>
    <t>AL-KS-KS-STCUN-16</t>
  </si>
  <si>
    <t>Snow Winter Tire Security Chain Winter Traction Device for Wheels - 1 Pair for Front Wheels (16 Inch)</t>
  </si>
  <si>
    <t>113-0075862-9077042</t>
  </si>
  <si>
    <t>Dj3N1J07RRMA</t>
  </si>
  <si>
    <t>1ZJ74J529093051194</t>
  </si>
  <si>
    <t>B0CZ3JX2YV</t>
  </si>
  <si>
    <t>AL-KS-FRWS-1688-16CHPL</t>
  </si>
  <si>
    <t>Fuel Rider Set of 4 Universal Chrome ABS 16 inch Wheel Simulators with Metal Clip &amp; Ring Retention Truck Van RV Motorhome Wheel Covers</t>
  </si>
  <si>
    <t>114-4954763-5772219</t>
  </si>
  <si>
    <t>D7rfrB0GRRMA</t>
  </si>
  <si>
    <t>1ZJ74J529090708070</t>
  </si>
  <si>
    <t>111-5558077-0390613</t>
  </si>
  <si>
    <t>DBsxTG0MRRMA</t>
  </si>
  <si>
    <t>1ZJ74J529010812008</t>
  </si>
  <si>
    <t>111-8073688-1044230</t>
  </si>
  <si>
    <t>DjqbTK0tRRMA</t>
  </si>
  <si>
    <t>1ZJ74J529010603967</t>
  </si>
  <si>
    <t>112-7312093-8683425</t>
  </si>
  <si>
    <t>Dj5rJH00RRMA</t>
  </si>
  <si>
    <t>1ZJ74J529096125340</t>
  </si>
  <si>
    <t>111-3375328-2166638</t>
  </si>
  <si>
    <t>D7khJv0JRRMA</t>
  </si>
  <si>
    <t>1ZJ74J529095969762</t>
  </si>
  <si>
    <t>113-8143569-1017819</t>
  </si>
  <si>
    <t>111-7176891-3570600</t>
  </si>
  <si>
    <t>DT0bxg0bRRMA</t>
  </si>
  <si>
    <t>1ZJ74J529098044791</t>
  </si>
  <si>
    <t>B00THR39SC</t>
  </si>
  <si>
    <t>AL-EB-FFOE-101</t>
  </si>
  <si>
    <t>Fender Flares for 99-06 Chevy Silverado, Sierra (Pack of 4) OE Style Wheel Fenders Flare Truck Accessories Best for Chevrolet GM GMC Pick-up Trucks Re-Paintable Trim Guards</t>
  </si>
  <si>
    <t>112-8953276-9888249</t>
  </si>
  <si>
    <t>D7bv3Q0fRRMA</t>
  </si>
  <si>
    <t>1ZJ74J529097021852</t>
  </si>
  <si>
    <t>B014EJC35W</t>
  </si>
  <si>
    <t>AL-KS-WCHC-61136-15SL</t>
  </si>
  <si>
    <t>15 inch Hubcaps Compatible with 2004-2006 Toyota Camry - Set of 4 Wheel Cover Hub Cap Rim Covers - Snap On, Silver</t>
  </si>
  <si>
    <t>111-3170795-2526634</t>
  </si>
  <si>
    <t>DTLSTD0mRRMA</t>
  </si>
  <si>
    <t>1ZJ74J529010871043</t>
  </si>
  <si>
    <t>114-4747961-7678611</t>
  </si>
  <si>
    <t>DkXwJh0fRRMA</t>
  </si>
  <si>
    <t>1ZJ74J529096210104</t>
  </si>
  <si>
    <t>111-2781527-7500255</t>
  </si>
  <si>
    <t>DhSGJN0mRRMA</t>
  </si>
  <si>
    <t>1ZJ74J529096152052</t>
  </si>
  <si>
    <t>114-0687686-7540242</t>
  </si>
  <si>
    <t>Dtsdnv0gRRMA</t>
  </si>
  <si>
    <t>1ZJ74J529099508770</t>
  </si>
  <si>
    <t>112-8963093-5525861</t>
  </si>
  <si>
    <t>DHNS3k06RRMA</t>
  </si>
  <si>
    <t>1ZJ74J529097526512</t>
  </si>
  <si>
    <t>113-3148715-2011440</t>
  </si>
  <si>
    <t>DfDsT101RRMA</t>
  </si>
  <si>
    <t>1ZJ74J529011570901</t>
  </si>
  <si>
    <t>111-0138900-9693052</t>
  </si>
  <si>
    <t>DrtMJ501RRMA</t>
  </si>
  <si>
    <t>1ZJ74J529095693792</t>
  </si>
  <si>
    <t>113-7164551-3409822</t>
  </si>
  <si>
    <t>DrQRxY0jRRMA</t>
  </si>
  <si>
    <t>1ZJ74J529098405356</t>
  </si>
  <si>
    <t>112-8644769-8264249</t>
  </si>
  <si>
    <t>DfxM3j0KRRMA</t>
  </si>
  <si>
    <t>1ZJ74J529096386827</t>
  </si>
  <si>
    <t>114-2686973-2917813</t>
  </si>
  <si>
    <t>DxQ3xb04RRMA</t>
  </si>
  <si>
    <t>1ZJ74J529098381006</t>
  </si>
  <si>
    <t>111-1876342-9961040</t>
  </si>
  <si>
    <t>DkXQ3Z0nRRMA</t>
  </si>
  <si>
    <t>1ZJ74J529097643412</t>
  </si>
  <si>
    <t>B015GJ2T6C</t>
  </si>
  <si>
    <t>AL-KS-WCHC-61111-14SL</t>
  </si>
  <si>
    <t>14 inch Hubcaps Best for 2000-2002 Toyota Corolla - (Set of 4) Wheel Covers 14in Hub Caps Silver Rim Cover - Car Accessories for 14 inch Wheels - Snap On Hubcap, Auto Tire Replacement Exterior Cap</t>
  </si>
  <si>
    <t>114-7654692-5678615</t>
  </si>
  <si>
    <t>D4MZMJ0lRRMA</t>
  </si>
  <si>
    <t>1ZJ74J529094273194</t>
  </si>
  <si>
    <t>112-7149139-4778633</t>
  </si>
  <si>
    <t>Dvb9Mm0mRRMA</t>
  </si>
  <si>
    <t>1ZJ74J529094148418</t>
  </si>
  <si>
    <t>113-6362773-2709064</t>
  </si>
  <si>
    <t>D5YNxm0vRRMA</t>
  </si>
  <si>
    <t>1ZJ74J529098145726</t>
  </si>
  <si>
    <t>B015RXITXO</t>
  </si>
  <si>
    <t>AL-KS-WCHC-3285-15CH</t>
  </si>
  <si>
    <t>Hub-caps for 05-10 Chevrolet Cobalt (Pack of 4) Wheel Covers 15 inch Bolt-On Chrome</t>
  </si>
  <si>
    <t>112-7830555-5240211</t>
  </si>
  <si>
    <t>B0176XJ67G</t>
  </si>
  <si>
    <t>AL-EB-ABTY-TNDR-0713</t>
  </si>
  <si>
    <t>OxGord Antenna Ornament for 07-13 Toyota Tundra - Replaces 86392-0C040 Manual Radio Mounted Base Bezel</t>
  </si>
  <si>
    <t>112-2648621-1923451</t>
  </si>
  <si>
    <t>DBlFJx03RRMA</t>
  </si>
  <si>
    <t>114-7169657-9535468</t>
  </si>
  <si>
    <t>DxDTnl0MRRMA</t>
  </si>
  <si>
    <t>1ZJ74J529010144114</t>
  </si>
  <si>
    <t>customer</t>
  </si>
  <si>
    <t>113-3164677-7210602</t>
  </si>
  <si>
    <t>DBjjxF0JRRMA</t>
  </si>
  <si>
    <t>1ZJ74J529098878195</t>
  </si>
  <si>
    <t>DpR7xQ0qRRMA</t>
  </si>
  <si>
    <t>1ZJ74J529097832084</t>
  </si>
  <si>
    <t>112-2351779-5016213</t>
  </si>
  <si>
    <t>DQww3q0fRRMA</t>
  </si>
  <si>
    <t>1ZJ74J529096967888</t>
  </si>
  <si>
    <t>DhJPJQ06RRMA</t>
  </si>
  <si>
    <t>1ZJ74J529095065934</t>
  </si>
  <si>
    <t>112-4905892-1930639</t>
  </si>
  <si>
    <t>Dk0RTZ0yRRMA</t>
  </si>
  <si>
    <t>1ZJ74J529010889007</t>
  </si>
  <si>
    <t>111-9781728-4446636</t>
  </si>
  <si>
    <t>DrTJnG0QRRMA</t>
  </si>
  <si>
    <t>1ZJ74J529099732492</t>
  </si>
  <si>
    <t>114-9556396-2493058</t>
  </si>
  <si>
    <t>DFnVnr0dRRMA</t>
  </si>
  <si>
    <t>1ZJ74J529099312230</t>
  </si>
  <si>
    <t>113-1977018-5026628</t>
  </si>
  <si>
    <t>Dj65MQ0tRRMA</t>
  </si>
  <si>
    <t>1ZJ74J529093965331</t>
  </si>
  <si>
    <t>114-0089753-6610621</t>
  </si>
  <si>
    <t>DhzFx70dRRMA</t>
  </si>
  <si>
    <t>1ZJ74J529098303395</t>
  </si>
  <si>
    <t>111-4617281-6076246</t>
  </si>
  <si>
    <t>D8jg3g0nRRMA</t>
  </si>
  <si>
    <t>1ZJ74J529097315553</t>
  </si>
  <si>
    <t>113-4204616-6153835</t>
  </si>
  <si>
    <t>Dj24M70YRRMA</t>
  </si>
  <si>
    <t>1ZJ74J529094225012</t>
  </si>
  <si>
    <t>D4VzMs0HRRMA</t>
  </si>
  <si>
    <t>1ZJ74J529094189446</t>
  </si>
  <si>
    <t>112-4816137-7284243</t>
  </si>
  <si>
    <t>112-0103647-5721010</t>
  </si>
  <si>
    <t>B01K0AF8HE</t>
  </si>
  <si>
    <t>AL-EB-CCLK-CHGM-001-LGY</t>
  </si>
  <si>
    <t>OxGord Center Console Organizer Lid - Repair Kit Best for 99-07 Silverado, Tahoe, Avalanche, Suburban, Sierra, Yukon, Escalade - Replaces GM OEM 19127365 Armrest Latch Cover Accessories - Light Gray</t>
  </si>
  <si>
    <t>114-1014089-2524204</t>
  </si>
  <si>
    <t>B01N1RO1U4</t>
  </si>
  <si>
    <t>AL-EB-TBGC-01</t>
  </si>
  <si>
    <t>Car Trash Can - Leak-Proof Bag, Plus Odor Blocking - Hanging Back Seat Mini Garbage Bin Holder - Closeable 100% Waterproof Waste Basket Organizer Best for Must Haves Cute Interior Car Accessories</t>
  </si>
  <si>
    <t>113-1136133-2500261</t>
  </si>
  <si>
    <t>113-2512637-3472262</t>
  </si>
  <si>
    <t>D8g1Mn04RRMA</t>
  </si>
  <si>
    <t>1ZJ74J529094314881</t>
  </si>
  <si>
    <t>111-1937100-1741006</t>
  </si>
  <si>
    <t>D8c6nC09RRMA</t>
  </si>
  <si>
    <t>1ZJ74J529099706298</t>
  </si>
  <si>
    <t>111-1413203-0105840</t>
  </si>
  <si>
    <t>DLBnJh0VRRMA</t>
  </si>
  <si>
    <t>1ZJ74J529095780947</t>
  </si>
  <si>
    <t>111-4283501-5359451</t>
  </si>
  <si>
    <t>DL35xG0VRRMA</t>
  </si>
  <si>
    <t>1ZJ74J529098963495</t>
  </si>
  <si>
    <t>114-7218596-7677013</t>
  </si>
  <si>
    <t>DpsTJ609RRMA</t>
  </si>
  <si>
    <t>1ZJ74J529095138972</t>
  </si>
  <si>
    <t>112-2744460-0870616</t>
  </si>
  <si>
    <t>Dh3rMt0WRRMA</t>
  </si>
  <si>
    <t>1ZJ74J529094579186</t>
  </si>
  <si>
    <t>112-7142184-6117804</t>
  </si>
  <si>
    <t>Dtf2Mm0JRRMA</t>
  </si>
  <si>
    <t>1ZJ74J529093693269</t>
  </si>
  <si>
    <t>114-7784860-4126643</t>
  </si>
  <si>
    <t>DBD9nK0zRRMA</t>
  </si>
  <si>
    <t>1ZJ74J529010142509</t>
  </si>
  <si>
    <t>111-8839538-6933004</t>
  </si>
  <si>
    <t>DHM73403RRMA</t>
  </si>
  <si>
    <t>1ZJ74J529097114145</t>
  </si>
  <si>
    <t>B077X8Z6WQ</t>
  </si>
  <si>
    <t>AL-KS-WCHC-61119-16SL</t>
  </si>
  <si>
    <t>Hub-caps for 03-08 Toyota Matrix (Pack of 4) Wheel Covers 16 inch Snap On Silver</t>
  </si>
  <si>
    <t>114-1056131-3472209</t>
  </si>
  <si>
    <t>DHdBnt0WRRMA</t>
  </si>
  <si>
    <t>1ZJ74J529099479927</t>
  </si>
  <si>
    <t>113-0534249-6081004</t>
  </si>
  <si>
    <t>DWkfxs0LRRMA</t>
  </si>
  <si>
    <t>1ZJ74J529098937095</t>
  </si>
  <si>
    <t>111-5416575-3942618</t>
  </si>
  <si>
    <t>DpFmJJ0fRRMA</t>
  </si>
  <si>
    <t>1ZJ74J529096031923</t>
  </si>
  <si>
    <t>114-2770338-8804259</t>
  </si>
  <si>
    <t>DHs9Tf0DRRMA</t>
  </si>
  <si>
    <t>1ZJ74J529010813025</t>
  </si>
  <si>
    <t>114-8080479-3046643</t>
  </si>
  <si>
    <t>D8w1M600RRMA</t>
  </si>
  <si>
    <t>1ZJ74J529094085138</t>
  </si>
  <si>
    <t>111-9156038-9771430</t>
  </si>
  <si>
    <t>112-2253916-7650606</t>
  </si>
  <si>
    <t>DvxKxr0MRRMA</t>
  </si>
  <si>
    <t>1ZJ74J529097845123</t>
  </si>
  <si>
    <t>111-4023037-2274623</t>
  </si>
  <si>
    <t>DLZbxG0DRRMA</t>
  </si>
  <si>
    <t>1ZJ74J529098501993</t>
  </si>
  <si>
    <t>112-9703369-4505839</t>
  </si>
  <si>
    <t>DKhDMK0gRRMA</t>
  </si>
  <si>
    <t>1ZJ74J529093946558</t>
  </si>
  <si>
    <t>112-6325916-3061006</t>
  </si>
  <si>
    <t>Df1jJt0BRRMA</t>
  </si>
  <si>
    <t>1ZJ74J529095887805</t>
  </si>
  <si>
    <t>114-0940394-3661868</t>
  </si>
  <si>
    <t>D5jtJp0lRRMA</t>
  </si>
  <si>
    <t>1ZJ74J529095929411</t>
  </si>
  <si>
    <t>B07B6C885M</t>
  </si>
  <si>
    <t>AL-KS-WCWS-69457-15CH</t>
  </si>
  <si>
    <t>OxGord 15 inch Wheel Skins for 2005-2015 Toyota Tacoma (Set of 4) Impostor Wheel Covers for 15 inch Chrome ABS Wheels- Auto Tire Replacement Exterior Cap Cover</t>
  </si>
  <si>
    <t>112-3215786-1634652</t>
  </si>
  <si>
    <t>D8PMxy05RRMA</t>
  </si>
  <si>
    <t>112-8889934-1205061</t>
  </si>
  <si>
    <t>DjDmTv0rRRMA</t>
  </si>
  <si>
    <t>1ZJ74J529011564614</t>
  </si>
  <si>
    <t>113-0705931-3393060</t>
  </si>
  <si>
    <t>DQHFJH02RRMA</t>
  </si>
  <si>
    <t>1ZJ74J529095365253</t>
  </si>
  <si>
    <t>113-9523386-1375428</t>
  </si>
  <si>
    <t>DhcfxQ0rRRMA</t>
  </si>
  <si>
    <t>1ZJ74J529098241336</t>
  </si>
  <si>
    <t>114-2320311-6115444</t>
  </si>
  <si>
    <t>DFlYxJ01RRMA</t>
  </si>
  <si>
    <t>1ZJ74J529098180330</t>
  </si>
  <si>
    <t>113-5588512-1833831</t>
  </si>
  <si>
    <t>DBwYJH0mRRMA</t>
  </si>
  <si>
    <t>1ZJ74J529095629209</t>
  </si>
  <si>
    <t>112-3046027-4838648</t>
  </si>
  <si>
    <t>DFLPxg0VRRMA</t>
  </si>
  <si>
    <t>1ZJ74J529098019416</t>
  </si>
  <si>
    <t>111-7451597-7550606</t>
  </si>
  <si>
    <t>DLz2T90gRRMA</t>
  </si>
  <si>
    <t>1ZJ74J529011125697</t>
  </si>
  <si>
    <t>113-3411878-9915439</t>
  </si>
  <si>
    <t>DFVFJh0LRRMA</t>
  </si>
  <si>
    <t>1ZJ74J529095719040</t>
  </si>
  <si>
    <t>B09YMNQGX6</t>
  </si>
  <si>
    <t>AL-KS-UCC01</t>
  </si>
  <si>
    <t>OxGord Universal Removal Tool for Wheel Cover Center Caps and Hubcaps - Spoon Shaped Tip Made of Steel with Rubber Handle - Black and Blue</t>
  </si>
  <si>
    <t>111-3159687-8116253</t>
  </si>
  <si>
    <t>D7lNTc0lRRMA</t>
  </si>
  <si>
    <t>1ZJ74J529011009885</t>
  </si>
  <si>
    <t>111-0546935-1409846</t>
  </si>
  <si>
    <t>Dxz5nB0FRRMA</t>
  </si>
  <si>
    <t>1ZJ74J529099752774</t>
  </si>
  <si>
    <t>112-5733997-7166631</t>
  </si>
  <si>
    <t>DrgjxM0fRRMA</t>
  </si>
  <si>
    <t>1ZJ74J529098737515</t>
  </si>
  <si>
    <t>112-5212789-0860254</t>
  </si>
  <si>
    <t>DhVdJV0mRRMA</t>
  </si>
  <si>
    <t>1ZJ74J529095727479</t>
  </si>
  <si>
    <t>B0BC9YZWRJ</t>
  </si>
  <si>
    <t>AL-KS-WCWS-25420-17BLK</t>
  </si>
  <si>
    <t>OxGord 17 inch Wheel Skins for 2015-2018 Dodge Charger (Set of 4) Impostor Wheel Covers for 17 inch Gloss Black ABS Wheels- Auto Tire Replacement Exterior Cap Cover</t>
  </si>
  <si>
    <t>112-3798943-4398661</t>
  </si>
  <si>
    <t>DfFPJG04RRMA</t>
  </si>
  <si>
    <t>1ZJ74J529096006282</t>
  </si>
  <si>
    <t>113-7820388-5742660</t>
  </si>
  <si>
    <t>DjpyJ10ZRRMA</t>
  </si>
  <si>
    <t>1ZJ74J529094980705</t>
  </si>
  <si>
    <t>112-2074496-4724213</t>
  </si>
  <si>
    <t>D8Rg3105RRMA</t>
  </si>
  <si>
    <t>1ZJ74J529096364985</t>
  </si>
  <si>
    <t>114-9440409-8893011</t>
  </si>
  <si>
    <t>D5Mfnx0xRRMA</t>
  </si>
  <si>
    <t>1ZJ74J529010047238</t>
  </si>
  <si>
    <t>114-5401895-2328238</t>
  </si>
  <si>
    <t>DhMxTQ0ZRRMA</t>
  </si>
  <si>
    <t>1ZJ74J529011464115</t>
  </si>
  <si>
    <t>B0BWFPBXP4</t>
  </si>
  <si>
    <t>AL-KS-FRGC-GMSI-1620-162</t>
  </si>
  <si>
    <t>Fuel Rider Grille Inserts Overlay Trim for Front Grille Compatible with 2016-2018 GMC Sierra 1500 - Chrome ABS Snap On 3 Mesh Bar, witho Camera- Car Truck Accessories</t>
  </si>
  <si>
    <t>113-7392217-6598664</t>
  </si>
  <si>
    <t>Djk9Jm0bRRMA</t>
  </si>
  <si>
    <t>1ZJ74J529095959531</t>
  </si>
  <si>
    <t>113-5057557-2609050</t>
  </si>
  <si>
    <t>DpzYxP01RRMA</t>
  </si>
  <si>
    <t>1ZJ74J529098300478</t>
  </si>
  <si>
    <t>B0BWFR8BYB</t>
  </si>
  <si>
    <t>AL-KS-FRGC-CHTR-2120-180</t>
  </si>
  <si>
    <t>Fuel Rider Grille Inserts Overlay Trim for Front Grille Compatible with 2021-2022 Chevy Trailblazer - Chrome ABS Snap On 5 Bar- Car Truck Accessories</t>
  </si>
  <si>
    <t>112-6162540-9061838</t>
  </si>
  <si>
    <t>DvY5M104RRMA</t>
  </si>
  <si>
    <t>111-4972540-5753059</t>
  </si>
  <si>
    <t>DLn0nd0tRRMA</t>
  </si>
  <si>
    <t>1ZJ74J529099311017</t>
  </si>
  <si>
    <t>111-8572975-6924227</t>
  </si>
  <si>
    <t>DHhKnf0VRRMA</t>
  </si>
  <si>
    <t>112-8297332-8346651</t>
  </si>
  <si>
    <t>D5pGnn0vRRMA</t>
  </si>
  <si>
    <t>1ZJ74J529099331335</t>
  </si>
  <si>
    <t>112-6769239-7937055</t>
  </si>
  <si>
    <t>DpRfJR03RRMA</t>
  </si>
  <si>
    <t>1ZJ74J529094998438</t>
  </si>
  <si>
    <t>112-4131501-8325813</t>
  </si>
  <si>
    <t>DBlbtd0yRRMA</t>
  </si>
  <si>
    <t>1ZJ74J529013875641</t>
  </si>
  <si>
    <t>DLlLtL09RRMA</t>
  </si>
  <si>
    <t>1ZJ74J529013872699</t>
  </si>
  <si>
    <t>114-3081294-0737827</t>
  </si>
  <si>
    <t>DTrTGX0pRRMA</t>
  </si>
  <si>
    <t>1ZJ74J529014975728</t>
  </si>
  <si>
    <t>B00XR3I8MO</t>
  </si>
  <si>
    <t>AL-KS-WCCC-799-SS</t>
  </si>
  <si>
    <t>OxGord Power Disc Rally Wheel Center Caps Compatible with GM Classic Car - Snaps Over 14x6, 14x7, 15x6, 15x7, 15x8 &amp; 15x10 Rim - Stainless Steel Cap is 8.1" in Diameter, Chrome</t>
  </si>
  <si>
    <t>113-6167427-2294665</t>
  </si>
  <si>
    <t>DBRBPD0rRRMA</t>
  </si>
  <si>
    <t>1ZJ74J529012163680</t>
  </si>
  <si>
    <t>113-8369204-3615407</t>
  </si>
  <si>
    <t>DKxD6m0PRRMA</t>
  </si>
  <si>
    <t>1ZJ74J529017733993</t>
  </si>
  <si>
    <t>112-3746013-8694611</t>
  </si>
  <si>
    <t>DHzwdX0HRRMA</t>
  </si>
  <si>
    <t>1ZJ74J529016818680</t>
  </si>
  <si>
    <t>114-9005098-5562607</t>
  </si>
  <si>
    <t>DFZfGZ0ZRRMA</t>
  </si>
  <si>
    <t>1ZJ74J529015543693</t>
  </si>
  <si>
    <t>It was not the right size</t>
  </si>
  <si>
    <t>113-2637434-3013852</t>
  </si>
  <si>
    <t>DxgdPl0sRRMA</t>
  </si>
  <si>
    <t>1ZJ74J529013045314</t>
  </si>
  <si>
    <t>111-0079419-2731412</t>
  </si>
  <si>
    <t>D7n36F0gRRMA</t>
  </si>
  <si>
    <t>1ZJ74J529017673781</t>
  </si>
  <si>
    <t>114-3636874-3534629</t>
  </si>
  <si>
    <t>D25CdR08RRMA</t>
  </si>
  <si>
    <t>1ZJ74J529017517726</t>
  </si>
  <si>
    <t>112-2575244-7348210</t>
  </si>
  <si>
    <t>Dt0Ddc0WRRMA</t>
  </si>
  <si>
    <t>1ZJ74J529016605963</t>
  </si>
  <si>
    <t>CR-NOT_COMPATIBLE</t>
  </si>
  <si>
    <t>114-1374007-5267427</t>
  </si>
  <si>
    <t>DYHHG302RRMA</t>
  </si>
  <si>
    <t>1ZJ74J529015237961</t>
  </si>
  <si>
    <t>114-6384082-3807439</t>
  </si>
  <si>
    <t>DTBkPM0sRRMA</t>
  </si>
  <si>
    <t>1ZJ74J529013027932</t>
  </si>
  <si>
    <t>111-8874480-4329068</t>
  </si>
  <si>
    <t>DYKz6K0DRRMA</t>
  </si>
  <si>
    <t>1ZJ74J529018857956</t>
  </si>
  <si>
    <t>PART_NOT_COMPATIBLE</t>
  </si>
  <si>
    <t>DLX36B0hRRMA</t>
  </si>
  <si>
    <t>1ZJ74J529018854486</t>
  </si>
  <si>
    <t>113-2621273-4087449</t>
  </si>
  <si>
    <t>DjCMS80WRRMA</t>
  </si>
  <si>
    <t>1ZJ74J529019276082</t>
  </si>
  <si>
    <t>EXCESSIVE_INSTALLATION</t>
  </si>
  <si>
    <t>111-3074924-1288227</t>
  </si>
  <si>
    <t>DW75tF07RRMA</t>
  </si>
  <si>
    <t>1ZJ74J529014400688</t>
  </si>
  <si>
    <t>114-1756865-8239416</t>
  </si>
  <si>
    <t>D5D6GL0HRRMA</t>
  </si>
  <si>
    <t>1ZJ74J529015777315</t>
  </si>
  <si>
    <t>114-3883196-0647405</t>
  </si>
  <si>
    <t>D4sSt20xRRMA</t>
  </si>
  <si>
    <t>1ZJ74J529013729611</t>
  </si>
  <si>
    <t>111-2106916-6073007</t>
  </si>
  <si>
    <t>DjKPtM0BRRMA</t>
  </si>
  <si>
    <t>1ZJ74J529014770412</t>
  </si>
  <si>
    <t>113-0999081-6239442</t>
  </si>
  <si>
    <t>DrWYS50BRRMA</t>
  </si>
  <si>
    <t>112-6234511-6497857</t>
  </si>
  <si>
    <t>DKQ26W03RRMA</t>
  </si>
  <si>
    <t>1ZJ74J529018165195</t>
  </si>
  <si>
    <t>112-5526730-2014614</t>
  </si>
  <si>
    <t>D7yNdM0dRRMA</t>
  </si>
  <si>
    <t>1ZJ74J529017450397</t>
  </si>
  <si>
    <t>112-3358070-0641861</t>
  </si>
  <si>
    <t>DYYRd90ZRRMA</t>
  </si>
  <si>
    <t>1ZJ74J529016698391</t>
  </si>
  <si>
    <t>111-7456996-9749000</t>
  </si>
  <si>
    <t>DQKRdz0kRRMA</t>
  </si>
  <si>
    <t>1ZJ74J529017586287</t>
  </si>
  <si>
    <t>113-8222157-7297823</t>
  </si>
  <si>
    <t>DY32dK05RRMA</t>
  </si>
  <si>
    <t>1ZJ74J529017410877</t>
  </si>
  <si>
    <t>113-7666479-8224250</t>
  </si>
  <si>
    <t>Dq0vd60yRRMA</t>
  </si>
  <si>
    <t>1ZJ74J529016577146</t>
  </si>
  <si>
    <t>111-0388977-8949067</t>
  </si>
  <si>
    <t>D2x8dD0MRRMA</t>
  </si>
  <si>
    <t>1ZJ74J529016387851</t>
  </si>
  <si>
    <t>112-8571148-7747409</t>
  </si>
  <si>
    <t>D7Rydw0KRRMA</t>
  </si>
  <si>
    <t>1ZJ74J529016372125</t>
  </si>
  <si>
    <t>111-6683793-3239406</t>
  </si>
  <si>
    <t>DrmKGL09RRMA</t>
  </si>
  <si>
    <t>1ZJ74J529015897230</t>
  </si>
  <si>
    <t>112-5583373-1854668</t>
  </si>
  <si>
    <t>DBG0G702RRMA</t>
  </si>
  <si>
    <t>1ZJ74J529015037712</t>
  </si>
  <si>
    <t>114-8367949-5016226</t>
  </si>
  <si>
    <t>DT0wtk0hRRMA</t>
  </si>
  <si>
    <t>1ZJ74J529013801256</t>
  </si>
  <si>
    <t>113-3256413-2617046</t>
  </si>
  <si>
    <t>DY9MS10yRRMA</t>
  </si>
  <si>
    <t>1ZJ74J529019530707</t>
  </si>
  <si>
    <t>112-9897843-0641800</t>
  </si>
  <si>
    <t>113-6633939-2226626</t>
  </si>
  <si>
    <t>Djnsdp0wRRMA</t>
  </si>
  <si>
    <t>1ZJ74J529016290142</t>
  </si>
  <si>
    <t>114-9191352-8740245</t>
  </si>
  <si>
    <t>DtVMP50cRRMA</t>
  </si>
  <si>
    <t>1ZJ74J529012925357</t>
  </si>
  <si>
    <t>114-3410847-0837038</t>
  </si>
  <si>
    <t>112-7213020-1865029</t>
  </si>
  <si>
    <t>DqCldK0HRRMA</t>
  </si>
  <si>
    <t>1ZJ74J529016639712</t>
  </si>
  <si>
    <t>112-4105632-3414645</t>
  </si>
  <si>
    <t>Df9Vdr0HRRMA</t>
  </si>
  <si>
    <t>1ZJ74J529016913835</t>
  </si>
  <si>
    <t>114-8417812-2057814</t>
  </si>
  <si>
    <t>DY4Htp0XRRMA</t>
  </si>
  <si>
    <t>1ZJ74J529014619925</t>
  </si>
  <si>
    <t>112-3386859-0705804</t>
  </si>
  <si>
    <t>DpFyPr0QRRMA</t>
  </si>
  <si>
    <t>1ZJ74J529013300574</t>
  </si>
  <si>
    <t>113-4925771-4232251</t>
  </si>
  <si>
    <t>DW5cTc0YRRMA</t>
  </si>
  <si>
    <t>1ZJ74J529011880773</t>
  </si>
  <si>
    <t>112-5082623-1733806</t>
  </si>
  <si>
    <t>D4VZdX0dRRMA</t>
  </si>
  <si>
    <t>1ZJ74J529017103146</t>
  </si>
  <si>
    <t>113-8472609-0161821</t>
  </si>
  <si>
    <t>DWj2Sr07RRMA</t>
  </si>
  <si>
    <t>1ZJ74J529019951673</t>
  </si>
  <si>
    <t>111-0809849-8602627</t>
  </si>
  <si>
    <t>DWvBT30yRRMA</t>
  </si>
  <si>
    <t>1ZJ74J529011942956</t>
  </si>
  <si>
    <t>111-8622396-9464216</t>
  </si>
  <si>
    <t>Dv76dz0lRRMA</t>
  </si>
  <si>
    <t>1ZJ74J529017286137</t>
  </si>
  <si>
    <t>112-6852869-6737026</t>
  </si>
  <si>
    <t>Dv90tF0yRRMA</t>
  </si>
  <si>
    <t>1ZJ74J529014068539</t>
  </si>
  <si>
    <t>113-2213863-0051427</t>
  </si>
  <si>
    <t>D8FLtv04RRMA</t>
  </si>
  <si>
    <t>1ZJ74J529014544685</t>
  </si>
  <si>
    <t>113-1718570-6171419</t>
  </si>
  <si>
    <t>DvTcPC0DRRMA</t>
  </si>
  <si>
    <t>111-3446282-4877827</t>
  </si>
  <si>
    <t>DWJbGM0KRRMA</t>
  </si>
  <si>
    <t>1ZJ74J529014958103</t>
  </si>
  <si>
    <t>112-9136963-6613047</t>
  </si>
  <si>
    <t>DvPvP40zRRMA</t>
  </si>
  <si>
    <t>1ZJ74J529012037941</t>
  </si>
  <si>
    <t>111-5370327-2074618</t>
  </si>
  <si>
    <t>DrKmGL0bRRMA</t>
  </si>
  <si>
    <t>1ZJ74J529016211192</t>
  </si>
  <si>
    <t>DqyGGQ0GRRMA</t>
  </si>
  <si>
    <t>1ZJ74J529016028533</t>
  </si>
  <si>
    <t>111-4314087-7021044</t>
  </si>
  <si>
    <t>DqfHSQ0VRRMA</t>
  </si>
  <si>
    <t>1ZJ74J529019232762</t>
  </si>
  <si>
    <t>B07B468VJS</t>
  </si>
  <si>
    <t>AL-KS-WCWS-69459-16CH</t>
  </si>
  <si>
    <t>OxGord Wheel Skins for 2005-2023 Toyota Tacoma (Set of 4) - Impostor ABS Chrome Wheel Covers for 16 inch Steel Wheels - Auto Accessories Tire Rim Replacement Cap Covers</t>
  </si>
  <si>
    <t>113-9357184-3423403</t>
  </si>
  <si>
    <t>D2r0db0hRRMA</t>
  </si>
  <si>
    <t>1ZJ74J529016452628</t>
  </si>
  <si>
    <t>112-6480693-5613869</t>
  </si>
  <si>
    <t>DYp2Sy0BRRMA</t>
  </si>
  <si>
    <t>1ZJ74J529018959542</t>
  </si>
  <si>
    <t>111-4385125-8197868</t>
  </si>
  <si>
    <t>D45Ptf04RRMA</t>
  </si>
  <si>
    <t>1ZJ74J529014647798</t>
  </si>
  <si>
    <t>B07B6B3K7N</t>
  </si>
  <si>
    <t>AL-KS-WCWS-63894-17CH</t>
  </si>
  <si>
    <t>OxGord Set of 4 17 inch Chrome ABS Wheel Skins Impostors Wheel Covers Compatible with 2006-2014 Honda Ridgeline Wheels- Auto Tire Replacement Cap Cover</t>
  </si>
  <si>
    <t>DW51tm0kRRMA</t>
  </si>
  <si>
    <t>1ZJ74J529014652344</t>
  </si>
  <si>
    <t>113-8364632-3149868</t>
  </si>
  <si>
    <t>Dfp9dG06RRMA</t>
  </si>
  <si>
    <t>1ZJ74J529016338289</t>
  </si>
  <si>
    <t>113-6648235-6433023</t>
  </si>
  <si>
    <t>D7jd6m0xRRMA</t>
  </si>
  <si>
    <t>112-8152473-4313003</t>
  </si>
  <si>
    <t>DBh3tJ0mRRMA</t>
  </si>
  <si>
    <t>112-8762357-1917031</t>
  </si>
  <si>
    <t>D59kPY0CRRMA</t>
  </si>
  <si>
    <t>1ZJ74J529012777080</t>
  </si>
  <si>
    <t>114-6900082-5686615</t>
  </si>
  <si>
    <t>DLFgtp0tRRMA</t>
  </si>
  <si>
    <t>1ZJ74J529014557644</t>
  </si>
  <si>
    <t>112-9326215-3966618</t>
  </si>
  <si>
    <t>Dr9YPk0GRRMA</t>
  </si>
  <si>
    <t>1ZJ74J529012771942</t>
  </si>
  <si>
    <t>113-9132424-4254659</t>
  </si>
  <si>
    <t>B07FDJQXJN</t>
  </si>
  <si>
    <t>AL-EB-THK-CHGM-9906</t>
  </si>
  <si>
    <t>Tailgate Hinge Kit Best for 1999-2007 Chevrolet Silverado 1500, 2500, 3500, 1999-2007 GMC Sierra 1500, 2500, 3500 (Set of 4) Left &amp; Right Side- Bed &amp; Gate - Replacement Part # 38642</t>
  </si>
  <si>
    <t>111-0502025-4927431</t>
  </si>
  <si>
    <t>DxzdSX0YRRMA</t>
  </si>
  <si>
    <t>1ZJ74J529019426508</t>
  </si>
  <si>
    <t>113-4783813-7567465</t>
  </si>
  <si>
    <t>DQmSdX0sRRMA</t>
  </si>
  <si>
    <t>1ZJ74J529017355419</t>
  </si>
  <si>
    <t>B07KJV76ZV</t>
  </si>
  <si>
    <t>AL-KS-WCWS-62449-16CH</t>
  </si>
  <si>
    <t>OxGord 16 inch Wheel Skins for 2011-2019 and 2024 Nissan Frontier SL (Set of 4) Impostor Wheel Covers for 16 inch Chrome ABS Wheels- Auto Tire Replacement Exterior Cap Cover</t>
  </si>
  <si>
    <t>113-0470531-8883435</t>
  </si>
  <si>
    <t>DKTvGs0XRRMA</t>
  </si>
  <si>
    <t>1ZJ74J529015314896</t>
  </si>
  <si>
    <t>114-3389034-3629007</t>
  </si>
  <si>
    <t>111-4263251-8675443</t>
  </si>
  <si>
    <t>DsJQGX0qRRMA</t>
  </si>
  <si>
    <t>1ZJ74J529014959880</t>
  </si>
  <si>
    <t>B089M1CKJF</t>
  </si>
  <si>
    <t>AL-KS-WCHC-61181-16IBK</t>
  </si>
  <si>
    <t>OxGord 16 inch Hubcaps Best for 09-19 Toyota Corolla - Set of 4 Wheel Covers 16in Hub Caps Ice Black Rim Cover - Car Accessories for 16 inch Wheels - Snap On Hubcap, Auto Tire Replacement Exterior Cap</t>
  </si>
  <si>
    <t>111-5000489-5821011</t>
  </si>
  <si>
    <t>DvHldJ0kRRMA</t>
  </si>
  <si>
    <t>1ZJ74J529016728509</t>
  </si>
  <si>
    <t>111-4735405-8494636</t>
  </si>
  <si>
    <t>Dt3zt80pRRMA</t>
  </si>
  <si>
    <t>1ZJ74J529014541964</t>
  </si>
  <si>
    <t>113-1434052-2613046</t>
  </si>
  <si>
    <t>DHhHGD0KRRMA</t>
  </si>
  <si>
    <t>1ZJ74J529015360578</t>
  </si>
  <si>
    <t>111-5670712-3175427</t>
  </si>
  <si>
    <t>DvpZGx02RRMA</t>
  </si>
  <si>
    <t>B0BC9RTD8W</t>
  </si>
  <si>
    <t>AL-KS-WCWS-4665-18BLK</t>
  </si>
  <si>
    <t>OxGord 18 inch Wheel Skins for 2010-2016 Cadillac SRX (Set of 4) Impostor Wheel Covers for 18 inch Gloss Black ABS Wheels- Auto Tire Replacement Exterior Cap Cover</t>
  </si>
  <si>
    <t>111-1966053-6760233</t>
  </si>
  <si>
    <t>DWCStm0WRRMA</t>
  </si>
  <si>
    <t>1ZJ74J529013841374</t>
  </si>
  <si>
    <t>112-8554164-8711402</t>
  </si>
  <si>
    <t>DY2jP70nRRMA</t>
  </si>
  <si>
    <t>1ZJ74J529012964850</t>
  </si>
  <si>
    <t>112-4583639-2970626</t>
  </si>
  <si>
    <t>DTKDP30BRRMA</t>
  </si>
  <si>
    <t>1ZJ74J529013497489</t>
  </si>
  <si>
    <t>111-1200578-2689024</t>
  </si>
  <si>
    <t>DWS6Tt0CRRMA</t>
  </si>
  <si>
    <t>1ZJ74J529011928703</t>
  </si>
  <si>
    <t>112-9751294-3777802</t>
  </si>
  <si>
    <t>DYxSdY0gRRMA</t>
  </si>
  <si>
    <t>1ZJ74J529016404493</t>
  </si>
  <si>
    <t>B0BG3J1NY9</t>
  </si>
  <si>
    <t>AL-KS-WCWS-BC3Z1015C-17BL</t>
  </si>
  <si>
    <t>OxGord 17 inch Wheel Skins for 2010-2021 Ford Superduty 250/350 (Set of 4) Impostor Wheel Covers for 17 inch Gloss Black ABS Wheels- Auto Tire Replacement Exterior Cap Cover</t>
  </si>
  <si>
    <t>114-3235821-8794640</t>
  </si>
  <si>
    <t>DqFTTD0yRRMA</t>
  </si>
  <si>
    <t>1ZJ74J529011758405</t>
  </si>
  <si>
    <t>113-7309543-9871439</t>
  </si>
  <si>
    <t>D4jDGR0gRRMA</t>
  </si>
  <si>
    <t>1ZJ74J529015887170</t>
  </si>
  <si>
    <t>111-9857085-1390632</t>
  </si>
  <si>
    <t>DrccGJ0dRRMA</t>
  </si>
  <si>
    <t>1ZJ74J529015277418</t>
  </si>
  <si>
    <t>wrong size</t>
  </si>
  <si>
    <t>112-9624091-3737039</t>
  </si>
  <si>
    <t>DrCqtq0WRRMA</t>
  </si>
  <si>
    <t>1ZJ74J529013841338</t>
  </si>
  <si>
    <t>112-5350932-5180210</t>
  </si>
  <si>
    <t>DBCd6j0bRRMA</t>
  </si>
  <si>
    <t>1ZJ74J529017933866</t>
  </si>
  <si>
    <t>111-6510435-6431428</t>
  </si>
  <si>
    <t>DpTKt20PRRMA</t>
  </si>
  <si>
    <t>1ZJ74J529013952110</t>
  </si>
  <si>
    <t>no dmg - customer error</t>
  </si>
  <si>
    <t>112-1991775-6009035</t>
  </si>
  <si>
    <t>DpZldX0qRRMA</t>
  </si>
  <si>
    <t>1ZJ74J529017026202</t>
  </si>
  <si>
    <t>113-5788672-9375461</t>
  </si>
  <si>
    <t>DsZpdT0CRRMA</t>
  </si>
  <si>
    <t>1ZJ74J529017022895</t>
  </si>
  <si>
    <t>112-0053996-7336277</t>
  </si>
  <si>
    <t>Dp67dN0mRRMA</t>
  </si>
  <si>
    <t>1ZJ74J529016882468</t>
  </si>
  <si>
    <t>Valve stem holes in wrong position.</t>
  </si>
  <si>
    <t>114-8638578-0291402</t>
  </si>
  <si>
    <t>Dq8gdN0JRRMA</t>
  </si>
  <si>
    <t>1ZJ74J529017228575</t>
  </si>
  <si>
    <t>112-0104984-3042665</t>
  </si>
  <si>
    <t>DkvXTz0yRRMA</t>
  </si>
  <si>
    <t>1ZJ74J529011940798</t>
  </si>
  <si>
    <t>112-4871420-4754657</t>
  </si>
  <si>
    <t>Djj1S40HRRMA</t>
  </si>
  <si>
    <t>1ZJ74J529019946232</t>
  </si>
  <si>
    <t>I selected this item because of the description but when trying into the wheel it did not fit.</t>
  </si>
  <si>
    <t>112-0813237-4774645</t>
  </si>
  <si>
    <t>DQMxGP0pRRMA</t>
  </si>
  <si>
    <t>1ZJ74J529015681801</t>
  </si>
  <si>
    <t>They arrived chrome not black</t>
  </si>
  <si>
    <t>114-8480277-5796231</t>
  </si>
  <si>
    <t>DxK2mt0KRRMA</t>
  </si>
  <si>
    <t>1ZJ74J529024286730</t>
  </si>
  <si>
    <t>112-1914285-4969812</t>
  </si>
  <si>
    <t>DZNhl40KRRMA</t>
  </si>
  <si>
    <t>1ZJ74J529022744597</t>
  </si>
  <si>
    <t>112-5577794-4883458</t>
  </si>
  <si>
    <t>Dh6K0M0LRRMA</t>
  </si>
  <si>
    <t>1ZJ74J529020922200</t>
  </si>
  <si>
    <t>113-8753283-1522669</t>
  </si>
  <si>
    <t>D4D4pJ0bRRMA</t>
  </si>
  <si>
    <t>1ZJ74J529027628490</t>
  </si>
  <si>
    <t>112-4027507-1256265</t>
  </si>
  <si>
    <t>DLYYCJ0sRRMA</t>
  </si>
  <si>
    <t>1ZJ74J529028475037</t>
  </si>
  <si>
    <t>OxGord 15 inch Silver Snap-On Hubcaps with 9 Spoke Compatible with 2004-2006 Toyota Camry Standard Steel Wheel Covers</t>
  </si>
  <si>
    <t>111-5330952-3641043</t>
  </si>
  <si>
    <t>DsPBWc0xRRMA</t>
  </si>
  <si>
    <t>1ZJ74J529025516551</t>
  </si>
  <si>
    <t>OxGord 15 inch Silver Snap-On Hubcaps with 7 Spoke Compatible with 2002-2004 Toyota Camry Standard Steel Wheel Covers</t>
  </si>
  <si>
    <t>113-1700888-8261006</t>
  </si>
  <si>
    <t>DQhy0r0ZRRMA</t>
  </si>
  <si>
    <t>1ZJ74J529020912006</t>
  </si>
  <si>
    <t>111-1238451-7253843</t>
  </si>
  <si>
    <t>DxsJp30VRRMA</t>
  </si>
  <si>
    <t>1ZJ74J529026924840</t>
  </si>
  <si>
    <t>OxGord 16 inch Silver Bolt-On Hubcaps with 10 Spoke Compatible with 2010-2012 Nissan Sentra Standard Steel Wheel Covers</t>
  </si>
  <si>
    <t>D7nmmB0tRRMA</t>
  </si>
  <si>
    <t>1ZJ74J529022943514</t>
  </si>
  <si>
    <t>OxGord 15 inch Silver Screw-On Hubcaps with 12 Spoke Compatible with 2005-2010 Chevrolet Cobalt Standard Steel Wheel Covers</t>
  </si>
  <si>
    <t>111-3409541-9651463</t>
  </si>
  <si>
    <t>Ds9CmG0NRRMA</t>
  </si>
  <si>
    <t>1ZJ74J529023523181</t>
  </si>
  <si>
    <t>OxGord 17 inch Silver Bolt-On Hubcaps with 10 Spoke Compatible with 2006-2011 Ford Crown Victoria Standard Steel Wheel Covers</t>
  </si>
  <si>
    <t>113-3790775-1965815</t>
  </si>
  <si>
    <t>D49x0t04RRMA</t>
  </si>
  <si>
    <t>1ZJ74J529020962248</t>
  </si>
  <si>
    <t>111-2341612-9289000</t>
  </si>
  <si>
    <t>DqRFCt0jRRMA</t>
  </si>
  <si>
    <t>1ZJ74J529028205382</t>
  </si>
  <si>
    <t>112-3668786-2581062</t>
  </si>
  <si>
    <t>DFN40n0MRRMA</t>
  </si>
  <si>
    <t>1ZJ74J529021466345</t>
  </si>
  <si>
    <t>111-4540417-8058641</t>
  </si>
  <si>
    <t>DWHB0T08RRMA</t>
  </si>
  <si>
    <t>1ZJ74J529020799032</t>
  </si>
  <si>
    <t>113-2475625-5230666</t>
  </si>
  <si>
    <t>D7LFC606RRMA</t>
  </si>
  <si>
    <t>112-9550349-3384233</t>
  </si>
  <si>
    <t>DYyrWn0PRRMA</t>
  </si>
  <si>
    <t>114-9433099-9225830</t>
  </si>
  <si>
    <t>DfpB0g0pRRMA</t>
  </si>
  <si>
    <t>114-8057762-1336269</t>
  </si>
  <si>
    <t>DQP5ln01RRMA</t>
  </si>
  <si>
    <t>1ZJ74J529021604070</t>
  </si>
  <si>
    <t>This item does not fit 2008 Nissan</t>
  </si>
  <si>
    <t>112-2720001-6810627</t>
  </si>
  <si>
    <t>DLBZl90qRRMA</t>
  </si>
  <si>
    <t>1ZJ74J529022413088</t>
  </si>
  <si>
    <t>111-1826702-0965842</t>
  </si>
  <si>
    <t>Dh2b010dRRMA</t>
  </si>
  <si>
    <t>1ZJ74J529021143416</t>
  </si>
  <si>
    <t>112-3596746-2931459</t>
  </si>
  <si>
    <t>DvRyWz0fRRMA</t>
  </si>
  <si>
    <t>1ZJ74J529025599445</t>
  </si>
  <si>
    <t>113-7330425-1869039</t>
  </si>
  <si>
    <t>Djt9KM0fRRMA</t>
  </si>
  <si>
    <t>1ZJ74J529025064290</t>
  </si>
  <si>
    <t>114-3838803-4981810</t>
  </si>
  <si>
    <t>D5qyKb0fRRMA</t>
  </si>
  <si>
    <t>1ZJ74J529024340813</t>
  </si>
  <si>
    <t>112-6581592-1509836</t>
  </si>
  <si>
    <t>D4KMlH0SRRMA</t>
  </si>
  <si>
    <t>1ZJ74J529022865644</t>
  </si>
  <si>
    <t>113-1539536-2429825</t>
  </si>
  <si>
    <t>DWrdCs03RRMA</t>
  </si>
  <si>
    <t>1ZJ74J529028265755</t>
  </si>
  <si>
    <t>OxGord 16 inch Silver Bolt-On Hubcaps with 7 Spoke Compatible with 2006-2009 Honda Civic Standard Steel Wheel Covers</t>
  </si>
  <si>
    <t>112-5159979-6365843</t>
  </si>
  <si>
    <t>112-6738415-6597026</t>
  </si>
  <si>
    <t>B01K8MPA1I</t>
  </si>
  <si>
    <t>AL-EB-CCIO-AUDI-001-GY</t>
  </si>
  <si>
    <t>Armrest Lid Cover for 00-08 Audi A4 A6 S4 Vehicles - Replaces 8E0864245P38M Center Console - Gray</t>
  </si>
  <si>
    <t>112-4200800-4376269</t>
  </si>
  <si>
    <t>D4BYKy0bRRMA</t>
  </si>
  <si>
    <t>1ZJ74J529025126722</t>
  </si>
  <si>
    <t>113-2307473-6765033</t>
  </si>
  <si>
    <t>DYtz0S0DRRMA</t>
  </si>
  <si>
    <t>1ZJ74J529021094621</t>
  </si>
  <si>
    <t>112-6371215-7894634</t>
  </si>
  <si>
    <t>tem is different from picture, bought this item multiple times already</t>
  </si>
  <si>
    <t>113-3159935-7579458</t>
  </si>
  <si>
    <t>DHmTpm02RRMA</t>
  </si>
  <si>
    <t>1ZJ74J529027752739</t>
  </si>
  <si>
    <t>112-3104867-0909849</t>
  </si>
  <si>
    <t>Dsw5pJ0DRRMA</t>
  </si>
  <si>
    <t>1ZJ74J529027376726</t>
  </si>
  <si>
    <t>111-6201698-8692211</t>
  </si>
  <si>
    <t>The plate is missing one of the two brass inserts where it attaches to the car</t>
  </si>
  <si>
    <t>112-5534397-5558629</t>
  </si>
  <si>
    <t>114-4083028-5680243</t>
  </si>
  <si>
    <t>Dk46S90lRRMA</t>
  </si>
  <si>
    <t>1ZJ74J529020130002</t>
  </si>
  <si>
    <t>112-2191637-8062655</t>
  </si>
  <si>
    <t>DY06C70nRRMA</t>
  </si>
  <si>
    <t>1ZJ74J529028406469</t>
  </si>
  <si>
    <t>OxGord Hubcaps Wheel Covers - (Set of 4) Hub Caps for Stanbndard Steel Wheels Only - Car Accessories - Snap On Auto Tire Replacement Exterior (Gloss Black, 16 Inch)</t>
  </si>
  <si>
    <t>114-9603215-9698604</t>
  </si>
  <si>
    <t>DpCXm50nRRMA</t>
  </si>
  <si>
    <t>1ZJ74J529023269662</t>
  </si>
  <si>
    <t>OxGord 14 inch Silver Snap-On Hubcaps with 10 Hole Compatible with 1997-1999 Toyota Camry Standard Steel Wheel Covers</t>
  </si>
  <si>
    <t>Wrong wheel sets.</t>
  </si>
  <si>
    <t>113-9511727-2583401</t>
  </si>
  <si>
    <t>DYzblg0SRRMA</t>
  </si>
  <si>
    <t>1ZJ74J529022089573</t>
  </si>
  <si>
    <t>114-3800001-5188252</t>
  </si>
  <si>
    <t>D2xM030VRRMA</t>
  </si>
  <si>
    <t>1ZJ74J529020463591</t>
  </si>
  <si>
    <t>113-3334008-3814624</t>
  </si>
  <si>
    <t>Dsvglf0yRRMA</t>
  </si>
  <si>
    <t>1ZJ74J529022803773</t>
  </si>
  <si>
    <t>111-3905645-5567431</t>
  </si>
  <si>
    <t>DQXt0K0JRRMA</t>
  </si>
  <si>
    <t>1ZJ74J529021559870</t>
  </si>
  <si>
    <t>was told it was 17". they were 20"</t>
  </si>
  <si>
    <t>111-4454599-1362622</t>
  </si>
  <si>
    <t>D2rGly0nRRMA</t>
  </si>
  <si>
    <t>1ZJ74J529021772979</t>
  </si>
  <si>
    <t>Inaccurate website description</t>
  </si>
  <si>
    <t>112-3092595-4635402</t>
  </si>
  <si>
    <t>DpP7pP0ZRRMA</t>
  </si>
  <si>
    <t>1ZJ74J529026709289</t>
  </si>
  <si>
    <t>111-6883925-7473044</t>
  </si>
  <si>
    <t>D7rwmV0PRRMA</t>
  </si>
  <si>
    <t>1ZJ74J529023086181</t>
  </si>
  <si>
    <t>111-0355852-0524218</t>
  </si>
  <si>
    <t>DWzHlS0KRRMA</t>
  </si>
  <si>
    <t>1ZJ74J529022090598</t>
  </si>
  <si>
    <t>112-8672164-5538669</t>
  </si>
  <si>
    <t>B07FL26T52</t>
  </si>
  <si>
    <t>AL-EB-OX-MC-001-RD</t>
  </si>
  <si>
    <t>Mechanic Creeper Car Shop Creepers - Garage Automotive Accessories Best for Auto Floor Low Profile 40" Crawler Roller Mechanics Tools &amp; Equipment Foldable Scooter Board Flat Mat Stool Chair Seat Cart</t>
  </si>
  <si>
    <t>114-9904596-6347427</t>
  </si>
  <si>
    <t>B07JVS8P3S</t>
  </si>
  <si>
    <t>AL-EB-PBGK-HNCV-0611-GBK</t>
  </si>
  <si>
    <t>OxGord Parking Brake Handle Grip &amp; Knob Set for 06-11 Honda Civic Vehicles -Emergency Brake- Replaces OEM Part 47115-SNA-A82ZA</t>
  </si>
  <si>
    <t>113-5014761-5512206</t>
  </si>
  <si>
    <t>DLhTpV0mRRMA</t>
  </si>
  <si>
    <t>1ZJ74J529027251280</t>
  </si>
  <si>
    <t>112-8366845-1387461</t>
  </si>
  <si>
    <t>DKbMmL01RRMA</t>
  </si>
  <si>
    <t>1ZJ74J529023645862</t>
  </si>
  <si>
    <t>Wrong size</t>
  </si>
  <si>
    <t>112-2163929-0555456</t>
  </si>
  <si>
    <t>DrvgpY0DRRMA</t>
  </si>
  <si>
    <t>1ZJ74J529027999410</t>
  </si>
  <si>
    <t>OxGord 16 inch Gloss Black Snap-On Hubcaps with 10 Split Spoke Compatible with 2012-2014 Toyota Camry Standard Steel Wheel Covers</t>
  </si>
  <si>
    <t>112-0619049-0805066</t>
  </si>
  <si>
    <t>DtWcpt0fRRMA</t>
  </si>
  <si>
    <t>1ZJ74J529027370884</t>
  </si>
  <si>
    <t>It was too small</t>
  </si>
  <si>
    <t>113-6235696-3037059</t>
  </si>
  <si>
    <t>D2LL0p0YRRMA</t>
  </si>
  <si>
    <t>1ZJ74J529020625817</t>
  </si>
  <si>
    <t>114-1690657-8790668</t>
  </si>
  <si>
    <t>DjYYpr0sRRMA</t>
  </si>
  <si>
    <t>1ZJ74J529027078521</t>
  </si>
  <si>
    <t>OxGord 15 inch Silver &amp; Charcoal Snap-On Hubcaps Compatible with Toyota Prius Year and Sub Models 16-18 Four and Two, 19-22 Wheel Covers</t>
  </si>
  <si>
    <t>114-6885788-0758659</t>
  </si>
  <si>
    <t>D50LKD0zRRMA</t>
  </si>
  <si>
    <t>1ZJ74J529024628674</t>
  </si>
  <si>
    <t>112-6193873-4628238</t>
  </si>
  <si>
    <t>DhYglH0DRRMA</t>
  </si>
  <si>
    <t>1ZJ74J529021963978</t>
  </si>
  <si>
    <t>B0BC9YGMY4</t>
  </si>
  <si>
    <t>AL-KS-WCWS-2730-20BLK</t>
  </si>
  <si>
    <t>OxGord 20 inch Wheel Skins for 2021-2022 Dodge Durango (Set of 4) Impostor Wheel Covers for 20 inch Gloss Black ABS Wheels- Auto Tire Replacement Exterior Cap Cover</t>
  </si>
  <si>
    <t>The description of the rim spokes is not accurate.</t>
  </si>
  <si>
    <t>111-6639878-0045805</t>
  </si>
  <si>
    <t>DHqQp80WRRMA</t>
  </si>
  <si>
    <t>1ZJ74J529026730675</t>
  </si>
  <si>
    <t>The item is wrong</t>
  </si>
  <si>
    <t>112-5670981-6394629</t>
  </si>
  <si>
    <t>DsPBlh0JRRMA</t>
  </si>
  <si>
    <t>1ZJ74J529021606818</t>
  </si>
  <si>
    <t>111-8937015-1717014</t>
  </si>
  <si>
    <t>D8qNp90SRRMA</t>
  </si>
  <si>
    <t>1ZJ74J529026727456</t>
  </si>
  <si>
    <t>113-5351901-9110609</t>
  </si>
  <si>
    <t>DFCcWp0tRRMA</t>
  </si>
  <si>
    <t>1ZJ74J529025785583</t>
  </si>
  <si>
    <t>111-7765479-1220205</t>
  </si>
  <si>
    <t>DQ78K508RRMA</t>
  </si>
  <si>
    <t>1ZJ74J529025223644</t>
  </si>
  <si>
    <t>112-8757843-2417868</t>
  </si>
  <si>
    <t>Dfltm40dRRMA</t>
  </si>
  <si>
    <t>1ZJ74J529023329196</t>
  </si>
  <si>
    <t>112-8041652-1506616</t>
  </si>
  <si>
    <t>D8vk0t0fRRMA</t>
  </si>
  <si>
    <t>B0BTSHMRFV</t>
  </si>
  <si>
    <t>AL-KS-WCWS-5646-18GBK</t>
  </si>
  <si>
    <t>OxGord 18 inch Wheel Skins for 2014-2020 Chevy Silverado (Set of 4) Impostor Wheel Covers for 18 inch Gloss Black ABS Wheels- Auto Tire Replacement Exterior Cap Cover</t>
  </si>
  <si>
    <t>111-3948684-8147462</t>
  </si>
  <si>
    <t>D776p90cRRMA</t>
  </si>
  <si>
    <t>1ZJ74J529027669713</t>
  </si>
  <si>
    <t>113-5033494-3280203</t>
  </si>
  <si>
    <t>D4ZMm20qRRMA</t>
  </si>
  <si>
    <t>1ZJ74J529023633026</t>
  </si>
  <si>
    <t>B0BWFS51JH</t>
  </si>
  <si>
    <t>AL-KS-FRGC-FOF1-0920-73</t>
  </si>
  <si>
    <t>Fuel Rider Grille Inserts Overlay Trim for Front Grille Compatible with 2009-2012 Ford F150 - Chrome ABS Snap On 3 Bar, OE Look- Car Truck Accessories</t>
  </si>
  <si>
    <t>112-0082003-7557055</t>
  </si>
  <si>
    <t>DfbWKg0kRRMA</t>
  </si>
  <si>
    <t>1ZJ74J529025021184</t>
  </si>
  <si>
    <t>112-4359501-2096248</t>
  </si>
  <si>
    <t>D2LBmr0rRRMA</t>
  </si>
  <si>
    <t>1ZJ74J529023191316</t>
  </si>
  <si>
    <t>114-6577114-7347423</t>
  </si>
  <si>
    <t>DTkdln03RRMA</t>
  </si>
  <si>
    <t>1ZJ74J529022613120</t>
  </si>
  <si>
    <t>Shipping charge not agreed.</t>
  </si>
  <si>
    <t>113-2778809-9117028</t>
  </si>
  <si>
    <t>DW19Kl0ZRRMA</t>
  </si>
  <si>
    <t>1ZJ74J529025248903</t>
  </si>
  <si>
    <t>B0CTDHH4FW</t>
  </si>
  <si>
    <t>AL-KS-FRSM-CHSI1418-CH-2</t>
  </si>
  <si>
    <t>Fuel Rider Chrome ABS Side Molding Compatible with Chevrolet Silverado 1500 2014 to 2018 Crew Cab Trim Level/s Set of 4, 2 pcs G (38"), 2 pcs I (42")</t>
  </si>
  <si>
    <t>112-4284754-5025823</t>
  </si>
  <si>
    <t>DfQRlc02RRMA</t>
  </si>
  <si>
    <t>1ZJ74J529022156660</t>
  </si>
  <si>
    <t>113-6621830-9272203</t>
  </si>
  <si>
    <t>D2nGl60MRRMA</t>
  </si>
  <si>
    <t>1ZJ74J529021655640</t>
  </si>
  <si>
    <t>B0CZ5GJ4F5</t>
  </si>
  <si>
    <t>AL-KS-FRWS-1688-16.5CHPL</t>
  </si>
  <si>
    <t>Fuel Rider Set of 4 Universal Chrome ABS 16.5 inch Wheel Simulators with Metal Clip &amp; Ring Retention Truck Van RV Motorhome Wheel Covers</t>
  </si>
  <si>
    <t>111-6675858-8360207</t>
  </si>
  <si>
    <t>DBTLZy0sRRMA</t>
  </si>
  <si>
    <t>1ZJ74J529036582610</t>
  </si>
  <si>
    <t>Buyer Comment:
shipped twice</t>
  </si>
  <si>
    <t>114-7148360-7859413</t>
  </si>
  <si>
    <t>DTF6qD05RRMA</t>
  </si>
  <si>
    <t>1ZJ74J529035868402</t>
  </si>
  <si>
    <t>the color on website is not the color the mats are</t>
  </si>
  <si>
    <t>113-9100170-6723457</t>
  </si>
  <si>
    <t>DTJMXL0hRRMA</t>
  </si>
  <si>
    <t>1ZJ74J529029467375</t>
  </si>
  <si>
    <t>Does not fit properly.</t>
  </si>
  <si>
    <t>111-2258263-2060222</t>
  </si>
  <si>
    <t>DhVbg909RRMA</t>
  </si>
  <si>
    <t>1ZJ74J529032825258</t>
  </si>
  <si>
    <t>114-2199938-0585837</t>
  </si>
  <si>
    <t>Dhbjgy0hRRMA</t>
  </si>
  <si>
    <t>1ZJ74J529032800417</t>
  </si>
  <si>
    <t>111-3483413-6882666</t>
  </si>
  <si>
    <t>D7Y0Zl0MRRMA</t>
  </si>
  <si>
    <t>1ZJ74J529036482586</t>
  </si>
  <si>
    <t>There broken and crooked</t>
  </si>
  <si>
    <t>112-3438010-2201042</t>
  </si>
  <si>
    <t>Dtnyqm09RRMA</t>
  </si>
  <si>
    <t>1ZJ74J529034707551</t>
  </si>
  <si>
    <t>112-8911808-0789822</t>
  </si>
  <si>
    <t>DZrX5D0fRRMA</t>
  </si>
  <si>
    <t>1ZJ74J529033515028</t>
  </si>
  <si>
    <t>114-3686948-1258605</t>
  </si>
  <si>
    <t>DWPtZD0bRRMA</t>
  </si>
  <si>
    <t>1ZJ74J529036081849</t>
  </si>
  <si>
    <t>112-7650991-0188221</t>
  </si>
  <si>
    <t>DZLqq60sRRMA</t>
  </si>
  <si>
    <t>1ZJ74J529034954534</t>
  </si>
  <si>
    <t>111-9954566-2185014</t>
  </si>
  <si>
    <t>D2ySXf0hRRMA</t>
  </si>
  <si>
    <t>1ZJ74J529030425489</t>
  </si>
  <si>
    <t>112-3936293-0575434</t>
  </si>
  <si>
    <t>D8yWqc0lRRMA</t>
  </si>
  <si>
    <t>1ZJ74J529035881709</t>
  </si>
  <si>
    <t>111-8269767-9911460</t>
  </si>
  <si>
    <t>DHLbq90jRRMA</t>
  </si>
  <si>
    <t>1ZJ74J529034961759</t>
  </si>
  <si>
    <t>111-3567570-5577853</t>
  </si>
  <si>
    <t>D4Pf8k0nRRMA</t>
  </si>
  <si>
    <t>1ZJ74J529030626299</t>
  </si>
  <si>
    <t>113-8949409-0141809</t>
  </si>
  <si>
    <t>DrS6Cj0tRRMA</t>
  </si>
  <si>
    <t>1ZJ74J529029206405</t>
  </si>
  <si>
    <t>OxGord 15 inch Silver Snap-On Hubcaps with 8 Spoke Compatible with 1998-2002 Honda Accord Standard Steel Wheel Covers</t>
  </si>
  <si>
    <t>111-6836388-4399459</t>
  </si>
  <si>
    <t>DH5p8m06RRMA</t>
  </si>
  <si>
    <t>1ZJ74J529031952783</t>
  </si>
  <si>
    <t>B015IV7BJI</t>
  </si>
  <si>
    <t>AL-EB-FFOE-106</t>
  </si>
  <si>
    <t>Fender Flares Compatible with 02-08 Ram 1500/03-09 Ram 2500 3500 (Feetside Only) Screw-on Factory Style - Rugged Trim Guards w/Hardware Kit</t>
  </si>
  <si>
    <t>They did not for the truck like the info stated</t>
  </si>
  <si>
    <t>114-9784897-8473034</t>
  </si>
  <si>
    <t>B015TCA4DQ</t>
  </si>
  <si>
    <t>AL-EB-ARCP-GM001-BK</t>
  </si>
  <si>
    <t>Armrest Cap Cover for Select GM Vehicles - Replaces 15279689 Left or Right Rear Bucket Seat Handle Trim Bolt - Black</t>
  </si>
  <si>
    <t>113-7023228-4567462</t>
  </si>
  <si>
    <t>DspdXH0nRRMA</t>
  </si>
  <si>
    <t>114-1697744-7626626</t>
  </si>
  <si>
    <t>Dh3Cqq0GRRMA</t>
  </si>
  <si>
    <t>1ZJ74J529035827536</t>
  </si>
  <si>
    <t>OxGord 15 inch Silver Snap-On Hubcaps with 6 Spoke Compatible with 2007-2012 Nissan Sentra Standard Steel Wheel Covers</t>
  </si>
  <si>
    <t>NULL</t>
  </si>
  <si>
    <t>114-7155931-0486646</t>
  </si>
  <si>
    <t>DtLzqD0NRRMA</t>
  </si>
  <si>
    <t>1ZJ74J529034948041</t>
  </si>
  <si>
    <t>Didnt fit my wheels. They were too small</t>
  </si>
  <si>
    <t>111-3360438-1666663</t>
  </si>
  <si>
    <t>DZnZqk05RRMA</t>
  </si>
  <si>
    <t>1ZJ74J529034736485</t>
  </si>
  <si>
    <t>Wrong size.</t>
  </si>
  <si>
    <t>114-7053905-3949862</t>
  </si>
  <si>
    <t>DF868h0vRRMA</t>
  </si>
  <si>
    <t>1ZJ74J529031604515</t>
  </si>
  <si>
    <t>Item did not fit wheel</t>
  </si>
  <si>
    <t>111-1198487-2798665</t>
  </si>
  <si>
    <t>DrPm8W0RRRMA</t>
  </si>
  <si>
    <t>1ZJ74J529030630917</t>
  </si>
  <si>
    <t>I ordered the wrong size</t>
  </si>
  <si>
    <t>113-1577266-0817825</t>
  </si>
  <si>
    <t>DKXHXQ0dRRMA</t>
  </si>
  <si>
    <t>1ZJ74J529030588803</t>
  </si>
  <si>
    <t>Es más pequeño</t>
  </si>
  <si>
    <t>112-8735253-7094646</t>
  </si>
  <si>
    <t>DffhqM0CRRMA</t>
  </si>
  <si>
    <t>1ZJ74J529035022342</t>
  </si>
  <si>
    <t>113-9929431-5146647</t>
  </si>
  <si>
    <t>Drr45f00RRMA</t>
  </si>
  <si>
    <t>1ZJ74J529033509419</t>
  </si>
  <si>
    <t>112-7306964-6691437</t>
  </si>
  <si>
    <t>DkXvX40VRRMA</t>
  </si>
  <si>
    <t>1ZJ74J529030577011</t>
  </si>
  <si>
    <t>114-4206181-8940249</t>
  </si>
  <si>
    <t>Dtc0X10nRRMA</t>
  </si>
  <si>
    <t>1ZJ74J529029744342</t>
  </si>
  <si>
    <t>OxGord 16 inch Silver Snap-On Hubcaps with 10 Spoke Compatible with 2012-2017 Toyota Prius V Standard Steel Wheel Covers</t>
  </si>
  <si>
    <t>112-8489176-6253840</t>
  </si>
  <si>
    <t>Df418R00RRMA</t>
  </si>
  <si>
    <t>1ZJ74J529031898799</t>
  </si>
  <si>
    <t>B01IGJ1RCG</t>
  </si>
  <si>
    <t>AL-KS-WCHC-3251-16SL</t>
  </si>
  <si>
    <t>OxGord 16 inch Silver Screw-On Hubcaps with 5 Spoke Compatible with 2006-2011 Chevrolet HHR Standard Steel Wheel Covers</t>
  </si>
  <si>
    <t>114-4108349-0290662</t>
  </si>
  <si>
    <t>114-0853321-2709822</t>
  </si>
  <si>
    <t>DBp4qC04RRMA</t>
  </si>
  <si>
    <t>1ZJ74J529034739973</t>
  </si>
  <si>
    <t>null</t>
  </si>
  <si>
    <t>112-4898485-1069839</t>
  </si>
  <si>
    <t>DHFL5W0nRRMA</t>
  </si>
  <si>
    <t>1ZJ74J529034415518</t>
  </si>
  <si>
    <t>112-8925245-2529012</t>
  </si>
  <si>
    <t>this product listing has the wrong picture</t>
  </si>
  <si>
    <t>111-6677960-6367406</t>
  </si>
  <si>
    <t>DHX0XP0rRRMA</t>
  </si>
  <si>
    <t>1ZJ74J529030582470</t>
  </si>
  <si>
    <t>113-9007645-1386645</t>
  </si>
  <si>
    <t>DhzNq40wRRMA</t>
  </si>
  <si>
    <t>1ZJ74J529035200739</t>
  </si>
  <si>
    <t>112-4450980-1682634</t>
  </si>
  <si>
    <t>DxkyX70DRRMA</t>
  </si>
  <si>
    <t>1ZJ74J529030327353</t>
  </si>
  <si>
    <t>112-4827389-1858656</t>
  </si>
  <si>
    <t>DxPfXY0RRRMA</t>
  </si>
  <si>
    <t>1ZJ74J529029290850</t>
  </si>
  <si>
    <t>111-6329748-2833811</t>
  </si>
  <si>
    <t>DZvpgJ0ZRRMA</t>
  </si>
  <si>
    <t>1ZJ74J529033268984</t>
  </si>
  <si>
    <t>I brought 1 new tire and decided to get hubcaps for all 4 . The hubcaps went on all the other tires but not my new one unfortunately.</t>
  </si>
  <si>
    <t>113-9475844-3271452</t>
  </si>
  <si>
    <t>Dfg6gB0QRRMA</t>
  </si>
  <si>
    <t>1ZJ74J529032908534</t>
  </si>
  <si>
    <t>It doesn't fit with my car</t>
  </si>
  <si>
    <t>114-2188681-8299438</t>
  </si>
  <si>
    <t>DhRGqh0mRRMA</t>
  </si>
  <si>
    <t>1ZJ74J529034780696</t>
  </si>
  <si>
    <t>OxGord 16 inch Silver &amp; Black Snap-On Hubcaps with 5 Spoke Compatible with 2016-2021 Honda Civic LX Standard Steel Wheel Covers</t>
  </si>
  <si>
    <t>FOR THE 3RD TIME YOU SENT ME THE WRONG MODEL HUBCAPS. I ORDERED THE HUBCAPS WITH SILVER CIRCLE IN THE MIDDLE. You sent the model with all black in the center. I've ordered the exact ones twice before</t>
  </si>
  <si>
    <t>111-4318137-6085034</t>
  </si>
  <si>
    <t>DhfVqs0QRRMA</t>
  </si>
  <si>
    <t>1ZJ74J529035010828</t>
  </si>
  <si>
    <t>OxGord 15 inch Silver Bolt-On Hubcaps with 5 Directional Spoke Compatible with 2013-2015 Honda Civic Standard Steel Wheel Covers</t>
  </si>
  <si>
    <t>114-8486711-3261055</t>
  </si>
  <si>
    <t>DpMc5C0dRRMA</t>
  </si>
  <si>
    <t>1ZJ74J529034135535</t>
  </si>
  <si>
    <t>OxGord 16 inch Silver Snap-On Hubcaps with 10 Spoke Compatible with 2015-2017 Toyota Camry Standard Steel Wheel Covers</t>
  </si>
  <si>
    <t>113-7859977-6601810</t>
  </si>
  <si>
    <t>DFvY8h0sRRMA</t>
  </si>
  <si>
    <t>1ZJ74J529031992552</t>
  </si>
  <si>
    <t>?</t>
  </si>
  <si>
    <t>112-6076301-8036216</t>
  </si>
  <si>
    <t>D5L4gw0dRRMA</t>
  </si>
  <si>
    <t>1ZJ74J529032385000</t>
  </si>
  <si>
    <t>OxGord 17 inch Chrome Bolt-On Hubcaps with 5 Spoke Compatible with 2010-2012 Ford Fusion Standard Steel Wheel Covers</t>
  </si>
  <si>
    <t>112-5307747-0153007</t>
  </si>
  <si>
    <t>DfwRqZ0fRRMA</t>
  </si>
  <si>
    <t>1ZJ74J529035393899</t>
  </si>
  <si>
    <t>113-6848584-7897819</t>
  </si>
  <si>
    <t>DtVWZ309RRMA</t>
  </si>
  <si>
    <t>1ZJ74J529036817821</t>
  </si>
  <si>
    <t>114-2562718-3412229</t>
  </si>
  <si>
    <t>Dpg35T0XRRMA</t>
  </si>
  <si>
    <t>1ZJ74J529034188630</t>
  </si>
  <si>
    <t>111-4884749-8910610</t>
  </si>
  <si>
    <t>Ds9CZ70YRRMA</t>
  </si>
  <si>
    <t>1ZJ74J529036692555</t>
  </si>
  <si>
    <t>17 inch Hubcaps Best for 2014-2020 Nissan Rogue - (Set of 4) Wheel Covers 17in Hub Caps Silver Rim Cover - Car Accessories for 17 inch Wheels - Snap On Hubcap, Auto Tire Replacement Exterior Cap</t>
  </si>
  <si>
    <t>113-9603727-4637046</t>
  </si>
  <si>
    <t>DWq2ZD0QRRMA</t>
  </si>
  <si>
    <t>1ZJ74J529036115964</t>
  </si>
  <si>
    <t>111-2162059-3957858</t>
  </si>
  <si>
    <t>DWhhqZ0kRRMA</t>
  </si>
  <si>
    <t>1ZJ74J529035219872</t>
  </si>
  <si>
    <t>111-5028261-5069054</t>
  </si>
  <si>
    <t>DYXB5D0lRRMA</t>
  </si>
  <si>
    <t>1ZJ74J529034614320</t>
  </si>
  <si>
    <t>B07KBF8TXZ</t>
  </si>
  <si>
    <t>AL-KS-WCTR-13-PLCH</t>
  </si>
  <si>
    <t>OxGord Beauty Trim Rings for 13 inch Rally Wheels 1 1/2 inch Deep Chrome ABS with Metal Clip &amp; Ring Retention</t>
  </si>
  <si>
    <t>112-5585163-3733850</t>
  </si>
  <si>
    <t>DfpPq90zRRMA</t>
  </si>
  <si>
    <t>1ZJ74J529034733782</t>
  </si>
  <si>
    <t>Has not been removed from package. Opened box and noticed they where much bigger then 1.5 incomes. More like 3 inches and will not fit the wheels they are to go on. Would prefer the 1.5 inch rings I o</t>
  </si>
  <si>
    <t>111-5864610-7694662</t>
  </si>
  <si>
    <t>DKFY840XRRMA</t>
  </si>
  <si>
    <t>1ZJ74J529031848422</t>
  </si>
  <si>
    <t>114-6710740-6283464</t>
  </si>
  <si>
    <t>DFT6ZC0ZRRMA</t>
  </si>
  <si>
    <t>1ZJ74J529036593779</t>
  </si>
  <si>
    <t>112-8251386-7507408</t>
  </si>
  <si>
    <t>D8ChZf0jRRMA</t>
  </si>
  <si>
    <t>1ZJ74J529036470848</t>
  </si>
  <si>
    <t>OxGord 16 inch Silver Snap-On Hubcaps with 6 Spoke Compatible with 2017-2019 Toyota Corolla LE Standard Steel Wheel Covers</t>
  </si>
  <si>
    <t>114-3953618-7761851</t>
  </si>
  <si>
    <t>DrK9890sRRMA</t>
  </si>
  <si>
    <t>1ZJ74J529032054331</t>
  </si>
  <si>
    <t>112-1501738-2764263</t>
  </si>
  <si>
    <t>DrwCXn0JRRMA</t>
  </si>
  <si>
    <t>1ZJ74J529029956079</t>
  </si>
  <si>
    <t>111-7943166-1541824</t>
  </si>
  <si>
    <t>DTyZ560VRRMA</t>
  </si>
  <si>
    <t>1ZJ74J529034433703</t>
  </si>
  <si>
    <t>113-9700250-1947404</t>
  </si>
  <si>
    <t>D530qt0YRRMA</t>
  </si>
  <si>
    <t>1ZJ74J529035817636</t>
  </si>
  <si>
    <t>112-8023591-6329821</t>
  </si>
  <si>
    <t>D2bvXk04RRMA</t>
  </si>
  <si>
    <t>1ZJ74J529029998211</t>
  </si>
  <si>
    <t>112-6193089-2967460</t>
  </si>
  <si>
    <t>DHBHq70CRRMA</t>
  </si>
  <si>
    <t>1ZJ74J529035582621</t>
  </si>
  <si>
    <t>113-0143602-1169852</t>
  </si>
  <si>
    <t>D4hMXQ0XRRMA</t>
  </si>
  <si>
    <t>1ZJ74J529029832809</t>
  </si>
  <si>
    <t>114-0254413-8539401</t>
  </si>
  <si>
    <t>DvwW5R0NRRMA</t>
  </si>
  <si>
    <t>1ZJ74J529033968281</t>
  </si>
  <si>
    <t>113-2680347-5050624</t>
  </si>
  <si>
    <t>DQqnqH0nRRMA</t>
  </si>
  <si>
    <t>1ZJ74J529034691096</t>
  </si>
  <si>
    <t>112-6359776-9874637</t>
  </si>
  <si>
    <t>Dfvmgc0BRRMA</t>
  </si>
  <si>
    <t>1ZJ74J529033244839</t>
  </si>
  <si>
    <t>114-8544921-8103440</t>
  </si>
  <si>
    <t>Dstxg106RRMA</t>
  </si>
  <si>
    <t>1ZJ74J529032811834</t>
  </si>
  <si>
    <t>B0CSXWWDNF</t>
  </si>
  <si>
    <t>AL-KS-FRMC-TOHI2022CH-HTRTS</t>
  </si>
  <si>
    <t>Fuel Rider Chrome ABS Half Top Replacement, w/Turn Signal Pair of Two Mirror Covers Compatible with Toyota Highlander 2020 to 2022 Trim Level/s Left - Driver Side and Right Passenger Side</t>
  </si>
  <si>
    <t>111-9198740-4109834</t>
  </si>
  <si>
    <t>D8P48j0TRRMA</t>
  </si>
  <si>
    <t>1ZJ74J529030634413</t>
  </si>
  <si>
    <t>B0CZ5MTYVL</t>
  </si>
  <si>
    <t>AL-KS-FRWS-8009-17CH-8L5HH</t>
  </si>
  <si>
    <t>Fuel Rider Set of 2 Chrome ABS Wheel Simulators Compatible with 03-03 RAM 3500 8 Lug, 5 Hand Holes, Front Pair Wheel Covers</t>
  </si>
  <si>
    <t>113-5852692-2560238</t>
  </si>
  <si>
    <t>D8KggD0kRRMA</t>
  </si>
  <si>
    <t>1ZJ74J529033280808</t>
  </si>
  <si>
    <t>B0F8GJ6DGH</t>
  </si>
  <si>
    <t>AL-KS-FRHC-3021-18GBK</t>
  </si>
  <si>
    <t>Fuel Rider Set of 4 Semi-Universal 18 inch Gloss Black Snap-On Hubcaps with 5 Spokes</t>
  </si>
  <si>
    <t>111-4333991-8400243</t>
  </si>
  <si>
    <t>DFypRBfkRRMA</t>
  </si>
  <si>
    <t>1ZJ74J529042207513</t>
  </si>
  <si>
    <t>Cheap material. Not thick carpet.</t>
  </si>
  <si>
    <t>112-2067415-4137825</t>
  </si>
  <si>
    <t>DptPkhfsRRMA</t>
  </si>
  <si>
    <t>1ZJ74J529044519398</t>
  </si>
  <si>
    <t>Buyer Comment:
They don’t fit properly</t>
  </si>
  <si>
    <t>111-2959548-7751449</t>
  </si>
  <si>
    <t>DsvLRPfXRRMA</t>
  </si>
  <si>
    <t>1ZJ74J529042356648</t>
  </si>
  <si>
    <t>Not for Pontiac g6</t>
  </si>
  <si>
    <t>113-9640925-4125812</t>
  </si>
  <si>
    <t>Buyer Comment:
Item has a very horrible smell that will not dissipate and the mat is supposed to be black, but it has a "brownish green" discoloration. It looks like maybe it was previously used?</t>
  </si>
  <si>
    <t>113-2575094-7719422</t>
  </si>
  <si>
    <t>DBw4fH0dRRMA</t>
  </si>
  <si>
    <t>111-5960467-7557034</t>
  </si>
  <si>
    <t>DQp9NbffRRMA</t>
  </si>
  <si>
    <t>1ZJ74J529042512595</t>
  </si>
  <si>
    <t>Buyer Comment:
Doesn’t fit</t>
  </si>
  <si>
    <t>112-5606244-1115431</t>
  </si>
  <si>
    <t>D5NskzfVRRMA</t>
  </si>
  <si>
    <t>1ZJ74J529044892136</t>
  </si>
  <si>
    <t>113-3148139-7752220</t>
  </si>
  <si>
    <t>D4xDbxfwRRMA</t>
  </si>
  <si>
    <t>1ZJ74J529045155921</t>
  </si>
  <si>
    <t>OxGord 15 inch Silver Snap-On Hubcaps with 8 Spoke Compatible with 2009-2013 Toyota Corolla Standard Steel Wheel Covers</t>
  </si>
  <si>
    <t>113-6752323-8721848</t>
  </si>
  <si>
    <t>DQqtkmf8RRMA</t>
  </si>
  <si>
    <t>1ZJ74J529043864883</t>
  </si>
  <si>
    <t>112-6617767-2423419</t>
  </si>
  <si>
    <t>DK9GNZf0RRMA</t>
  </si>
  <si>
    <t>1ZJ74J529043067413</t>
  </si>
  <si>
    <t>113-2549222-8953808</t>
  </si>
  <si>
    <t>D8CJNZfvRRMA</t>
  </si>
  <si>
    <t>1ZJ74J529042785078</t>
  </si>
  <si>
    <t>111-8040645-8336249</t>
  </si>
  <si>
    <t>DsQmk0fVRRMA</t>
  </si>
  <si>
    <t>1ZJ74J529044385649</t>
  </si>
  <si>
    <t>112-2632292-0781034</t>
  </si>
  <si>
    <t>DkMvR9fFRRMA</t>
  </si>
  <si>
    <t>1ZJ74J529041919336</t>
  </si>
  <si>
    <t>It's not four hubcaps It's two in the box not four</t>
  </si>
  <si>
    <t>114-1737829-0385005</t>
  </si>
  <si>
    <t>DqPPhh0wRRMA</t>
  </si>
  <si>
    <t>1ZJ74J529039963088</t>
  </si>
  <si>
    <t>112-5108751-3529024</t>
  </si>
  <si>
    <t>DZnRbZfwRRMA</t>
  </si>
  <si>
    <t>1ZJ74J529045074698</t>
  </si>
  <si>
    <t>111-3794057-2143447</t>
  </si>
  <si>
    <t>DjlGhz0WRRMA</t>
  </si>
  <si>
    <t>1ZJ74J529040377932</t>
  </si>
  <si>
    <t>113-6754314-4465058</t>
  </si>
  <si>
    <t>113-1097772-5761022</t>
  </si>
  <si>
    <t>D51zhR03RRMA</t>
  </si>
  <si>
    <t>1ZJ74J529040837720</t>
  </si>
  <si>
    <t>112-1093074-2839410</t>
  </si>
  <si>
    <t>DfTpNvfJRRMA</t>
  </si>
  <si>
    <t>1ZJ74J529042935290</t>
  </si>
  <si>
    <t>Too small for vehicle</t>
  </si>
  <si>
    <t>114-4422954-5412211</t>
  </si>
  <si>
    <t>D4l6Nnf5RRMA</t>
  </si>
  <si>
    <t>1ZJ74J529042849688</t>
  </si>
  <si>
    <t>Buyer Comment:
The product will not work on the model as claimed when purchasing</t>
  </si>
  <si>
    <t>112-0203892-4971474</t>
  </si>
  <si>
    <t>DTqjNyfcRRMA</t>
  </si>
  <si>
    <t>1ZJ74J529042445275</t>
  </si>
  <si>
    <t>They do not fit the vehicle; the air valve hole does not line up with air valve.</t>
  </si>
  <si>
    <t>112-4870808-1013867</t>
  </si>
  <si>
    <t>D2HFRCfQRRMA</t>
  </si>
  <si>
    <t>1ZJ74J529041557183</t>
  </si>
  <si>
    <t>I bought these before and they do not work and will not stay tight I THOUGHT THEY WERE different when they said screw on they will not get tight</t>
  </si>
  <si>
    <t>111-9554439-7472242</t>
  </si>
  <si>
    <t>DqKtfj0GRRMA</t>
  </si>
  <si>
    <t>1ZJ74J529039951091</t>
  </si>
  <si>
    <t>Don't fit</t>
  </si>
  <si>
    <t>111-7847873-2366667</t>
  </si>
  <si>
    <t>DH2Gfy0DRRMA</t>
  </si>
  <si>
    <t>1ZJ74J529039393971</t>
  </si>
  <si>
    <t>Not wrong item on mistake</t>
  </si>
  <si>
    <t>113-1984099-9153845</t>
  </si>
  <si>
    <t>DTP7fn0yRRMA</t>
  </si>
  <si>
    <t>1ZJ74J529038614751</t>
  </si>
  <si>
    <t>They have screw on lugnuts to attach to the wheels but do not fit the lugnuts on my car. Amazon said they would fit a 2008 Crown Victoria but they do not. Wish they did they look great</t>
  </si>
  <si>
    <t>113-2482937-5982615</t>
  </si>
  <si>
    <t>DBSTR8fvRRMA</t>
  </si>
  <si>
    <t>1ZJ74J529042318500</t>
  </si>
  <si>
    <t>B01BZ45HLQ</t>
  </si>
  <si>
    <t>AL-KS-WCHC-61164-15SL</t>
  </si>
  <si>
    <t>OxGord 15 inch Silver Snap-On Hubcaps with 8 Split Spoke Compatible with 2012-2015 Toyota Yaris Standard Steel Wheel Covers</t>
  </si>
  <si>
    <t>113-4618111-6821008</t>
  </si>
  <si>
    <t>D2YZfw0WRRMA</t>
  </si>
  <si>
    <t>1ZJ74J529038998230</t>
  </si>
  <si>
    <t>I don’t want to return the items - one of the covers nuts’ does not have a narrower end so that the nut can press against it - can I get just one replaced? And I will send back the faulty one?</t>
  </si>
  <si>
    <t>114-8301805-0412205</t>
  </si>
  <si>
    <t>B01K8N7LH8</t>
  </si>
  <si>
    <t>AL-EB-CCIO-AUDI-001-BG</t>
  </si>
  <si>
    <t>Armrest Lid Cover for 00-08 Audi A4 A6 S4 Vehicles - Replaces 8E0864245P38M Center Console - Beige</t>
  </si>
  <si>
    <t>112-7130573-8500236</t>
  </si>
  <si>
    <t>DxlYhS0cRRMA</t>
  </si>
  <si>
    <t>1ZJ74J529040371027</t>
  </si>
  <si>
    <t>111-2492223-8354639</t>
  </si>
  <si>
    <t>DF6ljr0rRRMA</t>
  </si>
  <si>
    <t>1ZJ74J529037864108</t>
  </si>
  <si>
    <t>111-9904791-0786600</t>
  </si>
  <si>
    <t>D881NNfWRRMA</t>
  </si>
  <si>
    <t>1ZJ74J529043367125</t>
  </si>
  <si>
    <t>Parte no coincide y defectuoso.</t>
  </si>
  <si>
    <t>113-4236537-9909034</t>
  </si>
  <si>
    <t>DLnRhd01RRMA</t>
  </si>
  <si>
    <t>1ZJ74J529040021619</t>
  </si>
  <si>
    <t>replacement</t>
  </si>
  <si>
    <t>As I previously discussed with Mary at Al's Supply, this is the replacement from original order that I already returned. These are still not correct, so I am returning them.</t>
  </si>
  <si>
    <t>113-0119837-3468205</t>
  </si>
  <si>
    <t>Dhblj901RRMA</t>
  </si>
  <si>
    <t>1ZJ74J529038004160</t>
  </si>
  <si>
    <t>Gary emailed KS</t>
  </si>
  <si>
    <t>Not like the picture on the website. I ordered a Black Hubcap with Silver on top of it. What I got was a Silver Hubcap with Black on top of it. Looks totally different.</t>
  </si>
  <si>
    <t>113-9003199-7975407</t>
  </si>
  <si>
    <t>D5lFfy0DRRMA</t>
  </si>
  <si>
    <t>1ZJ74J529039014022</t>
  </si>
  <si>
    <t>113-0197274-7497857</t>
  </si>
  <si>
    <t>DqtLN1fDRRMA</t>
  </si>
  <si>
    <t>1ZJ74J529043197443</t>
  </si>
  <si>
    <t>114-3618143-1129820</t>
  </si>
  <si>
    <t>DL6Vj50XRRMA</t>
  </si>
  <si>
    <t>1ZJ74J529037867525</t>
  </si>
  <si>
    <t>OxGord 16 inch Chrome Screw-On Hubcaps with 5 Spoke Compatible with 2006-2011 Chevrolet HHR Standard Steel Wheel Covers</t>
  </si>
  <si>
    <t>112-0374121-2909804</t>
  </si>
  <si>
    <t>DK3Thl0wRRMA</t>
  </si>
  <si>
    <t>1ZJ74J529040918339</t>
  </si>
  <si>
    <t>does not fit</t>
  </si>
  <si>
    <t>111-3945143-4805011</t>
  </si>
  <si>
    <t>DQvqRqfyRRMA</t>
  </si>
  <si>
    <t>1ZJ74J529042340486</t>
  </si>
  <si>
    <t>B07B419K22</t>
  </si>
  <si>
    <t>AL-KS-WCWS-69506-17CH</t>
  </si>
  <si>
    <t>OxGord Set of 4 17 inch Chrome ABS Wheel Skins Impostors Wheel Covers Compatible with 2006-2012 Toyota Rav4 Wheels - Snap-on</t>
  </si>
  <si>
    <t>114-8718859-0771421</t>
  </si>
  <si>
    <t>DLLck5f2RRMA</t>
  </si>
  <si>
    <t>1ZJ74J529044100811</t>
  </si>
  <si>
    <t>No queda bien a mi vehículo</t>
  </si>
  <si>
    <t>112-5092568-5935461</t>
  </si>
  <si>
    <t>D5PQb7fJRRMA</t>
  </si>
  <si>
    <t>1ZJ74J529045049573</t>
  </si>
  <si>
    <t>113-8828161-8385040</t>
  </si>
  <si>
    <t>D7VWRXfYRRMA</t>
  </si>
  <si>
    <t>1ZJ74J529041869319</t>
  </si>
  <si>
    <t>112-1420491-3090668</t>
  </si>
  <si>
    <t>D82xhn0kRRMA</t>
  </si>
  <si>
    <t>1ZJ74J529040675502</t>
  </si>
  <si>
    <t>112-2322955-6602606</t>
  </si>
  <si>
    <t>DhwWRVfPRRMA</t>
  </si>
  <si>
    <t>1ZJ74J529041791956</t>
  </si>
  <si>
    <t>111-8064148-7030638</t>
  </si>
  <si>
    <t>Df9hfQ0JRRMA</t>
  </si>
  <si>
    <t>1ZJ74J529039225858</t>
  </si>
  <si>
    <t>113-5723575-6449008</t>
  </si>
  <si>
    <t>DsTkfv0vRRMA</t>
  </si>
  <si>
    <t>1ZJ74J529039101268</t>
  </si>
  <si>
    <t>Buyer Comment:
Does not fit my 2016 ford escape</t>
  </si>
  <si>
    <t>114-1278668-5181823</t>
  </si>
  <si>
    <t>D4Glk1fHRRMA</t>
  </si>
  <si>
    <t>1ZJ74J529044074627</t>
  </si>
  <si>
    <t>114-8392889-2165063</t>
  </si>
  <si>
    <t>D47tkgfvRRMA</t>
  </si>
  <si>
    <t>1ZJ74J529044683488</t>
  </si>
  <si>
    <t>111-0398969-3502652</t>
  </si>
  <si>
    <t>Dh0lkHfNRRMA</t>
  </si>
  <si>
    <t>1ZJ74J529044123412</t>
  </si>
  <si>
    <t>112-7982700-6349062</t>
  </si>
  <si>
    <t>DZwRRNfJRRMA</t>
  </si>
  <si>
    <t>1ZJ74J529041791018</t>
  </si>
  <si>
    <t>114-6321986-8519466</t>
  </si>
  <si>
    <t>D7Zfjw0JRRMA</t>
  </si>
  <si>
    <t>1ZJ74J529037988903</t>
  </si>
  <si>
    <t>114-6519810-0438661</t>
  </si>
  <si>
    <t>DZv5hW0BRRMA</t>
  </si>
  <si>
    <t>1ZJ74J529041078861</t>
  </si>
  <si>
    <t>No es el tamaño es un poquito grande</t>
  </si>
  <si>
    <t>112-3614537-2080268</t>
  </si>
  <si>
    <t>Dhl9RyfKRRMA</t>
  </si>
  <si>
    <t>1ZJ74J529041541163</t>
  </si>
  <si>
    <t>114-5936832-3248258</t>
  </si>
  <si>
    <t>D5Rwf00xRRMA</t>
  </si>
  <si>
    <t>1ZJ74J529038728530</t>
  </si>
  <si>
    <t>112-0000419-4040246</t>
  </si>
  <si>
    <t>DpWxjr00RRMA</t>
  </si>
  <si>
    <t>1ZJ74J529037934729</t>
  </si>
  <si>
    <t>111-1154981-8447433</t>
  </si>
  <si>
    <t>D74jhp0jRRMA</t>
  </si>
  <si>
    <t>1ZJ74J529041003057</t>
  </si>
  <si>
    <t>112-2076578-0923452</t>
  </si>
  <si>
    <t>DKJMh60qRRMA</t>
  </si>
  <si>
    <t>1ZJ74J529040138922</t>
  </si>
  <si>
    <t>The covers were not the same as mine and didn’t have clips to hold them on.</t>
  </si>
  <si>
    <t>111-3596513-8879430</t>
  </si>
  <si>
    <t>D7xPjJ0yRRMA</t>
  </si>
  <si>
    <t>1ZJ74J529037445936</t>
  </si>
  <si>
    <t>Buyer Comment:
Did not fit the middle part has an extra plastic piece making it not lay flat against the rim description said it will fit the factory rim and it did not</t>
  </si>
  <si>
    <t>112-1691365-9021005</t>
  </si>
  <si>
    <t>DhK1RHfqRRMA</t>
  </si>
  <si>
    <t>1ZJ74J529042412425</t>
  </si>
  <si>
    <t>113-1574011-9363423</t>
  </si>
  <si>
    <t>D4xlNZf0RRMA</t>
  </si>
  <si>
    <t>1ZJ74J529042560686</t>
  </si>
  <si>
    <t>113-6635930-4637020</t>
  </si>
  <si>
    <t>DvRdkffHRRMA</t>
  </si>
  <si>
    <t>1ZJ74J529043920188</t>
  </si>
  <si>
    <t>113-3188890-3273002</t>
  </si>
  <si>
    <t>D5QYh20JRRMA</t>
  </si>
  <si>
    <t>1ZJ74J529040523649</t>
  </si>
  <si>
    <t>113-3110477-9733844</t>
  </si>
  <si>
    <t>DLJ6k0f4RRMA</t>
  </si>
  <si>
    <t>1ZJ74J529043967227</t>
  </si>
  <si>
    <t>113-4671312-9881054</t>
  </si>
  <si>
    <t>DK7dfy0GRRMA</t>
  </si>
  <si>
    <t>1ZJ74J529039565599</t>
  </si>
  <si>
    <t>114-5157025-5653064</t>
  </si>
  <si>
    <t>DqJ7js0tRRMA</t>
  </si>
  <si>
    <t>1ZJ74J529037476877</t>
  </si>
  <si>
    <t>broken</t>
  </si>
  <si>
    <t>111-9080106-6487465</t>
  </si>
  <si>
    <t>DT31jd02RRMA</t>
  </si>
  <si>
    <t>1ZJ74J529038353293</t>
  </si>
  <si>
    <t>B0CZ5NY787</t>
  </si>
  <si>
    <t>AL-KS-FRWS-W2191-17GB-8L5HH</t>
  </si>
  <si>
    <t>Fuel Rider Set of 4 Gloss Black ABS Wheel Simulators Compatible with 03-03 RAM 3500 8 Lug, 5 Hand Holes, Full Set Wheel Covers</t>
  </si>
  <si>
    <t>112-9664377-7705859</t>
  </si>
  <si>
    <t>Dp8F4xfgRRMA</t>
  </si>
  <si>
    <t>1ZJ74J529048447815</t>
  </si>
  <si>
    <t>113-9580328-2242626</t>
  </si>
  <si>
    <t>Djf0w1fRRRMA</t>
  </si>
  <si>
    <t>1ZJ74J529051718070</t>
  </si>
  <si>
    <t>111-6831609-8228263</t>
  </si>
  <si>
    <t>DK66wcfvRRMA</t>
  </si>
  <si>
    <t>1ZJ74J529051923080</t>
  </si>
  <si>
    <t>OxGord 15 inch Silver Snap-On Hubcaps with Directional 5 Spoke Compatible with 2010-2014 Toyota Prius Standard Steel Wheel Covers</t>
  </si>
  <si>
    <t>112-6396937-9353029</t>
  </si>
  <si>
    <t>DHMNB2ftRRMA</t>
  </si>
  <si>
    <t>1ZJ74J529050875241</t>
  </si>
  <si>
    <t>111-2673032-0125804</t>
  </si>
  <si>
    <t>DKtY9WfRRRMA</t>
  </si>
  <si>
    <t>1ZJ74J529049504439</t>
  </si>
  <si>
    <t>114-2732535-3637853</t>
  </si>
  <si>
    <t>DH4dHBfwRRMA</t>
  </si>
  <si>
    <t>1ZJ74J529047487444</t>
  </si>
  <si>
    <t>112-1858616-8181034</t>
  </si>
  <si>
    <t>Dh0HwcfvRRMA</t>
  </si>
  <si>
    <t>1ZJ74J529051700007</t>
  </si>
  <si>
    <t>Several of the clamps are broken. Therefore, will not stay on rim.</t>
  </si>
  <si>
    <t>113-3091986-9769000</t>
  </si>
  <si>
    <t>Ds7LBHfQRRMA</t>
  </si>
  <si>
    <t>1ZJ74J529051009836</t>
  </si>
  <si>
    <t>113-4691756-2965847</t>
  </si>
  <si>
    <t>DBtf9XfDRRMA</t>
  </si>
  <si>
    <t>1ZJ74J529049508168</t>
  </si>
  <si>
    <t>113-8095264-7167425</t>
  </si>
  <si>
    <t>DWlhHpf2RRMA</t>
  </si>
  <si>
    <t>1ZJ74J529046737630</t>
  </si>
  <si>
    <t>I have a 2012 Honda Odyssey. The description stated that it would fit my wheels. They did not. Not even close. I only removed one from the box, then placed it back in with the other three.</t>
  </si>
  <si>
    <t>114-0758318-7957040</t>
  </si>
  <si>
    <t>111-5029479-1502640</t>
  </si>
  <si>
    <t>D26ZB3fBRRMA</t>
  </si>
  <si>
    <t>1ZJ74J529050613498</t>
  </si>
  <si>
    <t>112-9683349-6552234</t>
  </si>
  <si>
    <t>D4YQHcfBRRMA</t>
  </si>
  <si>
    <t>1ZJ74J529046700786</t>
  </si>
  <si>
    <t>OxGord 17 inch Silver Bolt-On Hubcaps with 5 Split Spoke Compatible with 2011-2014 Dodge Avenger Standard Steel Wheel Covers</t>
  </si>
  <si>
    <t>113-6430047-5239406</t>
  </si>
  <si>
    <t>DttwHdfNRRMA</t>
  </si>
  <si>
    <t>1ZJ74J529047072507</t>
  </si>
  <si>
    <t>111-0347005-5447478</t>
  </si>
  <si>
    <t>DFnnHjfKRRMA</t>
  </si>
  <si>
    <t>1ZJ74J529046381952</t>
  </si>
  <si>
    <t xml:space="preserve">Too flimsy
</t>
  </si>
  <si>
    <t>114-2498008-3268203</t>
  </si>
  <si>
    <t>DsD897fdRRMA</t>
  </si>
  <si>
    <t>1ZJ74J529049691102</t>
  </si>
  <si>
    <t>114-3451055-6421854</t>
  </si>
  <si>
    <t>DqFc4pfHRRMA</t>
  </si>
  <si>
    <t>1ZJ74J529048621715</t>
  </si>
  <si>
    <t>112-3157754-6928253</t>
  </si>
  <si>
    <t>Dj0pHgfJRRMA</t>
  </si>
  <si>
    <t>1ZJ74J529046632627</t>
  </si>
  <si>
    <t>111-7969912-8074661</t>
  </si>
  <si>
    <t>Dtfh9vfJRRMA</t>
  </si>
  <si>
    <t>1ZJ74J529049132439</t>
  </si>
  <si>
    <t>Box was fine. The hub caps were broken inside the box.</t>
  </si>
  <si>
    <t>113-3911691-2477017</t>
  </si>
  <si>
    <t>DtgHbXfJRRMA</t>
  </si>
  <si>
    <t>1ZJ74J529045869080</t>
  </si>
  <si>
    <t>These wheel covers are far too fake looking for my wife to approve on her car.</t>
  </si>
  <si>
    <t>112-3438571-6096259</t>
  </si>
  <si>
    <t>DWc49tflRRMA</t>
  </si>
  <si>
    <t>1ZJ74J529049260096</t>
  </si>
  <si>
    <t>113-5518038-0174615</t>
  </si>
  <si>
    <t>DHV9y4ffRRMA</t>
  </si>
  <si>
    <t>1ZJ74J529053318061</t>
  </si>
  <si>
    <t>111-2625442-0671401</t>
  </si>
  <si>
    <t>DHT7HRfWRRMA</t>
  </si>
  <si>
    <t>1ZJ74J529046818481</t>
  </si>
  <si>
    <t>114-2041030-4597801</t>
  </si>
  <si>
    <t>DB2nB3ffRRMA</t>
  </si>
  <si>
    <t>1ZJ74J529050867107</t>
  </si>
  <si>
    <t>Wrong item not what I order</t>
  </si>
  <si>
    <t>114-0978554-1999442</t>
  </si>
  <si>
    <t>Drz94WfvRRMA</t>
  </si>
  <si>
    <t>1ZJ74J529048091851</t>
  </si>
  <si>
    <t>Product does not fit 2008 Chevrolet HHR</t>
  </si>
  <si>
    <t>114-8782100-1161815</t>
  </si>
  <si>
    <t>DQCqwzfJRRMA</t>
  </si>
  <si>
    <t>1ZJ74J529051751293</t>
  </si>
  <si>
    <t>111-3287033-6212236</t>
  </si>
  <si>
    <t>Dfhvbbf0RRMA</t>
  </si>
  <si>
    <t>1ZJ74J529045551798</t>
  </si>
  <si>
    <t>114-4206068-8459456</t>
  </si>
  <si>
    <t>D832ygfzRRMA</t>
  </si>
  <si>
    <t>1ZJ74J529053604724</t>
  </si>
  <si>
    <t>B07B44PY6W</t>
  </si>
  <si>
    <t>AL-KS-WCWS-2336-16CH</t>
  </si>
  <si>
    <t>OxGord 17 inch Wheel Skins for 2007-2011 Honda CR-V (Set of 4) Impostor Wheel Covers for 17 inch Chrome ABS Wheels- Auto Tire Replacement Exterior Cap Cover</t>
  </si>
  <si>
    <t>114-8051599-5108240</t>
  </si>
  <si>
    <t>DxGYByfMRRMA</t>
  </si>
  <si>
    <t>1ZJ74J529050324149</t>
  </si>
  <si>
    <t>112-3745062-5939446</t>
  </si>
  <si>
    <t>D418HXf3RRMA</t>
  </si>
  <si>
    <t>1ZJ74J529047315950</t>
  </si>
  <si>
    <t>112-0928921-1373036</t>
  </si>
  <si>
    <t>D4Rd4ff4RRMA</t>
  </si>
  <si>
    <t>1ZJ74J529047757607</t>
  </si>
  <si>
    <t>B07B9FKPV4</t>
  </si>
  <si>
    <t>AL-KS-WCWS-8069-17CH</t>
  </si>
  <si>
    <t>OxGord 17 inch Wheel Skins for 2001-2013 Chevy Avalanche (Set of 4) Impostor Wheel Covers for 17 inch Chrome ABS Wheels- Auto Tire Replacement Exterior Cap Cover</t>
  </si>
  <si>
    <t>114-6312459-4588207</t>
  </si>
  <si>
    <t>DxTS9tf4RRMA</t>
  </si>
  <si>
    <t>1ZJ74J529049260792</t>
  </si>
  <si>
    <t>113-1574187-6925843</t>
  </si>
  <si>
    <t>DKrBH1fWRRMA</t>
  </si>
  <si>
    <t>1ZJ74J529046512140</t>
  </si>
  <si>
    <t>113-6649671-7324251</t>
  </si>
  <si>
    <t>D2J79SfbRRMA</t>
  </si>
  <si>
    <t>1ZJ74J529048961198</t>
  </si>
  <si>
    <t>16 inch Hubcaps Best for 2008-2012 Honda Accord - (Set of 4) Wheel Covers 16in Hub Caps Silver Rim Cover - Car Accessories for 16 inch Wheels - Snap On Hubcap, Auto Tire Replacement Exterior Cap</t>
  </si>
  <si>
    <t>111-9974989-2053861</t>
  </si>
  <si>
    <t>D437wHfQRRMA</t>
  </si>
  <si>
    <t>1ZJ74J529052344043</t>
  </si>
  <si>
    <t>B07KBFZLTJ</t>
  </si>
  <si>
    <t>AL-KS-WCTR-14-CH</t>
  </si>
  <si>
    <t>OxGord Beauty Trim Rings for 14 inch Rally Wheels 1 1/2 inch Deep Chrome Plated Steel with 360 Degrees Saw Tooth Clip Retention</t>
  </si>
  <si>
    <t>112-8620030-7875440</t>
  </si>
  <si>
    <t>DKSx4rfxRRMA</t>
  </si>
  <si>
    <t>1ZJ74J529048740926</t>
  </si>
  <si>
    <t>112-1630953-9185042</t>
  </si>
  <si>
    <t>DZnl4XfZRRMA</t>
  </si>
  <si>
    <t>1ZJ74J529047733070</t>
  </si>
  <si>
    <t>113-0025533-2604254</t>
  </si>
  <si>
    <t>Dr5dbbfQRRMA</t>
  </si>
  <si>
    <t>1ZJ74J529046190917</t>
  </si>
  <si>
    <t>113-4817250-7715408</t>
  </si>
  <si>
    <t>DkWzyLfnRRMA</t>
  </si>
  <si>
    <t>1ZJ74J529053184858</t>
  </si>
  <si>
    <t>113-5530290-5034656</t>
  </si>
  <si>
    <t>DT7FBGfpRRMA</t>
  </si>
  <si>
    <t>1ZJ74J529051025318</t>
  </si>
  <si>
    <t>113-9456046-4487451</t>
  </si>
  <si>
    <t>DYBjyqfQRRMA</t>
  </si>
  <si>
    <t>1ZJ74J529053378069</t>
  </si>
  <si>
    <t>113-0449158-9679430</t>
  </si>
  <si>
    <t>D4Yq9Zf9RRMA</t>
  </si>
  <si>
    <t>1ZJ74J529049175170</t>
  </si>
  <si>
    <t>111-5784031-9534622</t>
  </si>
  <si>
    <t>Dqq046f4RRMA</t>
  </si>
  <si>
    <t>1ZJ74J529047691866</t>
  </si>
  <si>
    <t>113-9107997-9205835</t>
  </si>
  <si>
    <t>DZHLbdfLRRMA</t>
  </si>
  <si>
    <t>1ZJ74J529045448347</t>
  </si>
  <si>
    <t>B0BTSCJCF5</t>
  </si>
  <si>
    <t>AL-KS-WCHC-61172-16CC</t>
  </si>
  <si>
    <t>OxGord 16 inch Chrome &amp; Charcoal Snap-On Hubcaps Compatible with Select Toyota Corolla 14-16 S 2016 Special Edition 17-19 L SE XLE, XSE</t>
  </si>
  <si>
    <t>There are scratches in the chrome on one of the hub caps.</t>
  </si>
  <si>
    <t>114-8927059-0889011</t>
  </si>
  <si>
    <t>DfQzBtfrRRMA</t>
  </si>
  <si>
    <t>1ZJ74J529050651689</t>
  </si>
  <si>
    <t>113-4682021-1192210</t>
  </si>
  <si>
    <t>DHtPbBf3RRMA</t>
  </si>
  <si>
    <t>1ZJ74J529045746524</t>
  </si>
  <si>
    <t>112-0135208-3445824</t>
  </si>
  <si>
    <t>Djfgbyf7RRMA</t>
  </si>
  <si>
    <t>1ZJ74J529045355205</t>
  </si>
  <si>
    <t>113-2733949-1161046</t>
  </si>
  <si>
    <t>D50cwSfGRRMA</t>
  </si>
  <si>
    <t>1ZJ74J529051708198</t>
  </si>
  <si>
    <t>B0BWFP8PF9</t>
  </si>
  <si>
    <t>AL-KS-FRGC-DODU-1420-435BLK</t>
  </si>
  <si>
    <t>Fuel Rider Grille Inserts Overlay Trim for Front Grille Compatible with 2014-2022 Dodge Durango - Gloss Black ABS Snap On Full Cross Hair with Mesh Inserts - Car Truck Accessories</t>
  </si>
  <si>
    <t>111-6175149-0062662</t>
  </si>
  <si>
    <t>Dsr4yyfHRRMA</t>
  </si>
  <si>
    <t>1ZJ74J529052745833</t>
  </si>
  <si>
    <t>B0C9R7TWJW</t>
  </si>
  <si>
    <t>AL-KS-FRHC-2022KISO-16GB5DS</t>
  </si>
  <si>
    <t>Fuel Rider 16 inch Gloss Black ABS Hubcap Wheel Covers Compatible with 2020-2022 Kia Soul (Set of 4) Wheelcovers for 16 inch Standard Steel Wheels- Auto Tire Cover Replacement Exterior Cap Cover</t>
  </si>
  <si>
    <t>DYJvy2f6RRMA</t>
  </si>
  <si>
    <t>1ZJ74J529052740070</t>
  </si>
  <si>
    <t>113-0219995-5051467</t>
  </si>
  <si>
    <t>DYQp90f6RRMA</t>
  </si>
  <si>
    <t>1ZJ74J529049371930</t>
  </si>
  <si>
    <t>Fuel Rider 16 inch Silver ABS Hubcap Wheel Covers Compatible with 2006-2011 Chevrolet HHR (Set of 4) Wheelcovers for 16 inch Standard Steel Wheels- Auto Tire Cover Replacement Exterior Cap Cover</t>
  </si>
  <si>
    <t>111-5939524-9091441</t>
  </si>
  <si>
    <t>D7k09TfQRRMA</t>
  </si>
  <si>
    <t>1ZJ74J529049803768</t>
  </si>
  <si>
    <t>B0C9R95FJK</t>
  </si>
  <si>
    <t>AL-KS-FRHC-1114DOAV-17SL5SS</t>
  </si>
  <si>
    <t>Fuel Rider 17 inch Silver ABS Hubcap Wheel Covers Compatible with 2011-2014 Dodge Avenger (Set of 4) Wheelcovers for 17 inch Standard Steel Wheels- Auto Tire Cover Replacement Exterior Cap Cover</t>
  </si>
  <si>
    <t>113-9610074-4948231</t>
  </si>
  <si>
    <t>DLFsHZfmRRMA</t>
  </si>
  <si>
    <t>B0CHK838N9</t>
  </si>
  <si>
    <t>AL-KS-FRWS-5650-20CH-6S</t>
  </si>
  <si>
    <t>Fuel Rider Set of Four (4) 20 inches Chrome ABS Wheel Skins Impostors Wheel Covers Compatible with 2014-2018 GMC Sierra 1500 Wheels- Auto Tire Replacement Cap Cover</t>
  </si>
  <si>
    <t>114-5854367-9709001</t>
  </si>
  <si>
    <t>Ds4x9TfrRRMA</t>
  </si>
  <si>
    <t>1ZJ74J529049902688</t>
  </si>
  <si>
    <t>114-8799083-8122666</t>
  </si>
  <si>
    <t>D8Txw1frRRMA</t>
  </si>
  <si>
    <t>1ZJ74J529051868088</t>
  </si>
  <si>
    <t>B0CHKJ5TFK</t>
  </si>
  <si>
    <t>AL-KS-FRWS-53910S9120-18GB-5SS</t>
  </si>
  <si>
    <t>Fuel Rider Set of Four (4) 18 inches Gloss Black ABS Wheel Skins Impostors Wheel Covers Compatible with 2020-2022 KIA Telluride Wheels- Auto Tire Replacement Cap Cover</t>
  </si>
  <si>
    <t>112-0711855-3016219</t>
  </si>
  <si>
    <t>DTjfb3fzRRMA</t>
  </si>
  <si>
    <t>1ZJ74J529045979229</t>
  </si>
  <si>
    <t>DZQVbLfwRRMA</t>
  </si>
  <si>
    <t>1ZJ74J529045592860</t>
  </si>
  <si>
    <t>112-1537983-3565062</t>
  </si>
  <si>
    <t>Dk1Pw3fQRRMA</t>
  </si>
  <si>
    <t>1ZJ74J529052250868</t>
  </si>
  <si>
    <t>It says it fits a 2020 ford explorer and it does not. It needs to be more accurate in the description on what vehicle it fits</t>
  </si>
  <si>
    <t>112-3691625-2013823</t>
  </si>
  <si>
    <t>DhfXwqfsRRMA</t>
  </si>
  <si>
    <t>1ZJ74J529051725197</t>
  </si>
  <si>
    <t>112-3975448-8433808</t>
  </si>
  <si>
    <t>Dr9M4hfQRRMA</t>
  </si>
  <si>
    <t>1ZJ74J529048186839</t>
  </si>
  <si>
    <t>114-9032739-0855406</t>
  </si>
  <si>
    <t>DBgYBYfFRRMA</t>
  </si>
  <si>
    <t>1ZJ74J529050927499</t>
  </si>
  <si>
    <t>114-4909151-0098612</t>
  </si>
  <si>
    <t>DrWVbPflRRMA</t>
  </si>
  <si>
    <t>1ZJ74J529045652134</t>
  </si>
  <si>
    <t>B0F8FPL8RC</t>
  </si>
  <si>
    <t>AL-KS-FRHC-SWUN10USPK-15GBK</t>
  </si>
  <si>
    <t>Fuel Rider Set of 4 Semi-Universal 15 inch Gloss Black Snap-On Hubcaps with 10 Spokes</t>
  </si>
  <si>
    <t>114-6295438-8281841</t>
  </si>
  <si>
    <t>D5bw2KfFRRMA</t>
  </si>
  <si>
    <t>1ZJ74J529058608560</t>
  </si>
  <si>
    <t>112-8967791-1045868</t>
  </si>
  <si>
    <t>DKHNFdfCRRMA</t>
  </si>
  <si>
    <t>1ZJ74J529057017165</t>
  </si>
  <si>
    <t>112-4593467-1293828</t>
  </si>
  <si>
    <t>D2nqDJfQRRMA</t>
  </si>
  <si>
    <t>1ZJ74J529055313473</t>
  </si>
  <si>
    <t>112-2280622-5946633</t>
  </si>
  <si>
    <t>DFNZvxfWRRMA</t>
  </si>
  <si>
    <t>1ZJ74J529063208394</t>
  </si>
  <si>
    <t>B00TQ07IOQ</t>
  </si>
  <si>
    <t>AL-KS-FMCP01A-BK</t>
  </si>
  <si>
    <t>OxGord Luxe Carpet-Floor-Mats Set for Car - Rubber-Lined All-Weather Heavy-Duty Protection for All Vehicles - 4 Piece, Black</t>
  </si>
  <si>
    <t>111-4224114-6168258</t>
  </si>
  <si>
    <t>DK1mzKfhRRMA</t>
  </si>
  <si>
    <t>1ZJ74J529061660603</t>
  </si>
  <si>
    <t>112-9289764-3262607</t>
  </si>
  <si>
    <t>DjkKDRfcRRMA</t>
  </si>
  <si>
    <t>1ZJ74J529056360303</t>
  </si>
  <si>
    <t>114-2271948-7553852</t>
  </si>
  <si>
    <t>DFzvvJfFRRMA</t>
  </si>
  <si>
    <t>1ZJ74J529062509909</t>
  </si>
  <si>
    <t>114-8234854-9511461</t>
  </si>
  <si>
    <t>DrPgzsfwRRMA</t>
  </si>
  <si>
    <t>1ZJ74J529060734320</t>
  </si>
  <si>
    <t>112-0476337-2259425</t>
  </si>
  <si>
    <t>DjwM2YftRRMA</t>
  </si>
  <si>
    <t>1ZJ74J529058563966</t>
  </si>
  <si>
    <t>112-2395195-1244203</t>
  </si>
  <si>
    <t>DQHL2BfXRRMA</t>
  </si>
  <si>
    <t>1ZJ74J529058330707</t>
  </si>
  <si>
    <t>112-4385399-5864220</t>
  </si>
  <si>
    <t>D7h3DHfHRRMA</t>
  </si>
  <si>
    <t>1ZJ74J529055832448</t>
  </si>
  <si>
    <t>OxGord 16 inch Chrome Snap-On Hubcaps with 24 Hole Compatible with 1998-2002 Ford Crown Victoria Standard Steel Wheel Covers</t>
  </si>
  <si>
    <t>111-3946849-8217031</t>
  </si>
  <si>
    <t>DsQSvsfHRRMA</t>
  </si>
  <si>
    <t>1ZJ74J529062583196</t>
  </si>
  <si>
    <t>OxGord 15 inch Silver Snap-On Hubcaps with 7 Spoke Compatible with 2003-2005 Honda Civic Standard Steel Wheel Covers</t>
  </si>
  <si>
    <t>Buyer Comment:
Hahah</t>
  </si>
  <si>
    <t>114-8176869-1342641</t>
  </si>
  <si>
    <t>Dx5pY4f0RRMA</t>
  </si>
  <si>
    <t>1ZJ74J529055134112</t>
  </si>
  <si>
    <t>B014Q4ZX4I</t>
  </si>
  <si>
    <t>AL-KS-WCCC-1285-CH</t>
  </si>
  <si>
    <t>OxGord Center Caps Compatible with 97-04 Ford F-150, Expedition, 98-03 Navigator - Snaps Over Factory Aluminum &amp; Steel Wheel with 12/14mm 5-Lug Bolts - OEM Replacement YL34-1A096-DA (4 Pack) - Chrome</t>
  </si>
  <si>
    <t>112-2779193-2897021</t>
  </si>
  <si>
    <t>D4Vk2Mf2RRMA</t>
  </si>
  <si>
    <t>111-7570200-1706602</t>
  </si>
  <si>
    <t>D483zbfvRRMA</t>
  </si>
  <si>
    <t>OxGord 17" Dually Wheel Simulators Compatible with 2003-2025 Dodge Ram 3500 - Stainless Steel, 4 Pack - Truck Accessories Best for Pick-up Trucks</t>
  </si>
  <si>
    <t>Buyer Comment:
The sizes are way off and it is not the correct product</t>
  </si>
  <si>
    <t>D5XgFMfpRRMA</t>
  </si>
  <si>
    <t>112-2082606-2385846</t>
  </si>
  <si>
    <t>Dj50vbf4RRMA</t>
  </si>
  <si>
    <t>1ZJ74J529063205824</t>
  </si>
  <si>
    <t>111-2179279-8384232</t>
  </si>
  <si>
    <t>DQ0BvSfQRRMA</t>
  </si>
  <si>
    <t>1ZJ74J529062306888</t>
  </si>
  <si>
    <t>112-0308538-3201041</t>
  </si>
  <si>
    <t>DjgWzffTRRMA</t>
  </si>
  <si>
    <t>1ZJ74J529061548459</t>
  </si>
  <si>
    <t>114-7841833-8484245</t>
  </si>
  <si>
    <t>DQtZztf9RRMA</t>
  </si>
  <si>
    <t>1ZJ74J529061412621</t>
  </si>
  <si>
    <t>113-7428371-8793862</t>
  </si>
  <si>
    <t>Ds5sVFfNRRMA</t>
  </si>
  <si>
    <t>1ZJ74J529060603453</t>
  </si>
  <si>
    <t>112-3984011-0743463</t>
  </si>
  <si>
    <t>DpF0VjfgRRMA</t>
  </si>
  <si>
    <t>1ZJ74J529060513381</t>
  </si>
  <si>
    <t>111-2628496-8702619</t>
  </si>
  <si>
    <t>DBCrVhfQRRMA</t>
  </si>
  <si>
    <t>1ZJ74J529059674906</t>
  </si>
  <si>
    <t>Buyer Comment:
According the website description, these were supposed to fit and work for my 2014 Honda Oddyssey minivan but they do not. My mechanic was unable to install them because the lugs did not fit properly.</t>
  </si>
  <si>
    <t>114-0297837-8688207</t>
  </si>
  <si>
    <t>DvzDD6fFRRMA</t>
  </si>
  <si>
    <t>1ZJ74J529055804835</t>
  </si>
  <si>
    <t>113-3753792-7993809</t>
  </si>
  <si>
    <t>DxFnvMf0RRMA</t>
  </si>
  <si>
    <t>9302010949890172562072</t>
  </si>
  <si>
    <t>AL-KS-WCCC-05129-CH</t>
  </si>
  <si>
    <t>112-4508099-4835457</t>
  </si>
  <si>
    <t>Dsk7F1f1RRMA</t>
  </si>
  <si>
    <t>9302010949890170137906</t>
  </si>
  <si>
    <t>113-6468059-0205036</t>
  </si>
  <si>
    <t>DQLGcsfZRRMA</t>
  </si>
  <si>
    <t>1ZJ74J529063662161</t>
  </si>
  <si>
    <t>113-1599665-2923463</t>
  </si>
  <si>
    <t>DTJGzRf8RRMA</t>
  </si>
  <si>
    <t>1ZJ74J529060912119</t>
  </si>
  <si>
    <t>Buyer Comment:
This item sent was not the same as I ordered</t>
  </si>
  <si>
    <t>112-1645181-0705057</t>
  </si>
  <si>
    <t>DY45VGfVRRMA</t>
  </si>
  <si>
    <t>1ZJ74J529060549450</t>
  </si>
  <si>
    <t>B01C3HNFWW</t>
  </si>
  <si>
    <t>AL-KS-WCHC-55565-16SL</t>
  </si>
  <si>
    <t>16 inch Hubcaps Best for 2011-2014 Hyundai Sonata - (Set of 4) Wheel Covers 16in Hub Caps Silver Rim Cover - Car Accessories for 16 inch Wheels - Snap On Hubcap, Auto Tire Replacement Exterior Cap</t>
  </si>
  <si>
    <t>111-5347836-6377057</t>
  </si>
  <si>
    <t>DTcxz0fDRRMA</t>
  </si>
  <si>
    <t>1ZJ74J529061172319</t>
  </si>
  <si>
    <t>Buyer Comment:
These are not bolt. they are snap on and they didn't even fit right to begin with</t>
  </si>
  <si>
    <t>114-1042203-1745851</t>
  </si>
  <si>
    <t>DhScDDf3RRMA</t>
  </si>
  <si>
    <t>1ZJ74J529056530692</t>
  </si>
  <si>
    <t>112-3391277-5286634</t>
  </si>
  <si>
    <t>B01N1595P1</t>
  </si>
  <si>
    <t>AL-EB-CCLK-BCGIO-002-WO</t>
  </si>
  <si>
    <t>Center Console Lid Kit for Select GM Vehicles - Replaces 25998847, 25998844, 25998838 - Shell Only</t>
  </si>
  <si>
    <t>Buyer Comment:
It doesn’t fit my truck</t>
  </si>
  <si>
    <t>113-7212540-9355468</t>
  </si>
  <si>
    <t>Buyer Comment:
Literally a screw that would hold the license plate to the bracket itself is already broken out. Thats why I even bought this one to REPLACE the one original to the car.</t>
  </si>
  <si>
    <t>113-5432361-6105029</t>
  </si>
  <si>
    <t>DLDvFDfYRRMA</t>
  </si>
  <si>
    <t>1ZJ74J529057472708</t>
  </si>
  <si>
    <t>114-7508382-5867433</t>
  </si>
  <si>
    <t>DLVDDQfzRRMA</t>
  </si>
  <si>
    <t>1ZJ74J529056068773</t>
  </si>
  <si>
    <t>111-7877671-0925002</t>
  </si>
  <si>
    <t>DKMRY6fGRRMA</t>
  </si>
  <si>
    <t>1ZJ74J529054719877</t>
  </si>
  <si>
    <t>114-7395541-1675433</t>
  </si>
  <si>
    <t>D8XLy5fqRRMA</t>
  </si>
  <si>
    <t>1ZJ74J529053824415</t>
  </si>
  <si>
    <t>113-1178229-0277860</t>
  </si>
  <si>
    <t>DtRV2pfvRRMA</t>
  </si>
  <si>
    <t>1ZJ74J529057972294</t>
  </si>
  <si>
    <t>114-3699384-0080262</t>
  </si>
  <si>
    <t>DWSBvdfqRRMA</t>
  </si>
  <si>
    <t>1ZJ74J529063262852</t>
  </si>
  <si>
    <t>113-1475240-6020236</t>
  </si>
  <si>
    <t>DKPsDsffRRMA</t>
  </si>
  <si>
    <t>1ZJ74J529055270608</t>
  </si>
  <si>
    <t>111-4779157-0201834</t>
  </si>
  <si>
    <t>DqVtV4fBRRMA</t>
  </si>
  <si>
    <t>1ZJ74J529060130062</t>
  </si>
  <si>
    <t>113-4300820-4682617</t>
  </si>
  <si>
    <t>DYvp2Mf8RRMA</t>
  </si>
  <si>
    <t>1ZJ74J529059208375</t>
  </si>
  <si>
    <t>Dkvy28fpRRMA</t>
  </si>
  <si>
    <t>1ZJ74J529059200604</t>
  </si>
  <si>
    <t>114-9045056-5501014</t>
  </si>
  <si>
    <t>DBnfYlfvRRMA</t>
  </si>
  <si>
    <t>1ZJ74J529053904632</t>
  </si>
  <si>
    <t>B075KYQ2Y1</t>
  </si>
  <si>
    <t>AL-KS-WCTR-15-D25-SS</t>
  </si>
  <si>
    <t>OxGord Beauty Trim Rings for 15 inch Rally Wheels 2 1/2 inch Deep, Rally Polished Stainless Steel with 360 Degrees Saw Tooth Clip Retention</t>
  </si>
  <si>
    <t>111-2102766-7705827</t>
  </si>
  <si>
    <t>DkhmV7fvRRMA</t>
  </si>
  <si>
    <t>1ZJ74J529059876322</t>
  </si>
  <si>
    <t>114-9488040-3267457</t>
  </si>
  <si>
    <t>Ds3Rv0fcRRMA</t>
  </si>
  <si>
    <t>1ZJ74J529063083402</t>
  </si>
  <si>
    <t>113-8503469-2448209</t>
  </si>
  <si>
    <t>D8n7zGftRRMA</t>
  </si>
  <si>
    <t>1ZJ74J529060801686</t>
  </si>
  <si>
    <t>112-5273914-6539440</t>
  </si>
  <si>
    <t>D8LbYnfHRRMA</t>
  </si>
  <si>
    <t>1ZJ74J529054143159</t>
  </si>
  <si>
    <t>112-8905189-7330661</t>
  </si>
  <si>
    <t>DtRHv7fxRRMA</t>
  </si>
  <si>
    <t>1ZJ74J529062099755</t>
  </si>
  <si>
    <t>112-3948130-0517017</t>
  </si>
  <si>
    <t>DxzxFwfLRRMA</t>
  </si>
  <si>
    <t>1ZJ74J529057081498</t>
  </si>
  <si>
    <t>114-5598098-0736214</t>
  </si>
  <si>
    <t>DkyxVRfwRRMA</t>
  </si>
  <si>
    <t>1ZJ74J529060527241</t>
  </si>
  <si>
    <t>Buyer Comment:
Said in Amazon add, product would fit a 2002-2009 Dodge Ram 2500. Once product arrived, instructions in package says it fits 2003-2009 Dodge Ram 2500. Tried to install item, but could see wrong size!</t>
  </si>
  <si>
    <t>113-5374209-9227444</t>
  </si>
  <si>
    <t>DTWd23f3RRMA</t>
  </si>
  <si>
    <t>1ZJ74J529058532374</t>
  </si>
  <si>
    <t>Buyer Comment:
I ordered 14” beauty rings and received 18” Impala hubcaps instead.</t>
  </si>
  <si>
    <t>112-8092281-7325814</t>
  </si>
  <si>
    <t>DsJ0YqfrRRMA</t>
  </si>
  <si>
    <t>1ZJ74J529054013521</t>
  </si>
  <si>
    <t>111-6733216-9048237</t>
  </si>
  <si>
    <t>DvL4cKfXRRMA</t>
  </si>
  <si>
    <t>1ZJ74J529063665944</t>
  </si>
  <si>
    <t>111-3491135-8826604</t>
  </si>
  <si>
    <t>DL1xVxfcRRMA</t>
  </si>
  <si>
    <t>1ZJ74J529060366899</t>
  </si>
  <si>
    <t>111-4796425-6117802</t>
  </si>
  <si>
    <t>114-5841939-1691447</t>
  </si>
  <si>
    <t>DTRgzffyRRMA</t>
  </si>
  <si>
    <t>1ZJ74J529060845308</t>
  </si>
  <si>
    <t>114-1083747-0305031</t>
  </si>
  <si>
    <t>DtVp2RfmRRMA</t>
  </si>
  <si>
    <t>1ZJ74J529058674631</t>
  </si>
  <si>
    <t>Buyer Comment:
This had a video on ow to replace them, very easy, snap one off, and put the other on in 5 minutes. but, I have to remove the tires to install new hub caps. I would have to jack the car up to do this.</t>
  </si>
  <si>
    <t>112-8381259-1163460</t>
  </si>
  <si>
    <t>DWd5YKfNRRMA</t>
  </si>
  <si>
    <t>1ZJ74J529054061836</t>
  </si>
  <si>
    <t>114-6908517-3672206</t>
  </si>
  <si>
    <t>D5Ynzlf4RRMA</t>
  </si>
  <si>
    <t>1ZJ74J529061103938</t>
  </si>
  <si>
    <t>113-2590733-8321856</t>
  </si>
  <si>
    <t>Dv9wVqfrRRMA</t>
  </si>
  <si>
    <t>1ZJ74J529059967788</t>
  </si>
  <si>
    <t>B07BFKSNK6</t>
  </si>
  <si>
    <t>AL-KS-WCWS-68727-16CH</t>
  </si>
  <si>
    <t>OxGord Set of 4 15 inch Chrome ABS Wheel Skins Impostors Wheel Covers Compatible with 2003-2007 Subaru Forester Wheels- Auto Tire Replacement Cap Cover</t>
  </si>
  <si>
    <t>114-9896560-1146619</t>
  </si>
  <si>
    <t>DjZdVFfWRRMA</t>
  </si>
  <si>
    <t>1ZJ74J529060062350</t>
  </si>
  <si>
    <t>B07KJW8JMC</t>
  </si>
  <si>
    <t>AL-KS-WCWS-3859-18CH</t>
  </si>
  <si>
    <t>OxGord 18 inch Wheel Skins for 2011-2017 Ford Explorer (Set of 4) Impostor Wheel Covers for 18 inch Chrome ABS Wheels- Auto Tire Replacement Exterior Cap Cover</t>
  </si>
  <si>
    <t>filed</t>
  </si>
  <si>
    <t>Buyer Comment:
Took out the box and it was damaged and need to be replaced</t>
  </si>
  <si>
    <t>112-9769676-7313812</t>
  </si>
  <si>
    <t>DT0KcSf8RRMA</t>
  </si>
  <si>
    <t>1ZJ74J529063696205</t>
  </si>
  <si>
    <t>Buyer Comment:
These are not the hubcaps I ordered and I want a refund .</t>
  </si>
  <si>
    <t>111-1930585-0974616</t>
  </si>
  <si>
    <t>DYdj2SfpRRMA</t>
  </si>
  <si>
    <t>1ZJ74J529058093134</t>
  </si>
  <si>
    <t>112-3507440-3675459</t>
  </si>
  <si>
    <t>D54YV9fFRRMA</t>
  </si>
  <si>
    <t>1ZJ74J529060550411</t>
  </si>
  <si>
    <t>111-9191398-4989020</t>
  </si>
  <si>
    <t>D89CzHfrRRMA</t>
  </si>
  <si>
    <t>1ZJ74J529061310008</t>
  </si>
  <si>
    <t>114-8196302-8726662</t>
  </si>
  <si>
    <t>DHLM2JfFRRMA</t>
  </si>
  <si>
    <t>1ZJ74J529058161506</t>
  </si>
  <si>
    <t>D4QpD8f4RRMA</t>
  </si>
  <si>
    <t>1ZJ74J529055888004</t>
  </si>
  <si>
    <t>Buyer Comment:
One of the rims were applied to the tire but did not fit</t>
  </si>
  <si>
    <t>114-5249803-8662644</t>
  </si>
  <si>
    <t>DF9zz7fMRRMA</t>
  </si>
  <si>
    <t>1ZJ74J529061306773</t>
  </si>
  <si>
    <t>113-5853179-4737862</t>
  </si>
  <si>
    <t>D2LdV8fxRRMA</t>
  </si>
  <si>
    <t>1ZJ74J529059599328</t>
  </si>
  <si>
    <t>DWL3VPfrRRMA</t>
  </si>
  <si>
    <t>1ZJ74J529059597428</t>
  </si>
  <si>
    <t>114-4487502-5784216</t>
  </si>
  <si>
    <t>DT7pVSfXRRMA</t>
  </si>
  <si>
    <t>1ZJ74J529060357701</t>
  </si>
  <si>
    <t>112-1983225-7564226</t>
  </si>
  <si>
    <t>D879V3f6RRMA</t>
  </si>
  <si>
    <t>1ZJ74J529060348695</t>
  </si>
  <si>
    <t>112-2312563-8961018</t>
  </si>
  <si>
    <t>DBTJYVfJRRMA</t>
  </si>
  <si>
    <t>1ZJ74J529054367097</t>
  </si>
  <si>
    <t>112-1422992-9215419</t>
  </si>
  <si>
    <t>DQjKz5fZRRMA</t>
  </si>
  <si>
    <t>1ZJ74J529061683348</t>
  </si>
  <si>
    <t>114-4755244-5157854</t>
  </si>
  <si>
    <t>DBD8DbfkRRMA</t>
  </si>
  <si>
    <t>1ZJ74J529056226173</t>
  </si>
  <si>
    <t>114-4455607-6769027</t>
  </si>
  <si>
    <t>DTsC2NfSRRMA</t>
  </si>
  <si>
    <t>1ZJ74J529058119311</t>
  </si>
  <si>
    <t>Buyer Comment:
No es el products adecuado</t>
  </si>
  <si>
    <t>111-4896089-2092221</t>
  </si>
  <si>
    <t>DjCQcWfZRRMA</t>
  </si>
  <si>
    <t>1ZJ74J529063759254</t>
  </si>
  <si>
    <t>113-3574406-7322630</t>
  </si>
  <si>
    <t>Drrl2vfyRRMA</t>
  </si>
  <si>
    <t>1ZJ74J529058050260</t>
  </si>
  <si>
    <t>113-3009565-9573867</t>
  </si>
  <si>
    <t>DQQKvSf2RRMA</t>
  </si>
  <si>
    <t>1ZJ74J529062583801</t>
  </si>
  <si>
    <t>Buyer Comment:
Broken tabs</t>
  </si>
  <si>
    <t>114-7821539-8494626</t>
  </si>
  <si>
    <t>D5gnv3fJRRMA</t>
  </si>
  <si>
    <t>1ZJ74J529062871535</t>
  </si>
  <si>
    <t>Fuel Rider 17 inch Gloss Black ABS Hubcap Wheel Covers Compatible with 2017-2019 Ford Escape S (Set of 4) Wheelcovers for 17 inch Standard Steel Wheels- Auto Tire Cover Replacement Exterior Cap Cover</t>
  </si>
  <si>
    <t>Buyer Comment:
Products are damaged.</t>
  </si>
  <si>
    <t>111-9191373-1865004</t>
  </si>
  <si>
    <t>Drhxv0fzRRMA</t>
  </si>
  <si>
    <t>1ZJ74J529062542131</t>
  </si>
  <si>
    <t>B0C9R5KNPL</t>
  </si>
  <si>
    <t>AL-KS-FRHC-1318NIAL-16BK10S</t>
  </si>
  <si>
    <t>Fuel Rider 16" Hubcap Wheel Covers Compatible with 2013-2018 Nissan Altima, Fits Standard Steel Wheels Only, Polished Black</t>
  </si>
  <si>
    <t>112-3920082-4757053</t>
  </si>
  <si>
    <t>DWWX2CfQRRMA</t>
  </si>
  <si>
    <t>1ZJ74J529058526676</t>
  </si>
  <si>
    <t>113-2348356-3546657</t>
  </si>
  <si>
    <t>DZBmDQfsRRMA</t>
  </si>
  <si>
    <t>1ZJ74J529056154018</t>
  </si>
  <si>
    <t>113-7414057-5420253</t>
  </si>
  <si>
    <t>Df8NzJftRRMA</t>
  </si>
  <si>
    <t>1ZJ74J529061573350</t>
  </si>
  <si>
    <t>Fuel Rider 15 inch Silver ABS Hubcap Wheel Covers Compatible with 2003-2005 Honda Civic (Set of 4) Wheelcovers for 15 inch Standard Steel Wheels- Auto Tire Cover Replacement Exterior Cap Cover</t>
  </si>
  <si>
    <t>112-5759232-4205845</t>
  </si>
  <si>
    <t>DHMbDKfcRRMA</t>
  </si>
  <si>
    <t>1ZJ74J529056134236</t>
  </si>
  <si>
    <t>B0CHJ3K5L1</t>
  </si>
  <si>
    <t>AL-KS-FRWS-HC3Z1007B-18CH-12S</t>
  </si>
  <si>
    <t>Fuel Rider Set of Four (4) 18 inches Chrome ABS Wheel Skins Impostors Wheel Covers Compatible with 2017-2019 Ford F250 Wheels- Auto Tire Replacement Cap Cover</t>
  </si>
  <si>
    <t>113-1151005-9534608</t>
  </si>
  <si>
    <t>DxMXVSfZRRMA</t>
  </si>
  <si>
    <t>1ZJ74J529060209184</t>
  </si>
  <si>
    <t>B0CHJ3Y5BM</t>
  </si>
  <si>
    <t>AL-KS-FRWS-KS7Z1007F-17GB-5SS</t>
  </si>
  <si>
    <t>Fuel Rider Set of Four (4) 17 inches Gloss Black ABS Wheel Skins Impostors Wheel Covers Compatible with 2019-2020 Ford Fusion SE Wheels- Auto Tire Replacement Cap Cover</t>
  </si>
  <si>
    <t>112-3519509-8828222</t>
  </si>
  <si>
    <t>DjtD28flRRMA</t>
  </si>
  <si>
    <t>1ZJ74J529058646902</t>
  </si>
  <si>
    <t>112-0266110-3405879</t>
  </si>
  <si>
    <t>DthTY4fmRRMA</t>
  </si>
  <si>
    <t>1ZJ74J529054426684</t>
  </si>
  <si>
    <t>111-2055746-1460260</t>
  </si>
  <si>
    <t>DKh1FtfXRRMA</t>
  </si>
  <si>
    <t>1ZJ74J529057117799</t>
  </si>
  <si>
    <t>B0CHK71X2M</t>
  </si>
  <si>
    <t>AL-KS-FRWS-62752-18GB-6S</t>
  </si>
  <si>
    <t>Fuel Rider Set of Four (4) 18 inches Gloss Black ABS Wheel Skins Impostors Wheel Covers Compatible with 2016-2019 Nissan Titan Wheels- Auto Tire Replacement Cap Cover</t>
  </si>
  <si>
    <t>Dph0FrfmRRMA</t>
  </si>
  <si>
    <t>1ZJ74J529057115237</t>
  </si>
  <si>
    <t>114-8842199-5874637</t>
  </si>
  <si>
    <t>DtG4DGfcRRMA</t>
  </si>
  <si>
    <t>1ZJ74J529055530416</t>
  </si>
  <si>
    <t>111-0843546-7450649</t>
  </si>
  <si>
    <t>DFrm28fPRRMA</t>
  </si>
  <si>
    <t>1ZJ74J529058062908</t>
  </si>
  <si>
    <t>111-8447840-8110659</t>
  </si>
  <si>
    <t>D4SmVqfCRRMA</t>
  </si>
  <si>
    <t>1ZJ74J529060648745</t>
  </si>
  <si>
    <t>B0CHK94KP4</t>
  </si>
  <si>
    <t>AL-KS-FRWS-84428928-16GB-5SP</t>
  </si>
  <si>
    <t>Fuel Rider Set of Four (4) 16 inches Gloss Black ABS Wheel Skins Impostors Wheel Covers Compatible with 2019-2022 Chevrolet Malibu Wheels- Auto Tire Replacement Cap Cover</t>
  </si>
  <si>
    <t>Buyer Comment:
Wheels are broken</t>
  </si>
  <si>
    <t>114-2445593-6931443</t>
  </si>
  <si>
    <t>D4trFYfYRRMA</t>
  </si>
  <si>
    <t>1ZJ74J529057293938</t>
  </si>
  <si>
    <t>113-2098060-7087424</t>
  </si>
  <si>
    <t>DtLfDVfRRRMA</t>
  </si>
  <si>
    <t>1ZJ74J529055554258</t>
  </si>
  <si>
    <t>113-3073616-3052209</t>
  </si>
  <si>
    <t>DkK8DJfGRRMA</t>
  </si>
  <si>
    <t>1ZJ74J529056605290</t>
  </si>
  <si>
    <t>B0CHKK2QQ8</t>
  </si>
  <si>
    <t>AL-KS-FRWS-5833-17GB-5DS</t>
  </si>
  <si>
    <t>Fuel Rider Set of Four (4) 17 inches Gloss Black ABS Wheel Skins Impostors Wheel Covers Compatible with 2018-2022 GMC Terrain Wheels- Auto Tire Replacement Cap Cover</t>
  </si>
  <si>
    <t>111-4100545-1974665</t>
  </si>
  <si>
    <t>DYcZFMfxRRMA</t>
  </si>
  <si>
    <t>1ZJ74J529057030079</t>
  </si>
  <si>
    <t>B0CHKLKMKV</t>
  </si>
  <si>
    <t>AL-KS-FRWS-5629-18CH-10S</t>
  </si>
  <si>
    <t>Fuel Rider Set of Four (4) 18 inches Chrome ABS Wheel Skins Impostors Wheel Covers Compatible with 2013-2015 Chevrolet Camaro Wheels- Auto Tire Replacement Cap Cover</t>
  </si>
  <si>
    <t>Buyer Comment:
Because hub caps wrong size</t>
  </si>
  <si>
    <t>114-9938769-8856240</t>
  </si>
  <si>
    <t>D8XRvyf2RRMA</t>
  </si>
  <si>
    <t>1ZJ74J529063299920</t>
  </si>
  <si>
    <t>112-9696411-3725820</t>
  </si>
  <si>
    <t>DKbc2DfZRRMA</t>
  </si>
  <si>
    <t>1ZJ74J529058630535</t>
  </si>
  <si>
    <t>114-1884619-3737800</t>
  </si>
  <si>
    <t>DKMXD9fYRRMA</t>
  </si>
  <si>
    <t>1ZJ74J529056126825</t>
  </si>
  <si>
    <t>112-7458880-2983433</t>
  </si>
  <si>
    <t>DQhqvQfzRRMA</t>
  </si>
  <si>
    <t>1ZJ74J529062538502</t>
  </si>
  <si>
    <t>114-7286392-3657069</t>
  </si>
  <si>
    <t>DY8BvsfPRRMA</t>
  </si>
  <si>
    <t>1ZJ74J529062904820</t>
  </si>
  <si>
    <t>B0CHKQS32B</t>
  </si>
  <si>
    <t>AL-KS-FRWS-10043-18PB-5DS</t>
  </si>
  <si>
    <t>Fuel Rider Set of Four (4) 18 inches Polished Black Wheel Skins Impostors Wheel Covers Compatible with 2015-2018 Ford Edge Wheels- Auto Tire Replacement Cap Cover</t>
  </si>
  <si>
    <t>112-1651094-0955422</t>
  </si>
  <si>
    <t>DLQvDVfQRRMA</t>
  </si>
  <si>
    <t>1ZJ74J529055891849</t>
  </si>
  <si>
    <t>Fuel Rider Set of 4 17 Inch Chrome ABS Rim Wheel Skins Compatible with 2013-2022 Dodge Ram 1500 Impostor for Style Wheel Covers</t>
  </si>
  <si>
    <t>112-0053862-3646630</t>
  </si>
  <si>
    <t>D8rpcZflRRMA</t>
  </si>
  <si>
    <t>1ZJ74J529063555107</t>
  </si>
  <si>
    <t>Buyer Comment:
Thought they were 20 inch rims</t>
  </si>
  <si>
    <t>111-1177212-9913014</t>
  </si>
  <si>
    <t>D40ZvSfPRRMA</t>
  </si>
  <si>
    <t>1ZJ74J529062316573</t>
  </si>
  <si>
    <t>B0CMWYY2X2</t>
  </si>
  <si>
    <t>AL-KS-FRWS-2185-16GB-5DS</t>
  </si>
  <si>
    <t>Fuel Rider Set of 4 Gloss Black ABS Impostor Wheel Skins Compatible with 16-18 Chevy Cruze 5 Double Spoke</t>
  </si>
  <si>
    <t>113-6336592-6293005</t>
  </si>
  <si>
    <t>DjfnYyfpRRMA</t>
  </si>
  <si>
    <t>1ZJ74J529054218604</t>
  </si>
  <si>
    <t>112-6081828-8953818</t>
  </si>
  <si>
    <t>DBsTFWfhRRMA</t>
  </si>
  <si>
    <t>1ZJ74J529056831830</t>
  </si>
  <si>
    <t>B0CSXVCNCK</t>
  </si>
  <si>
    <t>AL-KS-FRMC-GMAC1719CH-HTRWOTS</t>
  </si>
  <si>
    <t>Fuel Rider Chrome ABS Half Top Replacement, w/o Turn Signal Pair of Two Mirror Covers Compatible with GMC Acadia 2017 to 2019 All Trim Level/s Left - Driver Side and Right Passenger Side</t>
  </si>
  <si>
    <t>Buyer Comment:
Did not fit the car</t>
  </si>
  <si>
    <t>113-3317217-3932204</t>
  </si>
  <si>
    <t>D5h2J7fWRRMA</t>
  </si>
  <si>
    <t>1ZJ74J529074384085</t>
  </si>
  <si>
    <t>Fender Flares Compatible with 99-06 Chevy Silverado, Sierra, Suburban, (4 Pack) Bolt On Pocket Fenders for Pick-up Trucks Re-Paintable Trim Guards</t>
  </si>
  <si>
    <t>fenders</t>
  </si>
  <si>
    <t>114-9850605-7496229</t>
  </si>
  <si>
    <t>D5s216fcRRMA</t>
  </si>
  <si>
    <t>1ZJ74J529071481752</t>
  </si>
  <si>
    <t>112-9128910-3159462</t>
  </si>
  <si>
    <t>114-9909227-9019468</t>
  </si>
  <si>
    <t xml:space="preserve">OxGord Grill Clip </t>
  </si>
  <si>
    <t>113-0719147-6480226</t>
  </si>
  <si>
    <t>114-6101910-7550617</t>
  </si>
  <si>
    <t>114-9551164-2241047</t>
  </si>
  <si>
    <t>Dvvt33fHRRMA</t>
  </si>
  <si>
    <t>B00VGVIAEU</t>
  </si>
  <si>
    <t>AL-EB-SW-04CWC</t>
  </si>
  <si>
    <t>OxGord Auto Steering Wheel Cover with Anti-Slip Backing and Grips - Leather - Tan Wood Grain</t>
  </si>
  <si>
    <t>112-9014008-2136247</t>
  </si>
  <si>
    <t>Dth21JfrRRMA</t>
  </si>
  <si>
    <t>1ZJ74J529071820635</t>
  </si>
  <si>
    <t>B0DQR72JSC</t>
  </si>
  <si>
    <t>AL-KS-FF-FRBR005T-BKMPC</t>
  </si>
  <si>
    <t>Fuel Rider Front Fender Flares Compatible with 2021-2024 Ford Bronco (2/4 Door) - Steel, Matte Finish, Flat Style, Includes Mounting Hardware, 5" Tire Coverage</t>
  </si>
  <si>
    <t>113-0553241-2215454</t>
  </si>
  <si>
    <t>D252nFfJRRMA</t>
  </si>
  <si>
    <t>1ZR0960D9078963139</t>
  </si>
  <si>
    <t>Floormats</t>
  </si>
  <si>
    <t>114-1468767-5347461</t>
  </si>
  <si>
    <t>Dp351kfgRRMA</t>
  </si>
  <si>
    <t>1ZJ74J529072416204</t>
  </si>
  <si>
    <t>113-3080033-6903403</t>
  </si>
  <si>
    <t>DxQz7fffRRMA</t>
  </si>
  <si>
    <t>1ZJ74J529069273713</t>
  </si>
  <si>
    <t>112-1797129-3711434</t>
  </si>
  <si>
    <t>DfH77gfjRRMA</t>
  </si>
  <si>
    <t>1ZJ74J529069152442</t>
  </si>
  <si>
    <t>114-4148406-1464260</t>
  </si>
  <si>
    <t>DFpT70fNRRMA</t>
  </si>
  <si>
    <t>1ZJ74J529068786886</t>
  </si>
  <si>
    <t>112-2979454-9217808</t>
  </si>
  <si>
    <t>Dx4BLTf6RRMA</t>
  </si>
  <si>
    <t>1ZJ74J529068548946</t>
  </si>
  <si>
    <t>B0CJB2N3PP</t>
  </si>
  <si>
    <t>AL-KS-FRCC-3780-AL-6L</t>
  </si>
  <si>
    <t>Fuel Rider Set of 4 Brushed Aluminum Center Caps Compatible with 04-14 Ford F150 6 Lug</t>
  </si>
  <si>
    <t>113-0085822-1312263</t>
  </si>
  <si>
    <t>DtzN7rfrRRMA</t>
  </si>
  <si>
    <t>1ZJ74J529069191070</t>
  </si>
  <si>
    <t>113-7327505-2310635</t>
  </si>
  <si>
    <t>D5ybQLfRRRMA</t>
  </si>
  <si>
    <t>1ZJ74J529065794300</t>
  </si>
  <si>
    <t>114-1401442-4957854</t>
  </si>
  <si>
    <t>Djr2QvfvRRMA</t>
  </si>
  <si>
    <t>1ZJ74J529064953158</t>
  </si>
  <si>
    <t>112-1262902-2883447</t>
  </si>
  <si>
    <t>Dh7d3BfZRRMA</t>
  </si>
  <si>
    <t>1ZJ74J529076187124</t>
  </si>
  <si>
    <t>114-5826860-9660222</t>
  </si>
  <si>
    <t>DYxR18fGRRMA</t>
  </si>
  <si>
    <t>1ZJ74J529071380272</t>
  </si>
  <si>
    <t>112-5050103-7494643</t>
  </si>
  <si>
    <t>DtzmrFfrRRMA</t>
  </si>
  <si>
    <t>1ZJ74J529070414871</t>
  </si>
  <si>
    <t>B0C9R7TWJY</t>
  </si>
  <si>
    <t>AL-KS-FRHC-0917CHTR-17CH6S</t>
  </si>
  <si>
    <t>Fuel Rider 17 inch Chrome ABS Hubcap Wheel Covers Compatible with 2009-2017 Chevrolet Traverse (Set of 4) Wheelcovers for 17 inch Standard Steel Wheels- Auto Tire Cover Replacement Exterior Cap Cover</t>
  </si>
  <si>
    <t>111-0768346-2844213</t>
  </si>
  <si>
    <t>DBJ7sTfyRRMA</t>
  </si>
  <si>
    <t>1ZJ74J529066138188</t>
  </si>
  <si>
    <t>B0C9R7F7B4</t>
  </si>
  <si>
    <t>AL-KS-FRHC-1316FOES-17CH5S</t>
  </si>
  <si>
    <t>Fuel Rider 17 inch Chrome ABS Hubcap Wheel Covers Compatible with 2013-2016 Ford Escape (Set of 4) Wheelcovers for Standard Steel Wheels - Bolt On</t>
  </si>
  <si>
    <t>112-5050844-3969839</t>
  </si>
  <si>
    <t>DZshTffnRRMA</t>
  </si>
  <si>
    <t>1ZR0960D9079332863</t>
  </si>
  <si>
    <t>111-5637790-7725832</t>
  </si>
  <si>
    <t>DQjXr8ffRRMA</t>
  </si>
  <si>
    <t>1ZJ74J529070903557</t>
  </si>
  <si>
    <t>113-8093635-8317865</t>
  </si>
  <si>
    <t>DkPNQWfhRRMA</t>
  </si>
  <si>
    <t>1ZJ74J529064788748</t>
  </si>
  <si>
    <t>Fuel Rider 15 inch Silver &amp; Black ABS Hubcap Wheel Cover Compatible with 2016-2018 Toyota Prius (Set of 4) Wheelcovers for 15 inch Standard Steel Wheels- Auto Tire Cover Replacement Exterior Cap Cover</t>
  </si>
  <si>
    <t>Missing parts or accessories</t>
  </si>
  <si>
    <t>114-7696242-0436261</t>
  </si>
  <si>
    <t>DtqSLwf7RRMA</t>
  </si>
  <si>
    <t>1ZJ74J529067338102</t>
  </si>
  <si>
    <t>Fuel Rider 16 inch Silver ABS Hubcap Wheel Cover Compatible with 2019-2022 Ford Transit Connect (Set of 4) Wheelcovers for 16 inch Standard Steel Wheels- Auto Tire Cover Replacement Exterior Cap Cover</t>
  </si>
  <si>
    <t>no issue</t>
  </si>
  <si>
    <t>113-9362549-3448219</t>
  </si>
  <si>
    <t>DpdxTZfGRRMA</t>
  </si>
  <si>
    <t>1ZR0960D9079304367</t>
  </si>
  <si>
    <t>114-3194976-6386621</t>
  </si>
  <si>
    <t>D7y3QzfvRRMA</t>
  </si>
  <si>
    <t>1ZJ74J529065803139</t>
  </si>
  <si>
    <t>B0CMX14DXC</t>
  </si>
  <si>
    <t>AL-KS-FRHC-55045-15SL-8S</t>
  </si>
  <si>
    <t>Fuel Rider 15 inch Silver ABS Hubcap Wheel Covers Compatible with 1998-2002 Honda Accord (Set of 4) Wheelcovers for 15 inch Standard Steel Wheels- Auto Tire Cover Replacement Exterior Cap Cover</t>
  </si>
  <si>
    <t>114-2417124-1613810</t>
  </si>
  <si>
    <t>DfRSLRfnRRMA</t>
  </si>
  <si>
    <t>1ZJ74J529067425624</t>
  </si>
  <si>
    <t>B0CMWYWVLX</t>
  </si>
  <si>
    <t>AL-KS-FRHC-61104-15SL-12S</t>
  </si>
  <si>
    <t>Fuel Rider 15 inch Silver ABS Hubcap Wheel Covers Compatible with 2000-2001 Toyota Camry (Set of 4) Wheelcovers for 15 inch Standard Steel Wheels- Auto Tire Cover Replacement Exterior Cap Cover</t>
  </si>
  <si>
    <t>114-0478502-5969007</t>
  </si>
  <si>
    <t>DH5HnMfrRRMA</t>
  </si>
  <si>
    <t>1ZR0960D9078961006</t>
  </si>
  <si>
    <t>113-2911286-8916253</t>
  </si>
  <si>
    <t>D88nncfNRRMA</t>
  </si>
  <si>
    <t>1ZR0960D9078626342</t>
  </si>
  <si>
    <t>114-3136411-9847448</t>
  </si>
  <si>
    <t>DhcRnbfgRRMA</t>
  </si>
  <si>
    <t>1ZR0960D9078226686</t>
  </si>
  <si>
    <t>Original: 1000026931 Replacement:1000027429</t>
  </si>
  <si>
    <t>sent</t>
  </si>
  <si>
    <t>111-2571426-5089061</t>
  </si>
  <si>
    <t>D4RGxdfhRRMA</t>
  </si>
  <si>
    <t>1ZR0960D9076693078</t>
  </si>
  <si>
    <t>113-1259346-9422658</t>
  </si>
  <si>
    <t>DT5H1YfsRRMA</t>
  </si>
  <si>
    <t>1ZJ74J529072539966</t>
  </si>
  <si>
    <t>111-8422537-4854629</t>
  </si>
  <si>
    <t>DvG01BfpRRMA</t>
  </si>
  <si>
    <t>1ZJ74J529071518365</t>
  </si>
  <si>
    <t>114-6859879-9680212</t>
  </si>
  <si>
    <t>D8Xw7WfmRRMA</t>
  </si>
  <si>
    <t>1ZJ74J529069878696</t>
  </si>
  <si>
    <t>SELLER_MORE_INFO_REQUIRED</t>
  </si>
  <si>
    <t>71601-40512-3722752</t>
  </si>
  <si>
    <t>PENDING_MERCHANT_ACTION</t>
  </si>
  <si>
    <t>112-7886460-6256258</t>
  </si>
  <si>
    <t>DrvVcffVRRMA</t>
  </si>
  <si>
    <t>1ZJ74J529064682772</t>
  </si>
  <si>
    <t>B0F8GCS2W8</t>
  </si>
  <si>
    <t>AL-KS-FRHC-61181-16SL</t>
  </si>
  <si>
    <t>Fuel Rider Set of 4 16 inch Silver Snap-On Hubcaps with 6 Spoke Compatible with 2017-2019 Toyota Corolla LE Standard Steel Wheel Covers</t>
  </si>
  <si>
    <t>Original: 1000025761
Replacement: 1000025972</t>
  </si>
  <si>
    <t>One hubcap is gouged and scratched. Please replace the order.</t>
  </si>
  <si>
    <t>112-8806135-5705825</t>
  </si>
  <si>
    <t>DfrSMCf3RRMA</t>
  </si>
  <si>
    <t>1ZJ74J529072855490</t>
  </si>
  <si>
    <t>B0CLXV9RLP</t>
  </si>
  <si>
    <t>AL-KS-FRUNHC-15SL</t>
  </si>
  <si>
    <t>Fuel Rider Set of 4 Silver Wheel Cover Hubcaps for 15 Inch Standard Steel Wheels - Snap-On Auto Tire Wheel Hub Cap Replacement</t>
  </si>
  <si>
    <t>112-9964640-2824261</t>
  </si>
  <si>
    <t>DpS9sGflRRMA</t>
  </si>
  <si>
    <t>1ZJ74J529067222610</t>
  </si>
  <si>
    <t>113-3185126-3182641</t>
  </si>
  <si>
    <t>DslbrcfSRRMA</t>
  </si>
  <si>
    <t>1ZJ74J529070319993</t>
  </si>
  <si>
    <t>112-3191091-0364244</t>
  </si>
  <si>
    <t>DQpQ13fxRRMA</t>
  </si>
  <si>
    <t>1ZJ74J529071327731</t>
  </si>
  <si>
    <t>B0CHJ1T3JN</t>
  </si>
  <si>
    <t>AL-KS-FRWS-22968927-17CH-5VS</t>
  </si>
  <si>
    <t>Fuel Rider Set of Four (4) 17 inches Chrome ABS Wheel Skins Impostors Wheel Covers Compatible with 2018-2021 Chevrolet Equinox Wheels- Auto Tire Replacement Cap Cover</t>
  </si>
  <si>
    <t>113-9572255-0520266</t>
  </si>
  <si>
    <t>DkKGrCfFRRMA</t>
  </si>
  <si>
    <t>B0CMWZ3S9G</t>
  </si>
  <si>
    <t>AL-KS-FRWS-2405-17CH-5SP</t>
  </si>
  <si>
    <t>Fuel Rider Set of 4 Chrome ABS Impostor Wheel Skins Compatible with 08-14 Dodge Charger 5 Spoke</t>
  </si>
  <si>
    <t>113-0178653-6550674</t>
  </si>
  <si>
    <t>DLKTrKf1RRMA</t>
  </si>
  <si>
    <t>1ZJ74J529071218064</t>
  </si>
  <si>
    <t>111-7995416-0256236</t>
  </si>
  <si>
    <t>D42B3bfvRRMA</t>
  </si>
  <si>
    <t>1ZJ74J529076007167</t>
  </si>
  <si>
    <t>111-9193877-6683411</t>
  </si>
  <si>
    <t>D5xdsWfqRRMA</t>
  </si>
  <si>
    <t>1ZJ74J529066128242</t>
  </si>
  <si>
    <t>113-7793741-6264260</t>
  </si>
  <si>
    <t>D4qPQBf9RRMA</t>
  </si>
  <si>
    <t>1ZJ74J529064790020</t>
  </si>
  <si>
    <t>DfqqQ6f4RRMA</t>
  </si>
  <si>
    <t>1ZJ74J529064792591</t>
  </si>
  <si>
    <t>Drq9QQfbRRMA</t>
  </si>
  <si>
    <t>1ZJ74J529064790913</t>
  </si>
  <si>
    <t>DxqlQ7fNRRMA</t>
  </si>
  <si>
    <t>1ZJ74J529064788793</t>
  </si>
  <si>
    <t>111-3786979-6858627</t>
  </si>
  <si>
    <t>DH8331fwRRMA</t>
  </si>
  <si>
    <t>1ZJ74J529076116638</t>
  </si>
  <si>
    <t>113-9915814-9413037</t>
  </si>
  <si>
    <t>DvVb17fhRRMA</t>
  </si>
  <si>
    <t>1ZJ74J529072082039</t>
  </si>
  <si>
    <t>Fuel Rider Set of 4 17" Polished Stainless Steel Wheel Simulators Compatible with 03-25 Ram 3500 8 Lug, 5 Hand Holes, Full Set Wheel Covers</t>
  </si>
  <si>
    <t>111-2526221-1950607</t>
  </si>
  <si>
    <t>DBy9JlfwRRMA</t>
  </si>
  <si>
    <t>111-1336129-5853044</t>
  </si>
  <si>
    <t>D5lxJ0fyRRMA</t>
  </si>
  <si>
    <t>114-0925108-7105856</t>
  </si>
  <si>
    <t>Dqxt7HfXRRMA</t>
  </si>
  <si>
    <t>1ZJ74J529068863711</t>
  </si>
  <si>
    <t>B0CHK7PRBF</t>
  </si>
  <si>
    <t>AL-KS-FRWS-94775676-16GB-6S</t>
  </si>
  <si>
    <t>Fuel Rider Set of Four (4) 16 inches Gloss Black ABS Wheel Skins Impostors Wheel Covers Compatible with 2015-2020 Chevrolet Colorado Wheels- Auto Tire Replacement Cap Cover</t>
  </si>
  <si>
    <t>114-3624566-9465063</t>
  </si>
  <si>
    <t>DY8433fMRRMA</t>
  </si>
  <si>
    <t>1ZJ74J529076127117</t>
  </si>
  <si>
    <t>Quality issues</t>
  </si>
  <si>
    <t>114-3892514-4312209</t>
  </si>
  <si>
    <t>DQK67XftRRMA</t>
  </si>
  <si>
    <t>1ZJ74J529069897166</t>
  </si>
  <si>
    <t>Original PO: 1000026252
Replacement PO: 1000026546</t>
  </si>
  <si>
    <t>All the hub caps were broken when they arrived</t>
  </si>
  <si>
    <t>113-0397948-9909819</t>
  </si>
  <si>
    <t>D7zY7PfpRRMA</t>
  </si>
  <si>
    <t>1ZJ74J529069212494</t>
  </si>
  <si>
    <t>113-8936684-9517060</t>
  </si>
  <si>
    <t>D4tlJTf5RRMA</t>
  </si>
  <si>
    <t>1ZJ74J529074583440</t>
  </si>
  <si>
    <t>114-5192336-7320240</t>
  </si>
  <si>
    <t>DZfmMdfxRRMA</t>
  </si>
  <si>
    <t>1ZJ74J529073000080</t>
  </si>
  <si>
    <t>114-8333036-4553069</t>
  </si>
  <si>
    <t>D2hdrLfFRRMA</t>
  </si>
  <si>
    <t>1ZJ74J529070436946</t>
  </si>
  <si>
    <t>Original: 1000026347 Replacement Po: 1000026594</t>
  </si>
  <si>
    <t>Return Reason:
Product damaged, but shipping box OK
Buyer Comment:
two of them are cracked</t>
  </si>
  <si>
    <t>Sent</t>
  </si>
  <si>
    <t>112-6136413-8628252</t>
  </si>
  <si>
    <t>DKcjsDfDRRMA</t>
  </si>
  <si>
    <t>1ZJ74J529066439719</t>
  </si>
  <si>
    <t>111-8134728-9426621</t>
  </si>
  <si>
    <t>D42vQMffRRMA</t>
  </si>
  <si>
    <t>1ZJ74J529065502053</t>
  </si>
  <si>
    <t>113-4439779-9387462</t>
  </si>
  <si>
    <t>DWxdTvfHRRMA</t>
  </si>
  <si>
    <t>1ZR0960D9079211289</t>
  </si>
  <si>
    <t>114-8588021-7075432</t>
  </si>
  <si>
    <t>DW5sM7flRRMA</t>
  </si>
  <si>
    <t>1ZJ74J529073754258</t>
  </si>
  <si>
    <t>112-2994663-9632253</t>
  </si>
  <si>
    <t>DhN6rKfXRRMA</t>
  </si>
  <si>
    <t>1ZJ74J529071093574</t>
  </si>
  <si>
    <t>111-0129135-0513046</t>
  </si>
  <si>
    <t>DB99n1fRRRMA</t>
  </si>
  <si>
    <t>1ZR0960D9078357160</t>
  </si>
  <si>
    <t>112-9798172-7846629</t>
  </si>
  <si>
    <t>DvS1r5fyRRMA</t>
  </si>
  <si>
    <t>1ZJ74J529071130130</t>
  </si>
  <si>
    <t>111-8983387-1105808</t>
  </si>
  <si>
    <t>DTKZc1fRRRMA</t>
  </si>
  <si>
    <t>1ZJ74J529064737534</t>
  </si>
  <si>
    <t>111-6138545-0665838</t>
  </si>
  <si>
    <t>DKW7LTf5RRMA</t>
  </si>
  <si>
    <t>112-6473205-2557858</t>
  </si>
  <si>
    <t>DpmBLPfYRRMA</t>
  </si>
  <si>
    <t>1ZJ74J529068401862</t>
  </si>
  <si>
    <t>B07JGHK52F</t>
  </si>
  <si>
    <t>AL-KS-WCCC-3184-CH</t>
  </si>
  <si>
    <t>OxGord Center Caps Compatible with 1995-1997 Ford Ranger (Set of 4) Chrome Wheel Cover Replacements</t>
  </si>
  <si>
    <t>VALID_DIFFERENT_CONDITION_ITEM_RECEIVED</t>
  </si>
  <si>
    <t>21090-20987-2234062</t>
  </si>
  <si>
    <t>113-1308504-1483428</t>
  </si>
  <si>
    <t>D4dRTpfdRRMA</t>
  </si>
  <si>
    <t>1ZR0960D9079306105</t>
  </si>
  <si>
    <t>111-4202609-6473049</t>
  </si>
  <si>
    <t>D7W9rHfBRRMA</t>
  </si>
  <si>
    <t>1ZJ74J529070529739</t>
  </si>
  <si>
    <t>114-0506345-9869851</t>
  </si>
  <si>
    <t>DryqLRfxRRMA</t>
  </si>
  <si>
    <t>1ZJ74J529068518157</t>
  </si>
  <si>
    <t>skip</t>
  </si>
  <si>
    <t>111-8352761-0622666</t>
  </si>
  <si>
    <t>DHKNxKfnRRMA</t>
  </si>
  <si>
    <t>1ZR0960D9077756098</t>
  </si>
  <si>
    <t>111-0378532-1499425</t>
  </si>
  <si>
    <t>Dhy6r7fTRRMA</t>
  </si>
  <si>
    <t>1ZJ74J529071030962</t>
  </si>
  <si>
    <t>113-6977390-9695438</t>
  </si>
  <si>
    <t>Drh2rwfRRRMA</t>
  </si>
  <si>
    <t>1ZJ74J529070425565</t>
  </si>
  <si>
    <t>113-0282957-6068264</t>
  </si>
  <si>
    <t>D7hWLHfkRRMA</t>
  </si>
  <si>
    <t>1ZJ74J529067883442</t>
  </si>
  <si>
    <t>111-7458884-2344259</t>
  </si>
  <si>
    <t>DL7M1NfBRRMA</t>
  </si>
  <si>
    <t>1ZJ74J529072253961</t>
  </si>
  <si>
    <t>OxGord 16 inch Gloss Black Snap-On Hubcaps Compatible with 19-20 Honda Civic EX-L EX LX Si Sport Touring Type R Standard Steel Wheels</t>
  </si>
  <si>
    <t>112-5380851-5483441</t>
  </si>
  <si>
    <t>D204MjfzRRMA</t>
  </si>
  <si>
    <t>1ZJ74J529072972318</t>
  </si>
  <si>
    <t>114-9975084-3304262</t>
  </si>
  <si>
    <t>DsxBnVf3RRMA</t>
  </si>
  <si>
    <t>1ZR0960D9077890988</t>
  </si>
  <si>
    <t>114-6094402-8413008</t>
  </si>
  <si>
    <t>D2D0nNf7RRMA</t>
  </si>
  <si>
    <t>1ZR0960D9078662133</t>
  </si>
  <si>
    <t>113-3161475-4406661</t>
  </si>
  <si>
    <t>DTms1mf1RRMA</t>
  </si>
  <si>
    <t>1ZJ74J529072344818</t>
  </si>
  <si>
    <t>113-5436532-3133831</t>
  </si>
  <si>
    <t>DTxJr9fpRRMA</t>
  </si>
  <si>
    <t>1ZJ74J529070048928</t>
  </si>
  <si>
    <t>114-5181761-5783424</t>
  </si>
  <si>
    <t>DttXcvf3RRMA</t>
  </si>
  <si>
    <t>1ZJ74J529064147547</t>
  </si>
  <si>
    <t>114-1620535-0322614</t>
  </si>
  <si>
    <t>D2tYMkfYRRMA</t>
  </si>
  <si>
    <t>1ZJ74J529073338010</t>
  </si>
  <si>
    <t>111-5037258-7029822</t>
  </si>
  <si>
    <t>DkG51QfGRRMA</t>
  </si>
  <si>
    <t>1ZJ74J529071510452</t>
  </si>
  <si>
    <t>114-8363872-5905054</t>
  </si>
  <si>
    <t>DqBsQ0fcRRMA</t>
  </si>
  <si>
    <t>1ZJ74J529065539345</t>
  </si>
  <si>
    <t>112-6782625-5880239</t>
  </si>
  <si>
    <t>DKTzxmf7RRMA</t>
  </si>
  <si>
    <t>1ZR0960D9077034564</t>
  </si>
  <si>
    <t>113-3155898-6517855</t>
  </si>
  <si>
    <t>D8Bn1kfNRRMA</t>
  </si>
  <si>
    <t>1ZJ74J529072136196</t>
  </si>
  <si>
    <t>114-8798595-3963410</t>
  </si>
  <si>
    <t>DF5bsTfjRRMA</t>
  </si>
  <si>
    <t>1ZJ74J529067208001</t>
  </si>
  <si>
    <t>Original: 1000025869 Replacement: 1000026260</t>
  </si>
  <si>
    <t>Buyer Comment:
I’m missing the medal retain that holds the tires and wheel cap cover</t>
  </si>
  <si>
    <t>111-6383905-3201049</t>
  </si>
  <si>
    <t>DBWqc0fhRRMA</t>
  </si>
  <si>
    <t>1ZJ74J529064056127</t>
  </si>
  <si>
    <t>114-1333814-0978632</t>
  </si>
  <si>
    <t>Dp6tQKfSRRMA</t>
  </si>
  <si>
    <t>1ZJ74J529065295224</t>
  </si>
  <si>
    <t>OxGord 16 inch Silver Snap-On Hubcaps with 7 Split Spoke Compatible with 2009-2013 Mazda 6 Standard Steel Wheel Covers</t>
  </si>
  <si>
    <t>112-3616589-3172261</t>
  </si>
  <si>
    <t>DjWCLRf9RRMA</t>
  </si>
  <si>
    <t>1ZJ74J529067981354</t>
  </si>
  <si>
    <t>OxGord 16 inch Silver Snap-On Hubcaps with 6 Split Spoke Compatible with 2004-2010 Toyota Sienna Standard Steel Wheel Covers</t>
  </si>
  <si>
    <t>112-1551909-1558651</t>
  </si>
  <si>
    <t>DTwqJjfjRRMA</t>
  </si>
  <si>
    <t>1ZJ74J529074509280</t>
  </si>
  <si>
    <t>la medida no es la adecuada es muy pequeña</t>
  </si>
  <si>
    <t>Needs fitment and wheel img</t>
  </si>
  <si>
    <t>112-6096093-1431453</t>
  </si>
  <si>
    <t>Dvxy7wf2RRMA</t>
  </si>
  <si>
    <t>1ZJ74J529068843804</t>
  </si>
  <si>
    <t>112-1274793-9990656</t>
  </si>
  <si>
    <t>DkCgsCfNRRMA</t>
  </si>
  <si>
    <t>1ZJ74J529066333403</t>
  </si>
  <si>
    <t>113-1065195-2032240</t>
  </si>
  <si>
    <t>DH8KsFfjRRMA</t>
  </si>
  <si>
    <t>1ZJ74J529066873982</t>
  </si>
  <si>
    <t>114-0487077-1820261</t>
  </si>
  <si>
    <t>DhC9nyf9RRMA</t>
  </si>
  <si>
    <t>1ZR0960D9078103255</t>
  </si>
  <si>
    <t>113-1431978-5107435</t>
  </si>
  <si>
    <t>DTXM1WfbRRMA</t>
  </si>
  <si>
    <t>1ZJ74J529072608631</t>
  </si>
  <si>
    <t>Dfgy16fvRRMA</t>
  </si>
  <si>
    <t>1ZJ74J529072171844</t>
  </si>
  <si>
    <t>111-3272822-2956230</t>
  </si>
  <si>
    <t>DxFc14fZRRMA</t>
  </si>
  <si>
    <t>1ZJ74J529072446217</t>
  </si>
  <si>
    <t>112-0597491-0405003</t>
  </si>
  <si>
    <t>DTCGQXfQRRMA</t>
  </si>
  <si>
    <t>1ZJ74J529065117685</t>
  </si>
  <si>
    <t>112-9146043-3285820</t>
  </si>
  <si>
    <t>DkkgL8fLRRMA</t>
  </si>
  <si>
    <t>1ZJ74J529068434658</t>
  </si>
  <si>
    <t>111-5901227-8465002</t>
  </si>
  <si>
    <t>D4TNL4fGRRMA</t>
  </si>
  <si>
    <t>1ZJ74J529067844190</t>
  </si>
  <si>
    <t>111-4468737-7697853</t>
  </si>
  <si>
    <t>Dry310fYRRMA</t>
  </si>
  <si>
    <t>1ZJ74J529072454100</t>
  </si>
  <si>
    <t>112-8490291-1116233</t>
  </si>
  <si>
    <t>DHMqrdf5RRMA</t>
  </si>
  <si>
    <t>1ZJ74J529070726105</t>
  </si>
  <si>
    <t>112-8326359-3753054</t>
  </si>
  <si>
    <t>DQgx7rfGRRMA</t>
  </si>
  <si>
    <t>1ZJ74J529069499079</t>
  </si>
  <si>
    <t>B07KBC778P</t>
  </si>
  <si>
    <t>AL-KS-WCTR-15-PLCH</t>
  </si>
  <si>
    <t>OxGord Beauty Trim Rings for 15 inch Rally Wheels 1 1/2 inch Deep Chrome ABS with Metal Clip &amp; Ring Retention</t>
  </si>
  <si>
    <t>111-1088290-1424211</t>
  </si>
  <si>
    <t>D52tx3fPRRMA</t>
  </si>
  <si>
    <t>1ZR0960D9077293365</t>
  </si>
  <si>
    <t>114-3215796-4289862</t>
  </si>
  <si>
    <t>DtRH17fjRRMA</t>
  </si>
  <si>
    <t>1ZJ74J529071362952</t>
  </si>
  <si>
    <t>112-3423886-3019413</t>
  </si>
  <si>
    <t>DqR3r5f5RRMA</t>
  </si>
  <si>
    <t>1ZJ74J529070021956</t>
  </si>
  <si>
    <t>112-3480279-3093822</t>
  </si>
  <si>
    <t>DTT639fhRRMA</t>
  </si>
  <si>
    <t>1ZJ74J529075706234</t>
  </si>
  <si>
    <t>OxGord Beauty Trim Rings for 17 inch Wheels 1 1/2 inch Deep Chrome ABS with Metal Clip &amp; Ring Retention</t>
  </si>
  <si>
    <t>114-9420978-6061842</t>
  </si>
  <si>
    <t>DBSy77fDRRMA</t>
  </si>
  <si>
    <t>1ZJ74J529069821255</t>
  </si>
  <si>
    <t>111-2851483-2350642</t>
  </si>
  <si>
    <t>DvZgc1fgRRMA</t>
  </si>
  <si>
    <t>1ZJ74J529064106813</t>
  </si>
  <si>
    <t>114-8689257-9758613</t>
  </si>
  <si>
    <t>DfySrmfrRRMA</t>
  </si>
  <si>
    <t>112-8521028-0549031</t>
  </si>
  <si>
    <t>DLF137fsRRMA</t>
  </si>
  <si>
    <t>1ZJ74J529076344847</t>
  </si>
  <si>
    <t>111-0093296-9429811</t>
  </si>
  <si>
    <t>DfgNMgfdRRMA</t>
  </si>
  <si>
    <t>1ZJ74J529073450540</t>
  </si>
  <si>
    <t>Creo que fue un error sobre el pedido de este artículo</t>
  </si>
  <si>
    <t>114-7828332-5008254</t>
  </si>
  <si>
    <t>DkPpx7fjRRMA</t>
  </si>
  <si>
    <t>1ZR0960D9076583124</t>
  </si>
  <si>
    <t>OxGord 17 inch Wheel Skins Compatible with 2008-2014 Dodge Charger (Set of 4) Impostor Wheel Covers - Gloss Black - Auto Tire Replacement Exterior Cap Cover</t>
  </si>
  <si>
    <t>112-3183181-9527450</t>
  </si>
  <si>
    <t>DtQzr5f3RRMA</t>
  </si>
  <si>
    <t>1ZJ74J529070484751</t>
  </si>
  <si>
    <t>114-0569426-9611405</t>
  </si>
  <si>
    <t>D5mBsgfHRRMA</t>
  </si>
  <si>
    <t>1ZJ74J529066992451</t>
  </si>
  <si>
    <t>112-5021317-4915461</t>
  </si>
  <si>
    <t>D7xHrWf9RRMA</t>
  </si>
  <si>
    <t>1ZJ74J529070034004</t>
  </si>
  <si>
    <t>OxGord 18 inch Wheel Skins Compatible with 2009-2011 Dodge Challenger (Set of 4) Impostor Wheel Covers for Alloy Wheels - Auto Tire Replacement Exterior Cap Cover</t>
  </si>
  <si>
    <t>112-9148036-6817028</t>
  </si>
  <si>
    <t>DBvn7ffYRRMA</t>
  </si>
  <si>
    <t>1ZJ74J529069839406</t>
  </si>
  <si>
    <t>112-3593967-3915437</t>
  </si>
  <si>
    <t>Dtnt7VfVRRMA</t>
  </si>
  <si>
    <t>1ZJ74J529068766120</t>
  </si>
  <si>
    <t>113-3108995-8343444</t>
  </si>
  <si>
    <t>DQp4L4frRRMA</t>
  </si>
  <si>
    <t>1ZJ74J529067400490</t>
  </si>
  <si>
    <t>114-0179675-8765054</t>
  </si>
  <si>
    <t>DshDsxfHRRMA</t>
  </si>
  <si>
    <t>1ZJ74J529066516500</t>
  </si>
  <si>
    <t>OxGord 18 inch Wheel Skins Compatible with 2009-2014 Dodge Charger (Set of 4) Impostor Wheel Covers for Alloy Wheels - Auto Tire Replacement Exterior Cap Cover</t>
  </si>
  <si>
    <t>113-7342612-9989810</t>
  </si>
  <si>
    <t>DfBCLpfJRRMA</t>
  </si>
  <si>
    <t>1ZJ74J529068215064</t>
  </si>
  <si>
    <t>111-7094022-5332241</t>
  </si>
  <si>
    <t>DLHLs0f9RRMA</t>
  </si>
  <si>
    <t>1ZJ74J529066411051</t>
  </si>
  <si>
    <t>114-1898660-2052205</t>
  </si>
  <si>
    <t>D7FjMXfcRRMA</t>
  </si>
  <si>
    <t>113-8902660-8617001</t>
  </si>
  <si>
    <t>DLWvQqf2RRMA</t>
  </si>
  <si>
    <t>1ZJ74J529065348239</t>
  </si>
  <si>
    <t>113-9981344-5942656</t>
  </si>
  <si>
    <t>DrnVQyfNRRMA</t>
  </si>
  <si>
    <t>1ZJ74J529064815940</t>
  </si>
  <si>
    <t>112-6849414-2761069</t>
  </si>
  <si>
    <t>DFGLx4fPRRMA</t>
  </si>
  <si>
    <t>1ZR0960D9076835969</t>
  </si>
  <si>
    <t>Buyer Comment:
Not needed</t>
  </si>
  <si>
    <t>112-5137140-5850660</t>
  </si>
  <si>
    <t>D4d83qfYRRMA</t>
  </si>
  <si>
    <t>1ZJ74J529075371051</t>
  </si>
  <si>
    <t>Buyer Comment:
Did not fit my 2013 ford escape</t>
  </si>
  <si>
    <t>114-1420689-9986633</t>
  </si>
  <si>
    <t>DsHTJKf1RRMA</t>
  </si>
  <si>
    <t>1ZJ74J529074279869</t>
  </si>
  <si>
    <t>Buyer Comment:
Does not fit</t>
  </si>
  <si>
    <t>113-3148061-5075460</t>
  </si>
  <si>
    <t>DjF3xCfvRRMA</t>
  </si>
  <si>
    <t>1ZR0960D9077553495</t>
  </si>
  <si>
    <t>Buyer Comment:
I thought it comes with center cap and lug covers</t>
  </si>
  <si>
    <t>114-1871644-0365045</t>
  </si>
  <si>
    <t>DThH35fXRRMA</t>
  </si>
  <si>
    <t>1ZJ74J529075744854</t>
  </si>
  <si>
    <t>Buyer Comment:
Porque este producto es plástico y en la página de venta parece de metal pero no explica de que materiales está echo.</t>
  </si>
  <si>
    <t>111-6128246-0577804</t>
  </si>
  <si>
    <t>DHt9rKfrRRMA</t>
  </si>
  <si>
    <t>1ZJ74J529070638442</t>
  </si>
  <si>
    <t>Buyer Comment:
Bought by mistake</t>
  </si>
  <si>
    <t>112-0814443-7293058</t>
  </si>
  <si>
    <t>DxQRsdfwRRMA</t>
  </si>
  <si>
    <t>1ZJ74J529066557494</t>
  </si>
  <si>
    <t>114-5874782-3971400</t>
  </si>
  <si>
    <t>Drr4shfBRRMA</t>
  </si>
  <si>
    <t>1ZJ74J529066159727</t>
  </si>
  <si>
    <t>Buyer Comment:
Don't Fit</t>
  </si>
  <si>
    <t>113-4172029-6093841</t>
  </si>
  <si>
    <t>DqTv3tfjRRMA</t>
  </si>
  <si>
    <t>1ZJ74J529075695863</t>
  </si>
  <si>
    <t>Buyer Comment:
better price</t>
  </si>
  <si>
    <t>114-5492607-5481824</t>
  </si>
  <si>
    <t>Dk44MkfbRRMA</t>
  </si>
  <si>
    <t>1ZJ74J529073692280</t>
  </si>
  <si>
    <t>Buyer Comment:
Wrong size fro my vehicle</t>
  </si>
  <si>
    <t>112-9045992-1173864</t>
  </si>
  <si>
    <t>DvHS7LfWRRMA</t>
  </si>
  <si>
    <t>1ZJ74J529069147074</t>
  </si>
  <si>
    <t>Buyer Comment:
Didn’t like the look on the car</t>
  </si>
  <si>
    <t>113-2075428-2185862</t>
  </si>
  <si>
    <t>DH53QsfXRRMA</t>
  </si>
  <si>
    <t>1ZJ74J529065891768</t>
  </si>
  <si>
    <t>Buyer Comment:
They do non fit</t>
  </si>
  <si>
    <t>112-0457234-0549853</t>
  </si>
  <si>
    <t>DpVfshfsRRMA</t>
  </si>
  <si>
    <t>1ZJ74J529066741409</t>
  </si>
  <si>
    <t>Buyer Comment:
Don’t need it</t>
  </si>
  <si>
    <t>111-9101377-6721863</t>
  </si>
  <si>
    <t>D8kVxyf7RRMA</t>
  </si>
  <si>
    <t>1ZR0960D9077504010</t>
  </si>
  <si>
    <t>Buyer Comment:
Need covers for 17 inch Ford Maverick 2025 wheels, these do not fit</t>
  </si>
  <si>
    <t>114-2991586-0784268</t>
  </si>
  <si>
    <t>Dpb2LZfsRRMA</t>
  </si>
  <si>
    <t>1ZJ74J529068070550</t>
  </si>
  <si>
    <t>B0BXHY4VGF</t>
  </si>
  <si>
    <t>AL-KS-WS-3781-17CH-FR</t>
  </si>
  <si>
    <t>Fuel Rider Set of 4 17 inch Chrome ABS Wheel Skins Impostors Wheel Covers Compatible with 2009-2014 Ford F-150 Wheels- Auto Tire Replacement Cap Cover</t>
  </si>
  <si>
    <t>Buyer Comment:
differnt style</t>
  </si>
  <si>
    <t>111-9927355-9560231</t>
  </si>
  <si>
    <t>D7Z23zfWRRMA</t>
  </si>
  <si>
    <t>1ZJ74J529075903084</t>
  </si>
  <si>
    <t>Buyer Comment:
Don't fit</t>
  </si>
  <si>
    <t>113-9921310-7543405</t>
  </si>
  <si>
    <t>Djsw3NfVRRMA</t>
  </si>
  <si>
    <t>1ZJ74J529075409127</t>
  </si>
  <si>
    <t>Buyer Comment:
No sirven</t>
  </si>
  <si>
    <t>111-0381354-1447432</t>
  </si>
  <si>
    <t>DFv9xqfzRRMA</t>
  </si>
  <si>
    <t>1ZR0960D9077698295</t>
  </si>
  <si>
    <t>AL-TNY-KS-WCHC-SWUN-15TT</t>
  </si>
  <si>
    <t>Buyer Comment:
Shipping box was open and damaged</t>
  </si>
  <si>
    <t>111-2079950-6570629</t>
  </si>
  <si>
    <t>DFgh3qf8RRMA</t>
  </si>
  <si>
    <t>1ZJ74J529076107451</t>
  </si>
  <si>
    <t>AL-TNY-WCHC-3277-17SL</t>
  </si>
  <si>
    <t>Buyer Comment:
R</t>
  </si>
  <si>
    <t>113-8366987-7358650</t>
  </si>
  <si>
    <t>D4NfrXfjRRMA</t>
  </si>
  <si>
    <t>1ZJ74J529071099907</t>
  </si>
  <si>
    <t>AL-TNY-WCWS-2451-20CH</t>
  </si>
  <si>
    <t>Buyer Comment:
Bought wrong size</t>
  </si>
  <si>
    <t>113-4717093-5181809</t>
  </si>
  <si>
    <t>DB5yPJfPRRMA</t>
  </si>
  <si>
    <t>1ZR0960D9081459446</t>
  </si>
  <si>
    <t>113-0512396-0971464</t>
  </si>
  <si>
    <t>DjNlPbfBRRMA</t>
  </si>
  <si>
    <t>1ZR0960D9081435060</t>
  </si>
  <si>
    <t>Original: 1000027509 Replacement: 1000027789</t>
  </si>
  <si>
    <t>The wrong item was sent. I ordered hubcaps with 11 spokes, what was sent is hubcaps with 8 spokes. I would like the correct ones sent</t>
  </si>
  <si>
    <t>113-1269362-9994608</t>
  </si>
  <si>
    <t>DZy4PCfzRRMA</t>
  </si>
  <si>
    <t>1ZR0960D9081401257</t>
  </si>
  <si>
    <t>111-3296301-0968251</t>
  </si>
  <si>
    <t>DZ1cPKfQRRMA</t>
  </si>
  <si>
    <t>1ZR0960D9081298138</t>
  </si>
  <si>
    <t>Original: 1000027361
Replacement: 1000027773</t>
  </si>
  <si>
    <t>Two of them are broken</t>
  </si>
  <si>
    <t>113-8235853-4294642</t>
  </si>
  <si>
    <t>DKBkPLf4RRMA</t>
  </si>
  <si>
    <t>1ZR0960D9081202641</t>
  </si>
  <si>
    <t>111-1735515-2903445</t>
  </si>
  <si>
    <t>DHl8t2fRRRMA</t>
  </si>
  <si>
    <t>1ZR0960D9081920017</t>
  </si>
  <si>
    <t>113-6665678-2421810</t>
  </si>
  <si>
    <t>Dj0Tt2fyRRMA</t>
  </si>
  <si>
    <t>1ZR0960D9081828903</t>
  </si>
  <si>
    <t>B0CJB2SNQ3</t>
  </si>
  <si>
    <t>AL-KS-FRCC-9009-CH-FR</t>
  </si>
  <si>
    <t>Fuel Rider Set of 2 Chrome ABS Center Caps Compatible with 19-22 Ram 3500 Front Pair</t>
  </si>
  <si>
    <t>113-7511163-4669816</t>
  </si>
  <si>
    <t>DLGntzfpRRMA</t>
  </si>
  <si>
    <t>1ZR0960D9081797965</t>
  </si>
  <si>
    <t>114-4362832-9641856</t>
  </si>
  <si>
    <t>D5dZtgfvRRMA</t>
  </si>
  <si>
    <t>1ZR0960D9081735914</t>
  </si>
  <si>
    <t>114-0612450-2402665</t>
  </si>
  <si>
    <t>DHXSPwfrRRMA</t>
  </si>
  <si>
    <t>1ZR0960D9081517829</t>
  </si>
  <si>
    <t>all four covers are broken</t>
  </si>
  <si>
    <t>114-4483016-3879467</t>
  </si>
  <si>
    <t>DtFWtwf1RRMA</t>
  </si>
  <si>
    <t>1ZR0960D9082573212</t>
  </si>
  <si>
    <t>Fender flares</t>
  </si>
  <si>
    <t>111-3013326-8336215</t>
  </si>
  <si>
    <t>D43GtyfpRRMA</t>
  </si>
  <si>
    <t>1ZR0960D9082558202</t>
  </si>
  <si>
    <t>B0F8FZVX7K</t>
  </si>
  <si>
    <t>AL-KS-FRHC-40315-5RB0E-16GBK</t>
  </si>
  <si>
    <t>Fuel Rider Set of 4 16 inch Gloss Black Snap-On Hubcaps with 5 Double Spoke Compatible with 2018-2024 Nissan Kicks S Standard Steel Wheel Covers</t>
  </si>
  <si>
    <t>111-5704840-2179463</t>
  </si>
  <si>
    <t>DLmztxf1RRMA</t>
  </si>
  <si>
    <t>1ZR0960D9082504457</t>
  </si>
  <si>
    <t>B0CHHZ77VQ</t>
  </si>
  <si>
    <t>AL-KS-FRWS-62575-17CH-6SV</t>
  </si>
  <si>
    <t>Fuel Rider Set of Four (4) 17 inches Chrome ABS Wheel Skins Impostors Wheel Covers Compatible with 2012-2021 Nissan NV Cargo Wheels- Auto Tire Replacement Cap Cover</t>
  </si>
  <si>
    <t>113-0840742-7424232</t>
  </si>
  <si>
    <t>Dp1PtMfCRRMA</t>
  </si>
  <si>
    <t>1ZR0960D9082465071</t>
  </si>
  <si>
    <t>Original: 1000027568
Replacement: 1000027892</t>
  </si>
  <si>
    <t>All 4 wheel skins were broken.</t>
  </si>
  <si>
    <t>113-7235599-9666612</t>
  </si>
  <si>
    <t>D47ytnf6RRMA</t>
  </si>
  <si>
    <t>1ZR0960D9082435675</t>
  </si>
  <si>
    <t>111-1991289-8617011</t>
  </si>
  <si>
    <t>DFDXt0fTRRMA</t>
  </si>
  <si>
    <t>1ZR0960D9082411262</t>
  </si>
  <si>
    <t>B0C9R6HCXT</t>
  </si>
  <si>
    <t>AL-KS-FRHC-1115HYEL-16SL10ST</t>
  </si>
  <si>
    <t>Fuel Rider 16 inch Silver ABS Hubcap Wheel Covers Compatible with 2011-2015 Hyundai Elantra (Set of 4) Wheelcovers for 16 inch Standard Steel Wheels- Auto Tire Cover Replacement Exterior Cap Cover</t>
  </si>
  <si>
    <t>111-7059176-4657829</t>
  </si>
  <si>
    <t>DHDttyf2RRMA</t>
  </si>
  <si>
    <t>112-1375605-0876229</t>
  </si>
  <si>
    <t>DsM0tRfrRRMA</t>
  </si>
  <si>
    <t>1ZR0960D9082309169</t>
  </si>
  <si>
    <t>113-7865192-5297053</t>
  </si>
  <si>
    <t>Dht1t1f8RRMA</t>
  </si>
  <si>
    <t>1ZR0960D9082245853</t>
  </si>
  <si>
    <t>112-2111435-2262623</t>
  </si>
  <si>
    <t>Djw0tkfQRRMA</t>
  </si>
  <si>
    <t>1ZR0960D9082160051</t>
  </si>
  <si>
    <t>B0BP8XJBND</t>
  </si>
  <si>
    <t>AL-KS-WCWS-8096-18CH</t>
  </si>
  <si>
    <t>OxGord 18 inch Wheel Skins for 2011-2019 Chevy Silverado 2500/3500 (Set of 4) Impostor Wheel Covers for 18 inch Chrome ABS Wheels- Auto Tire Replacement Exterior Cap Cover</t>
  </si>
  <si>
    <t>113-6745361-7033844</t>
  </si>
  <si>
    <t>D2LKG4fDRRMA</t>
  </si>
  <si>
    <t>1ZR0960D9083077006</t>
  </si>
  <si>
    <t>112-0592931-6974621</t>
  </si>
  <si>
    <t>DtGNGZfmRRMA</t>
  </si>
  <si>
    <t>1ZR0960D9083064690</t>
  </si>
  <si>
    <t>DBGnGqfJRRMA</t>
  </si>
  <si>
    <t>1ZR0960D9083057037</t>
  </si>
  <si>
    <t>Different item</t>
  </si>
  <si>
    <t>111-4169239-0744228</t>
  </si>
  <si>
    <t>DLJfGCfPRRMA</t>
  </si>
  <si>
    <t>1ZR0960D9082950966</t>
  </si>
  <si>
    <t>114-6414189-0525016</t>
  </si>
  <si>
    <t>DZxGGbfzRRMA</t>
  </si>
  <si>
    <t>1ZR0960D9082916324</t>
  </si>
  <si>
    <t>112-0314909-5374657</t>
  </si>
  <si>
    <t>D5K6tzfbRRMA</t>
  </si>
  <si>
    <t>113-5505067-6813841</t>
  </si>
  <si>
    <t>Df8MGtfkRRMA</t>
  </si>
  <si>
    <t>1ZR0960D9083708388</t>
  </si>
  <si>
    <t>114-8605114-9922604</t>
  </si>
  <si>
    <t>DhW0G9fdRRMA</t>
  </si>
  <si>
    <t>1ZR0960D9083448641</t>
  </si>
  <si>
    <t>B0CMWXRT8Y</t>
  </si>
  <si>
    <t>AL-KS-FRHC-44733TBAA23-16GB-5DS</t>
  </si>
  <si>
    <t>Fuel Rider 16 inch Gloss Black ABS Hubcap Wheel Covers Compatible with 2019-2021 Honda Civic (Set of 4) Wheelcovers for 16 inch Standard Steel Wheels- Auto Tire Cover Replacement Exterior Cap Cover</t>
  </si>
  <si>
    <t>112-7780634-3981063</t>
  </si>
  <si>
    <t>114-2002830-4581026</t>
  </si>
  <si>
    <t>D8pqdvf9RRMA</t>
  </si>
  <si>
    <t>1ZR0960D9084216603</t>
  </si>
  <si>
    <t>113-6246512-5667425</t>
  </si>
  <si>
    <t>D5nMdwfPRRMA</t>
  </si>
  <si>
    <t>1ZR0960D9084202412</t>
  </si>
  <si>
    <t>OxGord 15 inch Silver Snap-On Hubcaps with 9 Spoke Compatible with 2006-2011 Honda Civic Standard Steel Wheel Covers</t>
  </si>
  <si>
    <t>112-0850152-7798633</t>
  </si>
  <si>
    <t>DQPgd3fPRRMA</t>
  </si>
  <si>
    <t>1ZR0960D9084154662</t>
  </si>
  <si>
    <t>113-1096878-0276254</t>
  </si>
  <si>
    <t>Dt51GYfxRRMA</t>
  </si>
  <si>
    <t>1ZR0960D9084023651</t>
  </si>
  <si>
    <t>112-7026838-6824205</t>
  </si>
  <si>
    <t>DxjZGLf1RRMA</t>
  </si>
  <si>
    <t>1ZR0960D9083821906</t>
  </si>
  <si>
    <t>DZjYG9fcRRMA</t>
  </si>
  <si>
    <t>1ZR0960D9083817788</t>
  </si>
  <si>
    <t>112-2594299-3997804</t>
  </si>
  <si>
    <t>DtWbdjfSRRMA</t>
  </si>
  <si>
    <t>1ZR0960D9084684518</t>
  </si>
  <si>
    <t>113-2325852-2482646</t>
  </si>
  <si>
    <t>D76ydrfcRRMA</t>
  </si>
  <si>
    <t>1ZR0960D9084620836</t>
  </si>
  <si>
    <t>AL-TNY-FRWS-2511-17GB-10S</t>
  </si>
  <si>
    <t>114-0366975-1066659</t>
  </si>
  <si>
    <t>DWzHd7fWRRMA</t>
  </si>
  <si>
    <t>1ZR0960D9084588131</t>
  </si>
  <si>
    <t>113-5350543-7609025</t>
  </si>
  <si>
    <t>DFfPd2fcRRMA</t>
  </si>
  <si>
    <t>1ZR0960D9084438552</t>
  </si>
  <si>
    <t>Emailed Oxgord almost a week ago, 2 of the 4 covers are blemished, tried to see what they can do, sent pics, send receipt of payment, asked for support on return or replacement, NO REPLY since 9/3</t>
  </si>
  <si>
    <t>111-7311422-1940212</t>
  </si>
  <si>
    <t>DH07d6fTRRMA</t>
  </si>
  <si>
    <t>1ZR0960D9084424370</t>
  </si>
  <si>
    <t>Original: 1000027828
Replacement: 1000028088</t>
  </si>
  <si>
    <t>Must of ordered 15 in need 16 in for my car</t>
  </si>
  <si>
    <t>113-5760200-5072268</t>
  </si>
  <si>
    <t>DkNDdgfCRRMA</t>
  </si>
  <si>
    <t>1ZR0960D9085174184</t>
  </si>
  <si>
    <t>The description said these hubcaps will fit my car, but they do not,</t>
  </si>
  <si>
    <t>112-1291553-1665819</t>
  </si>
  <si>
    <t>DFyydkfMRRMA</t>
  </si>
  <si>
    <t>1ZR0960D9085124755</t>
  </si>
  <si>
    <t>112-3806304-8334600</t>
  </si>
  <si>
    <t>D2kcdcfvRRMA</t>
  </si>
  <si>
    <t>1ZR0960D9085045206</t>
  </si>
  <si>
    <t>111-1603392-0482635</t>
  </si>
  <si>
    <t>D8jRdVfMRRMA</t>
  </si>
  <si>
    <t>1ZR0960D9084995183</t>
  </si>
  <si>
    <t>111-1682992-8201001</t>
  </si>
  <si>
    <t>DkgfdnfpRRMA</t>
  </si>
  <si>
    <t>1ZR0960D9084888101</t>
  </si>
  <si>
    <t>114-4832967-3559438</t>
  </si>
  <si>
    <t>DrBQdTfnRRMA</t>
  </si>
  <si>
    <t>1ZR0960D9084856761</t>
  </si>
  <si>
    <t>You sent me the wrong item. I ordered the auto floor mats and you sent me a vent cap for Vans.</t>
  </si>
  <si>
    <t>113-6285528-6937840</t>
  </si>
  <si>
    <t>DfMqdTfqRRMA</t>
  </si>
  <si>
    <t>1ZR0960D9084844005</t>
  </si>
  <si>
    <t>114-2794725-2659429</t>
  </si>
  <si>
    <t>DKMVdCfbRRMA</t>
  </si>
  <si>
    <t>1ZR0960D9084822181</t>
  </si>
  <si>
    <t>111-0835443-2750603</t>
  </si>
  <si>
    <t>DWVKdSflRRMA</t>
  </si>
  <si>
    <t>1ZR0960D9084792259</t>
  </si>
  <si>
    <t>112-1108717-8274641</t>
  </si>
  <si>
    <t>Ds036yfgRRMA</t>
  </si>
  <si>
    <t>1ZR0960D9085616456</t>
  </si>
  <si>
    <t>Product was described as "Snap on" and shown pictured with a snap ring and plastic bolt covers. However, the product received is bolt on, with open holes to attach the cover.</t>
  </si>
  <si>
    <t>111-1692701-6777825</t>
  </si>
  <si>
    <t>DL0Z6pfpRRMA</t>
  </si>
  <si>
    <t>1ZR0960D9085613799</t>
  </si>
  <si>
    <t>114-9249797-8588221</t>
  </si>
  <si>
    <t>Df066tfJRRMA</t>
  </si>
  <si>
    <t>1ZR0960D9085606921</t>
  </si>
  <si>
    <t>OxGord 17 inch Silver &amp; Black Snap-On Hubcaps with 5 Spoke Compatible with 2013-2018 Toyota RAV4 LE Standard Steel Wheel Covers</t>
  </si>
  <si>
    <t>Original: 1000027928
Replacement: 1000028194</t>
  </si>
  <si>
    <t>One of the hubcaps is damaged. Probably broke during shipping. I want to get it replaced with one that’s not damaged.</t>
  </si>
  <si>
    <t>113-5086520-3153023</t>
  </si>
  <si>
    <t>DZLN6tf5RRMA</t>
  </si>
  <si>
    <t>1ZR0960D9085590304</t>
  </si>
  <si>
    <t>114-4125244-5146642</t>
  </si>
  <si>
    <t>DKpp6tfMRRMA</t>
  </si>
  <si>
    <t>1ZR0960D9085377090</t>
  </si>
  <si>
    <t>111-5501026-8841829</t>
  </si>
  <si>
    <t>Dpqj6Kf7RRMA</t>
  </si>
  <si>
    <t>1ZR0960D9085332977</t>
  </si>
  <si>
    <t>AL-TNY-WCWS-2363-20CH</t>
  </si>
  <si>
    <t>114-0218964-7387421</t>
  </si>
  <si>
    <t>Dhq96tfbRRMA</t>
  </si>
  <si>
    <t>1ZR0960D9085323567</t>
  </si>
  <si>
    <t>The sizing said it would fit They do not fit</t>
  </si>
  <si>
    <t>113-9167210-1877019</t>
  </si>
  <si>
    <t>DpjL69frRRMA</t>
  </si>
  <si>
    <t>1ZR0960D9086293633</t>
  </si>
  <si>
    <t>Asked to get 16 in hub caps to replace the 15 in ones I ordered by mistake they sent a replacement but it’s the 15 in ones what should I do</t>
  </si>
  <si>
    <t>114-0065009-2463424</t>
  </si>
  <si>
    <t>Df7v60fmRRMA</t>
  </si>
  <si>
    <t>1ZR0960D9086249413</t>
  </si>
  <si>
    <t>24.9  x 16.9 x 18.1 x 2</t>
  </si>
  <si>
    <t>Was missing the weight. Added weight.</t>
  </si>
  <si>
    <t>111-2464115-3384201</t>
  </si>
  <si>
    <t>DpDj6JfDRRMA</t>
  </si>
  <si>
    <t>113-5152598-0305801</t>
  </si>
  <si>
    <t>Dv8L69fQRRMA</t>
  </si>
  <si>
    <t>1ZR0960D9086183921</t>
  </si>
  <si>
    <t>Original: 1000027284
Replacement: 1000028247</t>
  </si>
  <si>
    <t>Only one hub cap was sent .And it wasn't even the correct one for the vehicle .I ordered these for my mom while visiting her in Texas.</t>
  </si>
  <si>
    <t>114-6668010-4178611</t>
  </si>
  <si>
    <t>Dvtb63f8RRMA</t>
  </si>
  <si>
    <t>1ZR0960D9086034412</t>
  </si>
  <si>
    <t>114-4641560-4829813</t>
  </si>
  <si>
    <t>DZtP6HfzRRMA</t>
  </si>
  <si>
    <t>1ZR0960D9086022121</t>
  </si>
  <si>
    <t>OxGord 14 inch Silver Snap-On Hubcaps with 7 Hole Compatible with 1994 Toyota Camry Standard Steel Wheel Covers</t>
  </si>
  <si>
    <t>113-7955412-4385848</t>
  </si>
  <si>
    <t>Dqbw6sf0RRMA</t>
  </si>
  <si>
    <t>1ZR0960D9086004534</t>
  </si>
  <si>
    <t>B0CHKNQ6J3</t>
  </si>
  <si>
    <t>AL-KS-FRWS-9119-18GB-5SP</t>
  </si>
  <si>
    <t>Fuel Rider Set of Four (4) 18 inches Gloss Black ABS Wheel Skins Impostors Wheel Covers Compatible with 2013-2018 Jeep Wrangler JK Wheels- Auto Tire Replacement Cap Cover</t>
  </si>
  <si>
    <t>114-7830179-3269839</t>
  </si>
  <si>
    <t>Dv9G6Lf9RRMA</t>
  </si>
  <si>
    <t>1ZR0960D9085893353</t>
  </si>
  <si>
    <t>114-9223398-1128253</t>
  </si>
  <si>
    <t>D2Q16Tf7RRMA</t>
  </si>
  <si>
    <t>1ZR0960D9085873455</t>
  </si>
  <si>
    <t>112-2800072-6009055</t>
  </si>
  <si>
    <t>DHf7S5fsRRMA</t>
  </si>
  <si>
    <t>1ZR0960D9086986206</t>
  </si>
  <si>
    <t>OxGord 15 inch Silver Snap-On Hubcaps with 6 Spoke Compatible with 2006-2011 Ford Focus Standard Steel Wheel Covers</t>
  </si>
  <si>
    <t>Original: 1000028020
Replacement: 1000028321</t>
  </si>
  <si>
    <t>They sent a different design hubcap.</t>
  </si>
  <si>
    <t>113-2693113-8376264</t>
  </si>
  <si>
    <t>DQ0GSFfBRRMA</t>
  </si>
  <si>
    <t>1ZR0960D9086952108</t>
  </si>
  <si>
    <t>113-6912439-8046646</t>
  </si>
  <si>
    <t>DTJHShffRRMA</t>
  </si>
  <si>
    <t>OxGord 17" Dually Wheel Simulators Compatible with 2003-2025 Dodge Ram 3500 - Stainless Steel, 4 Pack - Truck Accessories Best for Pick-up Trucks (2003-2025, Chrome)</t>
  </si>
  <si>
    <t>114-0065160-7905857</t>
  </si>
  <si>
    <t>DZx1SrfrRRMA</t>
  </si>
  <si>
    <t>1ZR0960D9086771536</t>
  </si>
  <si>
    <t>112-6560342-5318615</t>
  </si>
  <si>
    <t>DxqZSHf6RRMA</t>
  </si>
  <si>
    <t>1ZR0960D9086667408</t>
  </si>
  <si>
    <t>Fuel Rider 17 inch Chrome ABS Hubcap Wheel Covers Compatible with 2014-2020 Dodge Grand Caravan (Set of 4) Wheelcovers for 17 inch Standard Steel Wheels- Auto Tire Cover Replacement Exterior Cap Cover</t>
  </si>
  <si>
    <t>114-3882338-8923454</t>
  </si>
  <si>
    <t>DLh8S8fHRRMA</t>
  </si>
  <si>
    <t>1ZE3629H0326105836</t>
  </si>
  <si>
    <t>112-2148808-3013829</t>
  </si>
  <si>
    <t>Dq5l6gfqRRMA</t>
  </si>
  <si>
    <t>1ZR0960D9086515741</t>
  </si>
  <si>
    <t>114-8096304-4288269</t>
  </si>
  <si>
    <t>DB496nfxRRMA</t>
  </si>
  <si>
    <t>1ZR0960D9086454156</t>
  </si>
  <si>
    <t>112-8359557-3533049</t>
  </si>
  <si>
    <t>DTBvSFfGRRMA</t>
  </si>
  <si>
    <t>112-3406605-9207409</t>
  </si>
  <si>
    <t>DHtTSrfPRRMA</t>
  </si>
  <si>
    <t>1ZR0960D9087424810</t>
  </si>
  <si>
    <t>113-7602374-1749018</t>
  </si>
  <si>
    <t>DKbRSdfqRRMA</t>
  </si>
  <si>
    <t>1ZR0960D9087405242</t>
  </si>
  <si>
    <t>B0CHK858G6</t>
  </si>
  <si>
    <t>AL-KS-FRWS-3848-18CH-5SP</t>
  </si>
  <si>
    <t>Fuel Rider Set of Four (4) 18 inches Chrome ABS Wheel Skins Impostors Wheel Covers Compatible with 2011-2014 Ford Edge Wheels- Auto Tire Replacement Cap Cover</t>
  </si>
  <si>
    <t>114-1521145-1385847</t>
  </si>
  <si>
    <t>111-6470072-0693866</t>
  </si>
  <si>
    <t>DhWQSYf4RRMA</t>
  </si>
  <si>
    <t>1ZR0960D9087296656</t>
  </si>
  <si>
    <t>Fuel Rider 16 inch Silver ABS Hubcap Wheel Covers Compatible with 2006-2011 Chevy Impala (Set of 4) Wheelcovers for 16 inch Standard Steel Wheels- Auto Tire Cover Replacement Exterior Cap Cover</t>
  </si>
  <si>
    <t>111-3055338-2463432</t>
  </si>
  <si>
    <t>Dt9VSbf2RRMA</t>
  </si>
  <si>
    <t>1ZR0960D9087274143</t>
  </si>
  <si>
    <t>B0BXHYVR5S</t>
  </si>
  <si>
    <t>AL-KS-WS-70804-18CH-FR</t>
  </si>
  <si>
    <t>Fuel Rider Set of 4 18 inch Chrome ABS Wheel Skins Impostors Wheel Covers Compatible with 2011-2013 Hyundai Sonata Wheels- Auto Tire Replacement Cap Cover</t>
  </si>
  <si>
    <t>112-0673784-1462641</t>
  </si>
  <si>
    <t>DrhTSDfVRRMA</t>
  </si>
  <si>
    <t>1ZR0960D9087192491</t>
  </si>
  <si>
    <t>44 x 4.8 x 12.5 x 4</t>
  </si>
  <si>
    <t>111-2506413-3234631</t>
  </si>
  <si>
    <t>D7zySHfwRRMA</t>
  </si>
  <si>
    <t>1ZR0960D9087164682</t>
  </si>
  <si>
    <t>114-5683720-6563420</t>
  </si>
  <si>
    <t>D8cJSzfmRRMA</t>
  </si>
  <si>
    <t>1ZR0960D9087126697</t>
  </si>
  <si>
    <t>Original: 1000027887
Replacement: 1000028338</t>
  </si>
  <si>
    <t>Need replacement</t>
  </si>
  <si>
    <t>113-1417969-8009844</t>
  </si>
  <si>
    <t>My lid has a left side latch lock, not in the front!</t>
  </si>
  <si>
    <t>114-5955376-5172260</t>
  </si>
  <si>
    <t>DsKGSsfHRRMA</t>
  </si>
  <si>
    <t>1ZR0960D9087949674</t>
  </si>
  <si>
    <t>111-2165387-3228222</t>
  </si>
  <si>
    <t>D2SGSdfVRRMA</t>
  </si>
  <si>
    <t>1ZR0960D9087877055</t>
  </si>
  <si>
    <t>It was the dimensions on the part compare to the model I put for my car</t>
  </si>
  <si>
    <t>114-2723607-0494623</t>
  </si>
  <si>
    <t>D2hv0YfkRRMA</t>
  </si>
  <si>
    <t>1ZR0960D9088418218</t>
  </si>
  <si>
    <t>112-1139875-8461022</t>
  </si>
  <si>
    <t>DqHj0kf4RRMA</t>
  </si>
  <si>
    <t>1ZR0960D9088342639</t>
  </si>
  <si>
    <t>B014K0F08C</t>
  </si>
  <si>
    <t>AL-KS-WCHC-7036-16CH</t>
  </si>
  <si>
    <t>OxGord 16 inch Chrome &amp; Silver Snap-On Hubcaps with 12 Spoke Compatible with 2003-2008 Ford Crown Victoria Standard Steel Wheel Covers</t>
  </si>
  <si>
    <t>112-7825188-5888239</t>
  </si>
  <si>
    <t>D2Y40qfPRRMA</t>
  </si>
  <si>
    <t>1ZR0960D9088311832</t>
  </si>
  <si>
    <t>112-4257931-9115413</t>
  </si>
  <si>
    <t>DBfk0rfsRRMA</t>
  </si>
  <si>
    <t>1ZR0960D9088265964</t>
  </si>
  <si>
    <t>112-3861031-9603403</t>
  </si>
  <si>
    <t>DtxH0vfVRRMA</t>
  </si>
  <si>
    <t>1ZR0960D9088099028</t>
  </si>
  <si>
    <t>B014ERT66I</t>
  </si>
  <si>
    <t>AL-KS-WCHC-53066-16SL</t>
  </si>
  <si>
    <t>OxGord 16 inch Silver Snap-On Hubcaps with 5 Spoke Compatible with 2002-2004 Nissan Altima Standard Steel Wheel Covers</t>
  </si>
  <si>
    <t>113-4015254-0845061</t>
  </si>
  <si>
    <t>D4nM0RfZRRMA</t>
  </si>
  <si>
    <t>1ZR0960D9088043819</t>
  </si>
  <si>
    <t>114-1269079-0944223</t>
  </si>
  <si>
    <t>DhwX0rfbRRMA</t>
  </si>
  <si>
    <t>1ZR0960D9088525209</t>
  </si>
  <si>
    <t>113-5767211-8173047</t>
  </si>
  <si>
    <t>DB0vlQfXRRMA</t>
  </si>
  <si>
    <t>1ZR0960D9089440923</t>
  </si>
  <si>
    <t>112-0888392-9515450</t>
  </si>
  <si>
    <t>D5LzlzfLRRMA</t>
  </si>
  <si>
    <t>1ZR0960D9089406416</t>
  </si>
  <si>
    <t>112-9896561-4991409</t>
  </si>
  <si>
    <t>DtsmlKfPRRMA</t>
  </si>
  <si>
    <t>1ZR0960D9089364631</t>
  </si>
  <si>
    <t>111-3605620-5874652</t>
  </si>
  <si>
    <t>D7pTlKflRRMA</t>
  </si>
  <si>
    <t>1ZR0960D9089218478</t>
  </si>
  <si>
    <t>113-9791347-8101848</t>
  </si>
  <si>
    <t>D8P3lqfsRRMA</t>
  </si>
  <si>
    <t>1ZR0960D9089136306</t>
  </si>
  <si>
    <t>111-8917505-0294625</t>
  </si>
  <si>
    <t>DxKy0qfTRRMA</t>
  </si>
  <si>
    <t>1ZR0960D9089118951</t>
  </si>
  <si>
    <t>112-6228779-2707454</t>
  </si>
  <si>
    <t>DZ8QlpfhRRMA</t>
  </si>
  <si>
    <t>1ZR0960D9090016246</t>
  </si>
  <si>
    <t>B0CHKJZZ3G</t>
  </si>
  <si>
    <t>AL-KS-FRWS-9135-17GB-5SP</t>
  </si>
  <si>
    <t>Fuel Rider Set of Four (4) 17 inches Gloss Black ABS Wheel Skins Impostors Wheel Covers Compatible with 2014-2017 Jeep Grand Cherokee Wheels- Auto Tire Replacement Cap Cover</t>
  </si>
  <si>
    <t>112-1386097-7372201</t>
  </si>
  <si>
    <t>DW3KlDfbRRMA</t>
  </si>
  <si>
    <t>1ZR0960D9090166432</t>
  </si>
  <si>
    <t>Hubcaps sent are 14 inch not 15 inch as orderd, they do not fit.</t>
  </si>
  <si>
    <t>111-4522778-0729001</t>
  </si>
  <si>
    <t>Dq3llvfRRRMA</t>
  </si>
  <si>
    <t>1ZR0960D9090166629</t>
  </si>
  <si>
    <t>B0F3MNFCRQ</t>
  </si>
  <si>
    <t>AL-KS-FRWS-2359-18-BLK</t>
  </si>
  <si>
    <t>Fuel Rider 18" Impostor Wheel Skin Covers Compatible with Select 2009-2014 Dodge Challenger, Gloss Black - Auto Tire Cover Replacement</t>
  </si>
  <si>
    <t>114-4012387-6618656</t>
  </si>
  <si>
    <t>DxmYldflRRMA</t>
  </si>
  <si>
    <t>1ZR0960D9090131059</t>
  </si>
  <si>
    <t>No es lo que necesito,</t>
  </si>
  <si>
    <t>114-4796566-1233865</t>
  </si>
  <si>
    <t>DKz3mlfbRRMA</t>
  </si>
  <si>
    <t>1ZR0960D9090961135</t>
  </si>
  <si>
    <t>OxGord 15 inch Silver Snap-On Hubcaps with 6 Hole Compatible with 2007-2009 Nissan Versa Standard Steel Wheel Covers</t>
  </si>
  <si>
    <t>112-5557383-6988214</t>
  </si>
  <si>
    <t>DFlFmNf2RRMA</t>
  </si>
  <si>
    <t>1ZR0960D9090856222</t>
  </si>
  <si>
    <t>114-9050705-8920247</t>
  </si>
  <si>
    <t>DqfVmbfKRRMA</t>
  </si>
  <si>
    <t>B0CHK8QYDJ</t>
  </si>
  <si>
    <t>AL-KS-FRWS-5280-18CH-5SP</t>
  </si>
  <si>
    <t>Fuel Rider Set of Four (4) 18 inches Chrome ABS Wheel Skins Impostors Wheel Covers Compatible with 2007-2012 GMC Acadia Wheels- Auto Tire Replacement Cap Cover</t>
  </si>
  <si>
    <t>114-1999636-6690631</t>
  </si>
  <si>
    <t>DtfjmWfrRRMA</t>
  </si>
  <si>
    <t>1ZR0960D9090783828</t>
  </si>
  <si>
    <t>113-7120741-3169026</t>
  </si>
  <si>
    <t>DW3TmwfsRRMA</t>
  </si>
  <si>
    <t>1ZR0960D9091523740</t>
  </si>
  <si>
    <t>114-9411920-0992261</t>
  </si>
  <si>
    <t>DLfRKrfTRRMA</t>
  </si>
  <si>
    <t>114-4771053-6504249</t>
  </si>
  <si>
    <t>D2G1KHfnRRMA</t>
  </si>
  <si>
    <t>1ZR0960D9091962338</t>
  </si>
  <si>
    <t>111-7522158-3061816</t>
  </si>
  <si>
    <t>DW8zK5fqRRMA</t>
  </si>
  <si>
    <t>1ZR0960D9092510369</t>
  </si>
  <si>
    <t>112-1099586-2117035</t>
  </si>
  <si>
    <t>Mechanic says that the part was received with broken clips.</t>
  </si>
  <si>
    <t>111-6251265-0872226</t>
  </si>
  <si>
    <t>D4ZQKnfhRRMA</t>
  </si>
  <si>
    <t>1ZR0960D9092324936</t>
  </si>
  <si>
    <t>111-6891670-6496204</t>
  </si>
  <si>
    <t>DrT1KcffRRMA</t>
  </si>
  <si>
    <t>1ZR0960D9092141124</t>
  </si>
  <si>
    <t>112-8827628-9018662</t>
  </si>
  <si>
    <t>D4sNW1f2RRMA</t>
  </si>
  <si>
    <t>1ZR0960D9093098457</t>
  </si>
  <si>
    <t>B0CMWZR7YP</t>
  </si>
  <si>
    <t>AL-KS-FRHC-61171-15SL-8S</t>
  </si>
  <si>
    <t>Fuel Rider 15 inch Silver ABS Hubcap Wheel Covers Compatible with 2014-2019 Toyota Corolla (Set of 4) Wheelcovers for 15 inch Standard Steel Wheels- Auto Tire Cover Replacement Exterior Cap Cover</t>
  </si>
  <si>
    <t>El juego está incompleto solo trae 3</t>
  </si>
  <si>
    <t>114-6149138-5448262</t>
  </si>
  <si>
    <t>Dj4JK0f6RRMA</t>
  </si>
  <si>
    <t>1ZR0960D9092724601</t>
  </si>
  <si>
    <t>Na</t>
  </si>
  <si>
    <t>112-3545643-2770648</t>
  </si>
  <si>
    <t>DH8NWRfsRRMA</t>
  </si>
  <si>
    <t>1ZR0960D9093721013</t>
  </si>
  <si>
    <t>The wheel covers arrived with visible cracks and scratches on the surface despite the box being intact. The damage makes the product unsuitable for use.</t>
  </si>
  <si>
    <t>113-4918660-8193009</t>
  </si>
  <si>
    <t>D8ZZWyf3RRMA</t>
  </si>
  <si>
    <t>1ZR0960D9093533208</t>
  </si>
  <si>
    <t>Product did not fit correctly</t>
  </si>
  <si>
    <t>111-8970000-8966638</t>
  </si>
  <si>
    <t>113-4358613-2573864</t>
  </si>
  <si>
    <t>DHQsW6fCRRMA</t>
  </si>
  <si>
    <t>1ZR0960D9093431710</t>
  </si>
  <si>
    <t>111-0982862-8554604</t>
  </si>
  <si>
    <t>DLQQWCfrRRMA</t>
  </si>
  <si>
    <t>1ZR0960D9093425763</t>
  </si>
  <si>
    <t>113-4734192-9310660</t>
  </si>
  <si>
    <t>D7Q5W2fqRRMA</t>
  </si>
  <si>
    <t>1ZR0960D9093433281</t>
  </si>
  <si>
    <t>B0BXHY297Z</t>
  </si>
  <si>
    <t>AL-KS-WS-2451-20CH-FR</t>
  </si>
  <si>
    <t>Fuel Rider Set of 4 20 Inch Chrome ABS Impostor Wheel Skins Compatible with 2013-2018 Ram 1500 5 Spoke, Will Not Work On The Cladded Version</t>
  </si>
  <si>
    <t>112-9294817-7863439</t>
  </si>
  <si>
    <t>DqvwWHfpRRMA</t>
  </si>
  <si>
    <t>1ZR0960D9094075783</t>
  </si>
  <si>
    <t>112-7480859-4375438</t>
  </si>
  <si>
    <t>DhSZWqfhRRMA</t>
  </si>
  <si>
    <t>1ZR0960D9094053949</t>
  </si>
  <si>
    <t>111-7060276-4543413</t>
  </si>
  <si>
    <t>DsSSWbfDRRMA</t>
  </si>
  <si>
    <t>1ZR0960D9094033532</t>
  </si>
  <si>
    <t>111-1533827-7683437</t>
  </si>
  <si>
    <t>DZ4tWWf0RRMA</t>
  </si>
  <si>
    <t>1ZR0960D9093964725</t>
  </si>
  <si>
    <t>112-7934197-0348246</t>
  </si>
  <si>
    <t>DTFKWPfVRRMA</t>
  </si>
  <si>
    <t>113-1503697-7241062</t>
  </si>
  <si>
    <t>D71FWTf8RRMA</t>
  </si>
  <si>
    <t>1ZR0960D9093794338</t>
  </si>
  <si>
    <t>B07C8FX1PW</t>
  </si>
  <si>
    <t>AL-KS-WCHC-SWUN-14SL</t>
  </si>
  <si>
    <t>OxGord Hubcaps Wheel Covers - (Set of 4) 14 Inch Hub Caps Wheels Rim Cover - Car Accessories Silver Hubcap Standard Steel Rims - Snap On Auto Tire Replacement Exterior Cap</t>
  </si>
  <si>
    <t>113-5897439-0090663</t>
  </si>
  <si>
    <t>Dj74W4frRRMA</t>
  </si>
  <si>
    <t>1ZR0960D9093761579</t>
  </si>
  <si>
    <t>B0BTSC2GRR</t>
  </si>
  <si>
    <t>AL-KS-WCHC-44733TBAA23-16SCC</t>
  </si>
  <si>
    <t>OxGord 16 inch Silver &amp; Charcoal Snap-On Hubcaps Compatible with 19-20 Honda Civic EX-L EX LX Si Sport Touring Type R Steel Wheels</t>
  </si>
  <si>
    <t>113-4013856-0979455</t>
  </si>
  <si>
    <t>DZGQplfpRRMA</t>
  </si>
  <si>
    <t>1ZR0960D9094402240</t>
  </si>
  <si>
    <t>113-9074374-2528208</t>
  </si>
  <si>
    <t>D4GVphf9RRMA</t>
  </si>
  <si>
    <t>1ZR0960D9094383146</t>
  </si>
  <si>
    <t>114-5724099-7557047</t>
  </si>
  <si>
    <t>DYdlpWf9RRMA</t>
  </si>
  <si>
    <t>1ZR0960D9094337491</t>
  </si>
  <si>
    <t>B0CHJ5KRTP</t>
  </si>
  <si>
    <t>AL-KS-FRWS-HC3Z1007B-18GB-12S</t>
  </si>
  <si>
    <t>Fuel Rider Set of Four (4) 18 inches Gloss Black ABS Wheel Skins Impostors Wheel Covers Compatible with 2017-2019 Ford F250 Wheels- Auto Tire Replacement Cap Cover</t>
  </si>
  <si>
    <t>113-6428751-5116236</t>
  </si>
  <si>
    <t>D78xpNfYRRMA</t>
  </si>
  <si>
    <t>1ZR0960D9095016308</t>
  </si>
  <si>
    <t>114-6419229-4486656</t>
  </si>
  <si>
    <t>DWgpp8fnRRMA</t>
  </si>
  <si>
    <t>1ZR0960D9095000342</t>
  </si>
  <si>
    <t>114-9367354-7215413</t>
  </si>
  <si>
    <t>D522p6fNRRMA</t>
  </si>
  <si>
    <t>1ZR0960D9094912449</t>
  </si>
  <si>
    <t>Original: 1000028962 Replacement:1000029142</t>
  </si>
  <si>
    <t>Only 1 of these trim rings has bad chrome plating, the other 3 are fine. Bad one has chrome plating peeling!</t>
  </si>
  <si>
    <t>114-6089689-2865049</t>
  </si>
  <si>
    <t>Drx2CcftRRMA</t>
  </si>
  <si>
    <t>B0CHK7T1P8</t>
  </si>
  <si>
    <t>AL-KS-FRWS-5832-19GB-5DS</t>
  </si>
  <si>
    <t>Fuel Rider Set of Four (4) 19 inches Gloss Black ABS Wheel Skins Impostors Wheel Covers Compatible with 2018-2020 Chevrolet Equinox Wheels- Auto Tire Replacement Cap Cover</t>
  </si>
  <si>
    <t>114-0545119-0178617</t>
  </si>
  <si>
    <t>Dh1VCXfqRRMA</t>
  </si>
  <si>
    <t>1ZR0960D9096210364</t>
  </si>
  <si>
    <t>113-6596397-8385834</t>
  </si>
  <si>
    <t>Dp6pCPflRRMA</t>
  </si>
  <si>
    <t>1ZR0960D9095851558</t>
  </si>
  <si>
    <t>B0CMWZNPNB</t>
  </si>
  <si>
    <t>AL-KS-FRWS-5758-18GB-5SP</t>
  </si>
  <si>
    <t>Fuel Rider Set of 4 Gloss Black ABS Impostor Wheel Skins Compatible with 16-22 Chevy Camaro 5 Spoke</t>
  </si>
  <si>
    <t>111-8328781-2514632</t>
  </si>
  <si>
    <t>DL6jCQfYRRMA</t>
  </si>
  <si>
    <t>1ZR0960D9095837958</t>
  </si>
  <si>
    <t>114-7780328-9404214</t>
  </si>
  <si>
    <t>D7p6XLfmRRMA</t>
  </si>
  <si>
    <t>1ZR0960D9096596403</t>
  </si>
  <si>
    <t>112-1870399-2083403</t>
  </si>
  <si>
    <t>D4pQXnfwRRMA</t>
  </si>
  <si>
    <t>1ZR0960D9096582909</t>
  </si>
  <si>
    <t>113-4830527-7573061</t>
  </si>
  <si>
    <t>DQqzXMfmRRMA</t>
  </si>
  <si>
    <t>1ZR0960D9096547171</t>
  </si>
  <si>
    <t>111-2291071-1569817</t>
  </si>
  <si>
    <t>DrPZX4f5RRMA</t>
  </si>
  <si>
    <t>1ZR0960D9096529897</t>
  </si>
  <si>
    <t>DESCRIPTION SAYS IT FIT OU CAR. BUT DOES NOT FI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</si>
</sst>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d\-mmm\-yyyy"/>
  </numFmts>
  <fonts count="23">
    <font>
      <sz val="10"/>
      <color rgb="FF000000"/>
      <name val="Arial"/>
      <scheme val="minor"/>
    </font>
    <font>
      <sz val="11"/>
      <color theme="1"/>
      <name val="Calibri"/>
    </font>
    <font>
      <sz val="10"/>
      <color theme="1"/>
      <name val="Arial"/>
    </font>
    <font>
      <sz val="10"/>
      <color theme="1"/>
      <name val="Arial"/>
    </font>
    <font>
      <sz val="8"/>
      <color theme="1"/>
      <name val="Arial"/>
    </font>
    <font>
      <sz val="9"/>
      <color theme="1"/>
      <name val="Arial"/>
    </font>
    <font>
      <sz val="10"/>
      <color rgb="FF1155CC"/>
      <name val="Google Sans Mono"/>
    </font>
    <font>
      <b/>
      <sz val="10"/>
      <color theme="1"/>
      <name val="Arial"/>
    </font>
    <font>
      <sz val="10"/>
      <color rgb="FF000000"/>
      <name val="Arial"/>
    </font>
    <font>
      <sz val="8"/>
      <color theme="1"/>
      <name val="Arial"/>
      <scheme val="minor"/>
    </font>
    <font>
      <sz val="10"/>
      <color theme="1"/>
      <name val="Arial"/>
      <scheme val="minor"/>
    </font>
    <font>
      <sz val="9"/>
      <color theme="1"/>
      <name val="Arial"/>
      <scheme val="minor"/>
    </font>
    <font>
      <sz val="8"/>
      <color rgb="FF002F36"/>
      <name val="&quot;Amazon Ember&quot;"/>
    </font>
    <font>
      <strike/>
      <sz val="10"/>
      <color theme="1"/>
      <name val="Arial"/>
      <scheme val="minor"/>
    </font>
    <font>
      <sz val="8"/>
      <color rgb="FF002F36"/>
      <name val="Arial"/>
    </font>
    <font>
      <sz val="11"/>
      <color rgb="FF656565"/>
      <name val="&quot;Source Sans Pro&quot;"/>
    </font>
    <font>
      <sz val="10"/>
      <color rgb="FF1F1F1F"/>
      <name val="&quot;Google Sans&quot;"/>
    </font>
    <font>
      <sz val="10"/>
      <color rgb="FF002F36"/>
      <name val="&quot;Amazon Ember&quot;"/>
    </font>
    <font>
      <strike/>
      <sz val="8"/>
      <color theme="1"/>
      <name val="Arial"/>
      <scheme val="minor"/>
    </font>
    <font>
      <strike/>
      <sz val="8"/>
      <color rgb="FF002F36"/>
      <name val="&quot;Amazon Ember&quot;"/>
    </font>
    <font>
      <sz val="10"/>
      <color theme="1"/>
      <name val="&quot;Amazon Ember&quot;"/>
    </font>
    <font>
      <sz val="11"/>
      <color rgb="FF000000"/>
      <name val="Calibri"/>
    </font>
    <font>
      <sz val="9"/>
      <color rgb="FF002F36"/>
      <name val="&quot;Amazon Ember&quot;"/>
    </font>
  </fonts>
  <fills count="16">
    <fill>
      <patternFill patternType="none"/>
    </fill>
    <fill>
      <patternFill patternType="gray125"/>
    </fill>
    <fill>
      <patternFill patternType="solid">
        <fgColor rgb="FFFFFF00"/>
        <bgColor rgb="FFFFFF00"/>
      </patternFill>
    </fill>
    <fill>
      <patternFill patternType="solid">
        <fgColor rgb="FFFF9900"/>
        <bgColor rgb="FFFF9900"/>
      </patternFill>
    </fill>
    <fill>
      <patternFill patternType="solid">
        <fgColor rgb="FF6D9EEB"/>
        <bgColor rgb="FF6D9EEB"/>
      </patternFill>
    </fill>
    <fill>
      <patternFill patternType="solid">
        <fgColor rgb="FF00FFFF"/>
        <bgColor rgb="FF00FFFF"/>
      </patternFill>
    </fill>
    <fill>
      <patternFill patternType="solid">
        <fgColor rgb="FF0000FF"/>
        <bgColor rgb="FF0000FF"/>
      </patternFill>
    </fill>
    <fill>
      <patternFill patternType="solid">
        <fgColor rgb="FFFFFFFF"/>
        <bgColor rgb="FFFFFFFF"/>
      </patternFill>
    </fill>
    <fill>
      <patternFill patternType="solid">
        <fgColor rgb="FF00FF00"/>
        <bgColor rgb="FF00FF00"/>
      </patternFill>
    </fill>
    <fill>
      <patternFill patternType="solid">
        <fgColor rgb="FFFF0000"/>
        <bgColor rgb="FFFF0000"/>
      </patternFill>
    </fill>
    <fill>
      <patternFill patternType="solid">
        <fgColor rgb="FFEA9999"/>
        <bgColor rgb="FFEA9999"/>
      </patternFill>
    </fill>
    <fill>
      <patternFill patternType="solid">
        <fgColor rgb="FFEAD1DC"/>
        <bgColor rgb="FFEAD1DC"/>
      </patternFill>
    </fill>
    <fill>
      <patternFill patternType="solid">
        <fgColor rgb="FFCFE2F3"/>
        <bgColor rgb="FFCFE2F3"/>
      </patternFill>
    </fill>
    <fill>
      <patternFill patternType="solid">
        <fgColor rgb="FFD9D2E9"/>
        <bgColor rgb="FFD9D2E9"/>
      </patternFill>
    </fill>
    <fill>
      <patternFill patternType="solid">
        <fgColor theme="6"/>
        <bgColor theme="6"/>
      </patternFill>
    </fill>
    <fill>
      <patternFill patternType="solid">
        <fgColor rgb="FFFF00FF"/>
        <bgColor rgb="FFFF00FF"/>
      </patternFill>
    </fill>
  </fills>
  <borders count="1">
    <border>
      <left/>
      <right/>
      <top/>
      <bottom/>
      <diagonal/>
    </border>
  </borders>
  <cellStyleXfs count="1">
    <xf numFmtId="0" fontId="0" fillId="0" borderId="0"/>
  </cellStyleXfs>
  <cellXfs count="86">
    <xf numFmtId="0" fontId="0" fillId="0" borderId="0" xfId="0"/>
    <xf numFmtId="0" fontId="1" fillId="2" borderId="0" xfId="0" applyFont="1" applyFill="1" applyAlignment="1">
      <alignment wrapText="1"/>
    </xf>
    <xf numFmtId="14" fontId="1" fillId="2" borderId="0" xfId="0" applyNumberFormat="1" applyFont="1" applyFill="1" applyAlignment="1">
      <alignment wrapText="1"/>
    </xf>
    <xf numFmtId="0" fontId="1" fillId="0" borderId="0" xfId="0" applyFont="1" applyAlignment="1">
      <alignment wrapText="1"/>
    </xf>
    <xf numFmtId="0" fontId="2" fillId="0" borderId="0" xfId="0" applyFont="1" applyAlignment="1">
      <alignment wrapText="1"/>
    </xf>
    <xf numFmtId="0" fontId="3" fillId="0" borderId="0" xfId="0" applyFont="1"/>
    <xf numFmtId="0" fontId="4" fillId="0" borderId="0" xfId="0" applyFont="1"/>
    <xf numFmtId="164" fontId="2" fillId="0" borderId="0" xfId="0" applyNumberFormat="1" applyFont="1" applyAlignment="1">
      <alignment horizontal="right"/>
    </xf>
    <xf numFmtId="14" fontId="2" fillId="0" borderId="0" xfId="0" applyNumberFormat="1" applyFont="1" applyAlignment="1">
      <alignment horizontal="right"/>
    </xf>
    <xf numFmtId="0" fontId="2" fillId="0" borderId="0" xfId="0" applyFont="1"/>
    <xf numFmtId="0" fontId="2" fillId="2" borderId="0" xfId="0" applyFont="1" applyFill="1" applyAlignment="1">
      <alignment horizontal="right"/>
    </xf>
    <xf numFmtId="0" fontId="5" fillId="0" borderId="0" xfId="0" applyFont="1"/>
    <xf numFmtId="0" fontId="5" fillId="2" borderId="0" xfId="0" applyFont="1" applyFill="1"/>
    <xf numFmtId="0" fontId="2" fillId="0" borderId="0" xfId="0" applyFont="1" applyAlignment="1">
      <alignment horizontal="right"/>
    </xf>
    <xf numFmtId="10" fontId="6" fillId="3" borderId="0" xfId="0" applyNumberFormat="1" applyFont="1" applyFill="1" applyAlignment="1">
      <alignment horizontal="right"/>
    </xf>
    <xf numFmtId="0" fontId="2" fillId="2" borderId="0" xfId="0" applyFont="1" applyFill="1"/>
    <xf numFmtId="165" fontId="2" fillId="0" borderId="0" xfId="0" applyNumberFormat="1" applyFont="1" applyAlignment="1">
      <alignment horizontal="right"/>
    </xf>
    <xf numFmtId="0" fontId="2" fillId="3" borderId="0" xfId="0" applyFont="1" applyFill="1" applyAlignment="1">
      <alignment horizontal="right"/>
    </xf>
    <xf numFmtId="0" fontId="2" fillId="4" borderId="0" xfId="0" applyFont="1" applyFill="1" applyAlignment="1">
      <alignment horizontal="right"/>
    </xf>
    <xf numFmtId="0" fontId="7" fillId="5" borderId="0" xfId="0" applyFont="1" applyFill="1" applyAlignment="1">
      <alignment horizontal="right"/>
    </xf>
    <xf numFmtId="165" fontId="2" fillId="0" borderId="0" xfId="0" applyNumberFormat="1" applyFont="1"/>
    <xf numFmtId="14" fontId="2" fillId="0" borderId="0" xfId="0" applyNumberFormat="1" applyFont="1"/>
    <xf numFmtId="0" fontId="4" fillId="6" borderId="0" xfId="0" applyFont="1" applyFill="1"/>
    <xf numFmtId="165" fontId="2" fillId="6" borderId="0" xfId="0" applyNumberFormat="1" applyFont="1" applyFill="1"/>
    <xf numFmtId="14" fontId="2" fillId="6" borderId="0" xfId="0" applyNumberFormat="1" applyFont="1" applyFill="1"/>
    <xf numFmtId="0" fontId="2" fillId="6" borderId="0" xfId="0" applyFont="1" applyFill="1"/>
    <xf numFmtId="0" fontId="5" fillId="6" borderId="0" xfId="0" applyFont="1" applyFill="1"/>
    <xf numFmtId="0" fontId="8" fillId="7" borderId="0" xfId="0" applyFont="1" applyFill="1" applyAlignment="1">
      <alignment horizontal="right"/>
    </xf>
    <xf numFmtId="0" fontId="9" fillId="0" borderId="0" xfId="0" applyFont="1"/>
    <xf numFmtId="14" fontId="10" fillId="0" borderId="0" xfId="0" applyNumberFormat="1" applyFont="1"/>
    <xf numFmtId="0" fontId="11" fillId="0" borderId="0" xfId="0" applyFont="1"/>
    <xf numFmtId="0" fontId="11" fillId="2" borderId="0" xfId="0" applyFont="1" applyFill="1"/>
    <xf numFmtId="0" fontId="9" fillId="6" borderId="0" xfId="0" applyFont="1" applyFill="1"/>
    <xf numFmtId="0" fontId="10" fillId="6" borderId="0" xfId="0" applyFont="1" applyFill="1"/>
    <xf numFmtId="14" fontId="10" fillId="6" borderId="0" xfId="0" applyNumberFormat="1" applyFont="1" applyFill="1"/>
    <xf numFmtId="0" fontId="11" fillId="6" borderId="0" xfId="0" applyFont="1" applyFill="1"/>
    <xf numFmtId="10" fontId="6" fillId="6" borderId="0" xfId="0" applyNumberFormat="1" applyFont="1" applyFill="1" applyAlignment="1">
      <alignment horizontal="right"/>
    </xf>
    <xf numFmtId="165" fontId="10" fillId="0" borderId="0" xfId="0" applyNumberFormat="1" applyFont="1"/>
    <xf numFmtId="0" fontId="10" fillId="0" borderId="0" xfId="0" applyFont="1"/>
    <xf numFmtId="164" fontId="10" fillId="0" borderId="0" xfId="0" applyNumberFormat="1" applyFont="1"/>
    <xf numFmtId="0" fontId="11" fillId="3" borderId="0" xfId="0" applyFont="1" applyFill="1"/>
    <xf numFmtId="0" fontId="10" fillId="5" borderId="0" xfId="0" applyFont="1" applyFill="1"/>
    <xf numFmtId="0" fontId="10" fillId="2" borderId="0" xfId="0" applyFont="1" applyFill="1"/>
    <xf numFmtId="0" fontId="10" fillId="3" borderId="0" xfId="0" applyFont="1" applyFill="1"/>
    <xf numFmtId="0" fontId="9" fillId="3" borderId="0" xfId="0" applyFont="1" applyFill="1"/>
    <xf numFmtId="0" fontId="10" fillId="8" borderId="0" xfId="0" applyFont="1" applyFill="1"/>
    <xf numFmtId="0" fontId="9" fillId="7" borderId="0" xfId="0" applyFont="1" applyFill="1"/>
    <xf numFmtId="0" fontId="11" fillId="9" borderId="0" xfId="0" applyFont="1" applyFill="1"/>
    <xf numFmtId="165" fontId="10" fillId="6" borderId="0" xfId="0" applyNumberFormat="1" applyFont="1" applyFill="1"/>
    <xf numFmtId="0" fontId="12" fillId="10" borderId="0" xfId="0" applyFont="1" applyFill="1" applyAlignment="1">
      <alignment horizontal="left"/>
    </xf>
    <xf numFmtId="0" fontId="13" fillId="0" borderId="0" xfId="0" applyFont="1"/>
    <xf numFmtId="0" fontId="12" fillId="7" borderId="0" xfId="0" applyFont="1" applyFill="1" applyAlignment="1">
      <alignment horizontal="left"/>
    </xf>
    <xf numFmtId="0" fontId="14" fillId="7" borderId="0" xfId="0" applyFont="1" applyFill="1" applyAlignment="1">
      <alignment horizontal="left"/>
    </xf>
    <xf numFmtId="0" fontId="15" fillId="7" borderId="0" xfId="0" applyFont="1" applyFill="1"/>
    <xf numFmtId="0" fontId="9" fillId="10" borderId="0" xfId="0" applyFont="1" applyFill="1"/>
    <xf numFmtId="0" fontId="9" fillId="11" borderId="0" xfId="0" applyFont="1" applyFill="1"/>
    <xf numFmtId="0" fontId="16" fillId="11" borderId="0" xfId="0" applyFont="1" applyFill="1"/>
    <xf numFmtId="0" fontId="17" fillId="7" borderId="0" xfId="0" applyFont="1" applyFill="1" applyAlignment="1">
      <alignment horizontal="left"/>
    </xf>
    <xf numFmtId="0" fontId="18" fillId="0" borderId="0" xfId="0" applyFont="1"/>
    <xf numFmtId="0" fontId="19" fillId="7" borderId="0" xfId="0" applyFont="1" applyFill="1" applyAlignment="1">
      <alignment horizontal="left"/>
    </xf>
    <xf numFmtId="0" fontId="10" fillId="7" borderId="0" xfId="0" applyFont="1" applyFill="1"/>
    <xf numFmtId="15" fontId="10" fillId="0" borderId="0" xfId="0" applyNumberFormat="1" applyFont="1"/>
    <xf numFmtId="11" fontId="10" fillId="0" borderId="0" xfId="0" applyNumberFormat="1" applyFont="1"/>
    <xf numFmtId="0" fontId="11" fillId="12" borderId="0" xfId="0" applyFont="1" applyFill="1"/>
    <xf numFmtId="0" fontId="2" fillId="7" borderId="0" xfId="0" applyFont="1" applyFill="1" applyAlignment="1">
      <alignment horizontal="left"/>
    </xf>
    <xf numFmtId="0" fontId="20" fillId="7" borderId="0" xfId="0" applyFont="1" applyFill="1" applyAlignment="1">
      <alignment horizontal="left"/>
    </xf>
    <xf numFmtId="0" fontId="10" fillId="0" borderId="0" xfId="0" applyFont="1" applyAlignment="1">
      <alignment wrapText="1"/>
    </xf>
    <xf numFmtId="0" fontId="10" fillId="0" borderId="0" xfId="0" applyFont="1" applyAlignment="1">
      <alignment vertical="top" wrapText="1"/>
    </xf>
    <xf numFmtId="0" fontId="11" fillId="13" borderId="0" xfId="0" applyFont="1" applyFill="1"/>
    <xf numFmtId="0" fontId="9" fillId="2" borderId="0" xfId="0" applyFont="1" applyFill="1"/>
    <xf numFmtId="0" fontId="21" fillId="0" borderId="0" xfId="0" applyFont="1"/>
    <xf numFmtId="165" fontId="21" fillId="0" borderId="0" xfId="0" applyNumberFormat="1" applyFont="1" applyAlignment="1">
      <alignment horizontal="right"/>
    </xf>
    <xf numFmtId="14" fontId="21" fillId="0" borderId="0" xfId="0" applyNumberFormat="1" applyFont="1" applyAlignment="1">
      <alignment horizontal="right"/>
    </xf>
    <xf numFmtId="0" fontId="21" fillId="0" borderId="0" xfId="0" applyFont="1" applyAlignment="1">
      <alignment horizontal="right"/>
    </xf>
    <xf numFmtId="15" fontId="21" fillId="0" borderId="0" xfId="0" applyNumberFormat="1" applyFont="1" applyAlignment="1">
      <alignment horizontal="right"/>
    </xf>
    <xf numFmtId="11" fontId="21" fillId="0" borderId="0" xfId="0" applyNumberFormat="1" applyFont="1" applyAlignment="1">
      <alignment horizontal="right"/>
    </xf>
    <xf numFmtId="10" fontId="6" fillId="14" borderId="0" xfId="0" applyNumberFormat="1" applyFont="1" applyFill="1" applyAlignment="1">
      <alignment horizontal="right"/>
    </xf>
    <xf numFmtId="0" fontId="12" fillId="7" borderId="0" xfId="0" applyFont="1" applyFill="1" applyAlignment="1">
      <alignment horizontal="left" vertical="top" wrapText="1"/>
    </xf>
    <xf numFmtId="0" fontId="22" fillId="7" borderId="0" xfId="0" applyFont="1" applyFill="1" applyAlignment="1">
      <alignment horizontal="left" wrapText="1"/>
    </xf>
    <xf numFmtId="0" fontId="12" fillId="7" borderId="0" xfId="0" applyFont="1" applyFill="1" applyAlignment="1">
      <alignment horizontal="left" wrapText="1"/>
    </xf>
    <xf numFmtId="0" fontId="21" fillId="7" borderId="0" xfId="0" applyFont="1" applyFill="1"/>
    <xf numFmtId="0" fontId="21" fillId="5" borderId="0" xfId="0" applyFont="1" applyFill="1" applyAlignment="1">
      <alignment horizontal="right"/>
    </xf>
    <xf numFmtId="0" fontId="9" fillId="8" borderId="0" xfId="0" applyFont="1" applyFill="1"/>
    <xf numFmtId="0" fontId="10" fillId="15" borderId="0" xfId="0" applyFont="1" applyFill="1"/>
    <xf numFmtId="0" fontId="21" fillId="3" borderId="0" xfId="0" applyFont="1" applyFill="1"/>
    <xf numFmtId="0" fontId="22" fillId="7" borderId="0" xfId="0" applyFont="1" applyFill="1" applyAlignment="1">
      <alignment horizontal="left" vertical="top" wrapText="1"/>
    </xf>
  </cellXfs>
  <cellStyles count="1">
    <cellStyle name="Normal" xfId="0" builtinId="0"/>
  </cellStyles>
  <dxfs count="26">
    <dxf>
      <fill>
        <patternFill patternType="solid">
          <fgColor rgb="FF00FF00"/>
          <bgColor rgb="FF00FF00"/>
        </patternFill>
      </fill>
    </dxf>
    <dxf>
      <fill>
        <patternFill patternType="solid">
          <fgColor rgb="FFFFFF00"/>
          <bgColor rgb="FFFFFF00"/>
        </patternFill>
      </fill>
    </dxf>
    <dxf>
      <fill>
        <patternFill patternType="solid">
          <fgColor rgb="FFFFFF00"/>
          <bgColor rgb="FFFFFF00"/>
        </patternFill>
      </fill>
    </dxf>
    <dxf>
      <fill>
        <patternFill patternType="solid">
          <fgColor rgb="FFFF9900"/>
          <bgColor rgb="FFFF9900"/>
        </patternFill>
      </fill>
    </dxf>
    <dxf>
      <fill>
        <patternFill patternType="solid">
          <fgColor rgb="FFFFCB00"/>
          <bgColor rgb="FFFFCB00"/>
        </patternFill>
      </fill>
    </dxf>
    <dxf>
      <fill>
        <patternFill patternType="solid">
          <fgColor rgb="FFFEC682"/>
          <bgColor rgb="FFFEC682"/>
        </patternFill>
      </fill>
    </dxf>
    <dxf>
      <fill>
        <patternFill patternType="solid">
          <fgColor rgb="FFFFE599"/>
          <bgColor rgb="FFFFE599"/>
        </patternFill>
      </fill>
    </dxf>
    <dxf>
      <fill>
        <patternFill patternType="solid">
          <fgColor rgb="FFFFFF00"/>
          <bgColor rgb="FFFFFF00"/>
        </patternFill>
      </fill>
    </dxf>
    <dxf>
      <fill>
        <patternFill patternType="solid">
          <fgColor rgb="FFB7E1CD"/>
          <bgColor rgb="FFB7E1CD"/>
        </patternFill>
      </fill>
    </dxf>
    <dxf>
      <fill>
        <patternFill patternType="solid">
          <fgColor rgb="FFFFFF00"/>
          <bgColor rgb="FFFFFF00"/>
        </patternFill>
      </fill>
    </dxf>
    <dxf>
      <fill>
        <patternFill patternType="solid">
          <fgColor rgb="FFFBBC04"/>
          <bgColor rgb="FFFBBC04"/>
        </patternFill>
      </fill>
    </dxf>
    <dxf>
      <fill>
        <patternFill patternType="solid">
          <fgColor rgb="FFFFFF00"/>
          <bgColor rgb="FFFFFF00"/>
        </patternFill>
      </fill>
    </dxf>
    <dxf>
      <fill>
        <patternFill patternType="solid">
          <fgColor rgb="FFFF00FF"/>
          <bgColor rgb="FFFF00FF"/>
        </patternFill>
      </fill>
    </dxf>
    <dxf>
      <fill>
        <patternFill patternType="solid">
          <fgColor rgb="FF00FF00"/>
          <bgColor rgb="FF00FF00"/>
        </patternFill>
      </fill>
    </dxf>
    <dxf>
      <fill>
        <patternFill patternType="solid">
          <fgColor rgb="FFFFFF00"/>
          <bgColor rgb="FFFFFF00"/>
        </patternFill>
      </fill>
    </dxf>
    <dxf>
      <fill>
        <patternFill patternType="solid">
          <fgColor rgb="FFFFFF00"/>
          <bgColor rgb="FFFFFF00"/>
        </patternFill>
      </fill>
    </dxf>
    <dxf>
      <fill>
        <patternFill patternType="solid">
          <fgColor rgb="FFFF9900"/>
          <bgColor rgb="FFFF9900"/>
        </patternFill>
      </fill>
    </dxf>
    <dxf>
      <fill>
        <patternFill patternType="solid">
          <fgColor rgb="FFFFCB00"/>
          <bgColor rgb="FFFFCB00"/>
        </patternFill>
      </fill>
    </dxf>
    <dxf>
      <fill>
        <patternFill patternType="solid">
          <fgColor rgb="FFFEC682"/>
          <bgColor rgb="FFFEC682"/>
        </patternFill>
      </fill>
    </dxf>
    <dxf>
      <fill>
        <patternFill patternType="solid">
          <fgColor rgb="FFFFE599"/>
          <bgColor rgb="FFFFE599"/>
        </patternFill>
      </fill>
    </dxf>
    <dxf>
      <fill>
        <patternFill patternType="solid">
          <fgColor rgb="FFFFFF00"/>
          <bgColor rgb="FFFFFF00"/>
        </patternFill>
      </fill>
    </dxf>
    <dxf>
      <fill>
        <patternFill patternType="solid">
          <fgColor rgb="FFB7E1CD"/>
          <bgColor rgb="FFB7E1CD"/>
        </patternFill>
      </fill>
    </dxf>
    <dxf>
      <fill>
        <patternFill patternType="solid">
          <fgColor rgb="FFFFFF00"/>
          <bgColor rgb="FFFFFF00"/>
        </patternFill>
      </fill>
    </dxf>
    <dxf>
      <fill>
        <patternFill patternType="solid">
          <fgColor rgb="FFFBBC04"/>
          <bgColor rgb="FFFBBC04"/>
        </patternFill>
      </fill>
    </dxf>
    <dxf>
      <fill>
        <patternFill patternType="solid">
          <fgColor rgb="FFFFFF00"/>
          <bgColor rgb="FFFFFF00"/>
        </patternFill>
      </fill>
    </dxf>
    <dxf>
      <fill>
        <patternFill patternType="solid">
          <fgColor rgb="FFFF00FF"/>
          <bgColor rgb="FFFF00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BH2022"/>
  <sheetViews>
    <sheetView tabSelected="1" topLeftCell="V1" workbookViewId="0">
      <pane ySplit="1" topLeftCell="A1716" activePane="bottomLeft" state="frozen"/>
      <selection pane="bottomLeft" activeCell="AO1780" sqref="AO1780"/>
    </sheetView>
  </sheetViews>
  <sheetFormatPr defaultColWidth="12.6328125" defaultRowHeight="15.75" customHeight="1"/>
  <cols>
    <col min="1" max="1" width="14.6328125" customWidth="1"/>
    <col min="2" max="2" width="13.7265625" hidden="1" customWidth="1"/>
    <col min="3" max="3" width="11.26953125" customWidth="1"/>
    <col min="4" max="7" width="12.6328125" hidden="1"/>
    <col min="8" max="8" width="10" customWidth="1"/>
    <col min="9" max="10" width="12.6328125" hidden="1"/>
    <col min="11" max="11" width="10.08984375" hidden="1" customWidth="1"/>
    <col min="12" max="12" width="8" customWidth="1"/>
    <col min="13" max="13" width="8.08984375" customWidth="1"/>
    <col min="14" max="14" width="12.6328125" hidden="1"/>
    <col min="15" max="15" width="11.90625" customWidth="1"/>
    <col min="16" max="16" width="18.7265625" customWidth="1"/>
    <col min="18" max="18" width="9.90625" customWidth="1"/>
    <col min="19" max="19" width="23.453125" customWidth="1"/>
    <col min="20" max="21" width="12.6328125" hidden="1"/>
    <col min="22" max="22" width="14.90625" customWidth="1"/>
    <col min="23" max="24" width="12.6328125" hidden="1"/>
    <col min="25" max="25" width="10.90625" hidden="1" customWidth="1"/>
    <col min="26" max="26" width="7.90625" hidden="1" customWidth="1"/>
    <col min="27" max="31" width="12.6328125" hidden="1"/>
    <col min="32" max="32" width="9.08984375" hidden="1" customWidth="1"/>
    <col min="33" max="34" width="12.6328125" hidden="1"/>
    <col min="35" max="35" width="10.36328125" customWidth="1"/>
    <col min="36" max="36" width="8.90625" customWidth="1"/>
    <col min="37" max="37" width="9.90625" customWidth="1"/>
    <col min="38" max="38" width="15.36328125" customWidth="1"/>
    <col min="39" max="39" width="12.7265625" customWidth="1"/>
    <col min="40" max="40" width="8.6328125" customWidth="1"/>
    <col min="41" max="41" width="14.6328125" customWidth="1"/>
    <col min="42" max="42" width="14.90625" customWidth="1"/>
  </cols>
  <sheetData>
    <row r="1" spans="1:60" ht="43.5">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4"/>
      <c r="AH1" s="4"/>
      <c r="AI1" s="4" t="s">
        <v>32</v>
      </c>
      <c r="AJ1" s="4" t="s">
        <v>33</v>
      </c>
      <c r="AK1" s="4" t="s">
        <v>34</v>
      </c>
      <c r="AL1" s="4" t="s">
        <v>35</v>
      </c>
      <c r="AM1" s="4" t="s">
        <v>36</v>
      </c>
      <c r="AN1" s="4" t="s">
        <v>37</v>
      </c>
      <c r="AO1" s="5" t="s">
        <v>38</v>
      </c>
      <c r="AP1" s="4" t="s">
        <v>39</v>
      </c>
      <c r="AQ1" s="4"/>
      <c r="AR1" s="4"/>
      <c r="AS1" s="4"/>
      <c r="AT1" s="4"/>
      <c r="AU1" s="4"/>
      <c r="AV1" s="4"/>
      <c r="AW1" s="4"/>
      <c r="AX1" s="4"/>
      <c r="AY1" s="4"/>
      <c r="AZ1" s="4"/>
      <c r="BA1" s="4"/>
      <c r="BB1" s="4"/>
      <c r="BC1" s="4"/>
      <c r="BD1" s="4"/>
      <c r="BE1" s="4"/>
      <c r="BF1" s="4"/>
      <c r="BG1" s="4"/>
      <c r="BH1" s="4"/>
    </row>
    <row r="2" spans="1:60" ht="12.5" hidden="1">
      <c r="A2" s="6" t="s">
        <v>40</v>
      </c>
      <c r="B2" s="7">
        <v>45603</v>
      </c>
      <c r="C2" s="8">
        <v>45605</v>
      </c>
      <c r="D2" s="9" t="s">
        <v>41</v>
      </c>
      <c r="E2" s="9" t="s">
        <v>42</v>
      </c>
      <c r="F2" s="9"/>
      <c r="G2" s="9" t="s">
        <v>43</v>
      </c>
      <c r="H2" s="10">
        <v>13.51</v>
      </c>
      <c r="I2" s="9" t="s">
        <v>44</v>
      </c>
      <c r="J2" s="9" t="s">
        <v>45</v>
      </c>
      <c r="K2" s="9" t="s">
        <v>46</v>
      </c>
      <c r="L2" s="11" t="s">
        <v>47</v>
      </c>
      <c r="M2" s="9" t="s">
        <v>48</v>
      </c>
      <c r="N2" s="9" t="s">
        <v>48</v>
      </c>
      <c r="O2" s="12" t="s">
        <v>49</v>
      </c>
      <c r="P2" s="6" t="s">
        <v>50</v>
      </c>
      <c r="Q2" s="9" t="s">
        <v>51</v>
      </c>
      <c r="R2" s="13">
        <v>1</v>
      </c>
      <c r="S2" s="9" t="s">
        <v>52</v>
      </c>
      <c r="T2" s="9" t="s">
        <v>53</v>
      </c>
      <c r="U2" s="9" t="s">
        <v>54</v>
      </c>
      <c r="V2" s="9" t="s">
        <v>55</v>
      </c>
      <c r="W2" s="9"/>
      <c r="X2" s="9"/>
      <c r="Y2" s="13">
        <v>95.83</v>
      </c>
      <c r="Z2" s="13">
        <v>1</v>
      </c>
      <c r="AA2" s="9"/>
      <c r="AB2" s="9"/>
      <c r="AC2" s="9"/>
      <c r="AD2" s="9"/>
      <c r="AE2" s="9"/>
      <c r="AF2" s="13">
        <v>95.83</v>
      </c>
      <c r="AG2" s="9"/>
      <c r="AH2" s="9"/>
      <c r="AI2" s="9">
        <v>2</v>
      </c>
      <c r="AJ2" s="9">
        <v>3</v>
      </c>
      <c r="AK2" s="14">
        <f t="shared" ref="AK2:AK256" si="0">AI2/AJ2*1</f>
        <v>0.66666666666666663</v>
      </c>
      <c r="AL2" s="9"/>
      <c r="AM2" s="9"/>
      <c r="AN2" s="9"/>
      <c r="AO2" s="6"/>
      <c r="AP2" s="9"/>
      <c r="AQ2" s="9"/>
      <c r="AR2" s="9"/>
      <c r="AS2" s="9"/>
      <c r="AT2" s="9"/>
      <c r="AU2" s="9"/>
      <c r="AV2" s="9"/>
      <c r="AW2" s="9"/>
      <c r="AX2" s="9"/>
      <c r="AY2" s="9"/>
      <c r="AZ2" s="9"/>
      <c r="BA2" s="9"/>
      <c r="BB2" s="9"/>
      <c r="BC2" s="9"/>
      <c r="BD2" s="9"/>
      <c r="BE2" s="9"/>
      <c r="BF2" s="9"/>
      <c r="BG2" s="9"/>
      <c r="BH2" s="9"/>
    </row>
    <row r="3" spans="1:60" ht="12.5" hidden="1">
      <c r="A3" s="6" t="s">
        <v>56</v>
      </c>
      <c r="B3" s="7">
        <v>45539</v>
      </c>
      <c r="C3" s="8">
        <v>45604</v>
      </c>
      <c r="D3" s="9" t="s">
        <v>57</v>
      </c>
      <c r="E3" s="9"/>
      <c r="F3" s="9"/>
      <c r="G3" s="9"/>
      <c r="H3" s="15"/>
      <c r="I3" s="9"/>
      <c r="J3" s="9"/>
      <c r="K3" s="9"/>
      <c r="L3" s="11" t="s">
        <v>58</v>
      </c>
      <c r="M3" s="9" t="s">
        <v>48</v>
      </c>
      <c r="N3" s="9" t="s">
        <v>48</v>
      </c>
      <c r="O3" s="12" t="s">
        <v>49</v>
      </c>
      <c r="P3" s="6" t="s">
        <v>50</v>
      </c>
      <c r="Q3" s="9" t="s">
        <v>51</v>
      </c>
      <c r="R3" s="13">
        <v>1</v>
      </c>
      <c r="S3" s="9" t="s">
        <v>59</v>
      </c>
      <c r="T3" s="9" t="s">
        <v>48</v>
      </c>
      <c r="U3" s="9" t="s">
        <v>60</v>
      </c>
      <c r="V3" s="9" t="s">
        <v>61</v>
      </c>
      <c r="W3" s="9"/>
      <c r="X3" s="9"/>
      <c r="Y3" s="13">
        <v>93.07</v>
      </c>
      <c r="Z3" s="13">
        <v>1</v>
      </c>
      <c r="AA3" s="9"/>
      <c r="AB3" s="9"/>
      <c r="AC3" s="9"/>
      <c r="AD3" s="9"/>
      <c r="AE3" s="9"/>
      <c r="AF3" s="13">
        <v>93.07</v>
      </c>
      <c r="AG3" s="9"/>
      <c r="AH3" s="9"/>
      <c r="AI3" s="9"/>
      <c r="AJ3" s="9"/>
      <c r="AK3" s="14" t="e">
        <f t="shared" si="0"/>
        <v>#DIV/0!</v>
      </c>
      <c r="AL3" s="9"/>
      <c r="AM3" s="9"/>
      <c r="AN3" s="9"/>
      <c r="AO3" s="6"/>
      <c r="AP3" s="9"/>
      <c r="AQ3" s="9"/>
      <c r="AR3" s="9"/>
      <c r="AS3" s="9"/>
      <c r="AT3" s="9"/>
      <c r="AU3" s="9"/>
      <c r="AV3" s="9"/>
      <c r="AW3" s="9"/>
      <c r="AX3" s="9"/>
      <c r="AY3" s="9"/>
      <c r="AZ3" s="9"/>
      <c r="BA3" s="9"/>
      <c r="BB3" s="9"/>
      <c r="BC3" s="9"/>
      <c r="BD3" s="9"/>
      <c r="BE3" s="9"/>
      <c r="BF3" s="9"/>
      <c r="BG3" s="9"/>
      <c r="BH3" s="9"/>
    </row>
    <row r="4" spans="1:60" ht="12.5" hidden="1">
      <c r="A4" s="6" t="s">
        <v>62</v>
      </c>
      <c r="B4" s="16">
        <v>45591</v>
      </c>
      <c r="C4" s="8">
        <v>45601</v>
      </c>
      <c r="D4" s="9" t="s">
        <v>41</v>
      </c>
      <c r="E4" s="9" t="s">
        <v>63</v>
      </c>
      <c r="F4" s="9"/>
      <c r="G4" s="9" t="s">
        <v>43</v>
      </c>
      <c r="H4" s="10">
        <v>9.99</v>
      </c>
      <c r="I4" s="9" t="s">
        <v>44</v>
      </c>
      <c r="J4" s="9" t="s">
        <v>45</v>
      </c>
      <c r="K4" s="9" t="s">
        <v>64</v>
      </c>
      <c r="L4" s="11" t="s">
        <v>58</v>
      </c>
      <c r="M4" s="9" t="s">
        <v>48</v>
      </c>
      <c r="N4" s="9" t="s">
        <v>48</v>
      </c>
      <c r="O4" s="12" t="s">
        <v>65</v>
      </c>
      <c r="P4" s="6" t="s">
        <v>66</v>
      </c>
      <c r="Q4" s="9" t="s">
        <v>67</v>
      </c>
      <c r="R4" s="13">
        <v>1</v>
      </c>
      <c r="S4" s="9" t="s">
        <v>68</v>
      </c>
      <c r="T4" s="9" t="s">
        <v>53</v>
      </c>
      <c r="U4" s="9" t="s">
        <v>54</v>
      </c>
      <c r="V4" s="9" t="s">
        <v>61</v>
      </c>
      <c r="W4" s="9"/>
      <c r="X4" s="9"/>
      <c r="Y4" s="13">
        <v>75.180000000000007</v>
      </c>
      <c r="Z4" s="13">
        <v>1</v>
      </c>
      <c r="AA4" s="9"/>
      <c r="AB4" s="9"/>
      <c r="AC4" s="9"/>
      <c r="AD4" s="9"/>
      <c r="AE4" s="9"/>
      <c r="AF4" s="9"/>
      <c r="AG4" s="9"/>
      <c r="AH4" s="9"/>
      <c r="AI4" s="9">
        <v>1</v>
      </c>
      <c r="AJ4" s="9">
        <v>4</v>
      </c>
      <c r="AK4" s="14">
        <f t="shared" si="0"/>
        <v>0.25</v>
      </c>
      <c r="AL4" s="9"/>
      <c r="AM4" s="9"/>
      <c r="AN4" s="9"/>
      <c r="AO4" s="6"/>
      <c r="AP4" s="9"/>
      <c r="AQ4" s="9"/>
      <c r="AR4" s="9"/>
      <c r="AS4" s="9"/>
      <c r="AT4" s="9"/>
      <c r="AU4" s="9"/>
      <c r="AV4" s="9"/>
      <c r="AW4" s="9"/>
      <c r="AX4" s="9"/>
      <c r="AY4" s="9"/>
      <c r="AZ4" s="9"/>
      <c r="BA4" s="9"/>
      <c r="BB4" s="9"/>
      <c r="BC4" s="9"/>
      <c r="BD4" s="9"/>
      <c r="BE4" s="9"/>
      <c r="BF4" s="9"/>
      <c r="BG4" s="9"/>
      <c r="BH4" s="9"/>
    </row>
    <row r="5" spans="1:60" ht="12.5" hidden="1">
      <c r="A5" s="6" t="s">
        <v>69</v>
      </c>
      <c r="B5" s="16">
        <v>45580</v>
      </c>
      <c r="C5" s="8">
        <v>45601</v>
      </c>
      <c r="D5" s="9" t="s">
        <v>41</v>
      </c>
      <c r="E5" s="9" t="s">
        <v>70</v>
      </c>
      <c r="F5" s="9"/>
      <c r="G5" s="9" t="s">
        <v>43</v>
      </c>
      <c r="H5" s="10">
        <v>10.69</v>
      </c>
      <c r="I5" s="9" t="s">
        <v>44</v>
      </c>
      <c r="J5" s="9" t="s">
        <v>45</v>
      </c>
      <c r="K5" s="9" t="s">
        <v>71</v>
      </c>
      <c r="L5" s="11" t="s">
        <v>58</v>
      </c>
      <c r="M5" s="9" t="s">
        <v>48</v>
      </c>
      <c r="N5" s="9" t="s">
        <v>48</v>
      </c>
      <c r="O5" s="12" t="s">
        <v>72</v>
      </c>
      <c r="P5" s="6" t="s">
        <v>73</v>
      </c>
      <c r="Q5" s="9" t="s">
        <v>74</v>
      </c>
      <c r="R5" s="13">
        <v>1</v>
      </c>
      <c r="S5" s="9" t="s">
        <v>75</v>
      </c>
      <c r="T5" s="9" t="s">
        <v>53</v>
      </c>
      <c r="U5" s="9" t="s">
        <v>54</v>
      </c>
      <c r="V5" s="9" t="s">
        <v>61</v>
      </c>
      <c r="W5" s="9"/>
      <c r="X5" s="9"/>
      <c r="Y5" s="13">
        <v>52.58</v>
      </c>
      <c r="Z5" s="13">
        <v>1</v>
      </c>
      <c r="AA5" s="9"/>
      <c r="AB5" s="9"/>
      <c r="AC5" s="9"/>
      <c r="AD5" s="9"/>
      <c r="AE5" s="9"/>
      <c r="AF5" s="9"/>
      <c r="AG5" s="9"/>
      <c r="AH5" s="9"/>
      <c r="AI5" s="9">
        <v>1</v>
      </c>
      <c r="AJ5" s="9">
        <v>17</v>
      </c>
      <c r="AK5" s="14">
        <f t="shared" si="0"/>
        <v>5.8823529411764705E-2</v>
      </c>
      <c r="AL5" s="9"/>
      <c r="AM5" s="9"/>
      <c r="AN5" s="9"/>
      <c r="AO5" s="6"/>
      <c r="AP5" s="9"/>
      <c r="AQ5" s="9"/>
      <c r="AR5" s="9"/>
      <c r="AS5" s="9"/>
      <c r="AT5" s="9"/>
      <c r="AU5" s="9"/>
      <c r="AV5" s="9"/>
      <c r="AW5" s="9"/>
      <c r="AX5" s="9"/>
      <c r="AY5" s="9"/>
      <c r="AZ5" s="9"/>
      <c r="BA5" s="9"/>
      <c r="BB5" s="9"/>
      <c r="BC5" s="9"/>
      <c r="BD5" s="9"/>
      <c r="BE5" s="9"/>
      <c r="BF5" s="9"/>
      <c r="BG5" s="9"/>
      <c r="BH5" s="9"/>
    </row>
    <row r="6" spans="1:60" ht="12.5" hidden="1">
      <c r="A6" s="6" t="s">
        <v>76</v>
      </c>
      <c r="B6" s="7">
        <v>45600</v>
      </c>
      <c r="C6" s="8">
        <v>45611</v>
      </c>
      <c r="D6" s="9" t="s">
        <v>41</v>
      </c>
      <c r="E6" s="9" t="s">
        <v>77</v>
      </c>
      <c r="F6" s="9"/>
      <c r="G6" s="9" t="s">
        <v>43</v>
      </c>
      <c r="H6" s="10">
        <v>10.69</v>
      </c>
      <c r="I6" s="9" t="s">
        <v>44</v>
      </c>
      <c r="J6" s="9" t="s">
        <v>45</v>
      </c>
      <c r="K6" s="9" t="s">
        <v>78</v>
      </c>
      <c r="L6" s="11" t="s">
        <v>47</v>
      </c>
      <c r="M6" s="9" t="s">
        <v>48</v>
      </c>
      <c r="N6" s="9" t="s">
        <v>48</v>
      </c>
      <c r="O6" s="12" t="s">
        <v>79</v>
      </c>
      <c r="P6" s="6" t="s">
        <v>80</v>
      </c>
      <c r="Q6" s="9" t="s">
        <v>81</v>
      </c>
      <c r="R6" s="13">
        <v>1</v>
      </c>
      <c r="S6" s="9" t="s">
        <v>82</v>
      </c>
      <c r="T6" s="9" t="s">
        <v>53</v>
      </c>
      <c r="U6" s="9" t="s">
        <v>54</v>
      </c>
      <c r="V6" s="9" t="s">
        <v>61</v>
      </c>
      <c r="W6" s="9"/>
      <c r="X6" s="9"/>
      <c r="Y6" s="13">
        <v>52.93</v>
      </c>
      <c r="Z6" s="13">
        <v>1</v>
      </c>
      <c r="AA6" s="9"/>
      <c r="AB6" s="9"/>
      <c r="AC6" s="9"/>
      <c r="AD6" s="9"/>
      <c r="AE6" s="9"/>
      <c r="AF6" s="9"/>
      <c r="AG6" s="9"/>
      <c r="AH6" s="9"/>
      <c r="AI6" s="9">
        <v>5</v>
      </c>
      <c r="AJ6" s="9">
        <v>31</v>
      </c>
      <c r="AK6" s="14">
        <f t="shared" si="0"/>
        <v>0.16129032258064516</v>
      </c>
      <c r="AL6" s="9"/>
      <c r="AM6" s="9"/>
      <c r="AN6" s="9"/>
      <c r="AO6" s="6"/>
      <c r="AP6" s="9"/>
      <c r="AQ6" s="9"/>
      <c r="AR6" s="9"/>
      <c r="AS6" s="9"/>
      <c r="AT6" s="9"/>
      <c r="AU6" s="9"/>
      <c r="AV6" s="9"/>
      <c r="AW6" s="9"/>
      <c r="AX6" s="9"/>
      <c r="AY6" s="9"/>
      <c r="AZ6" s="9"/>
      <c r="BA6" s="9"/>
      <c r="BB6" s="9"/>
      <c r="BC6" s="9"/>
      <c r="BD6" s="9"/>
      <c r="BE6" s="9"/>
      <c r="BF6" s="9"/>
      <c r="BG6" s="9"/>
      <c r="BH6" s="9"/>
    </row>
    <row r="7" spans="1:60" ht="12.5" hidden="1">
      <c r="A7" s="6" t="s">
        <v>83</v>
      </c>
      <c r="B7" s="7">
        <v>45605</v>
      </c>
      <c r="C7" s="8">
        <v>45608</v>
      </c>
      <c r="D7" s="9" t="s">
        <v>41</v>
      </c>
      <c r="E7" s="9" t="s">
        <v>84</v>
      </c>
      <c r="F7" s="9"/>
      <c r="G7" s="9" t="s">
        <v>43</v>
      </c>
      <c r="H7" s="10">
        <v>10.69</v>
      </c>
      <c r="I7" s="9" t="s">
        <v>44</v>
      </c>
      <c r="J7" s="9" t="s">
        <v>45</v>
      </c>
      <c r="K7" s="9" t="s">
        <v>85</v>
      </c>
      <c r="L7" s="11" t="s">
        <v>47</v>
      </c>
      <c r="M7" s="9" t="s">
        <v>48</v>
      </c>
      <c r="N7" s="9" t="s">
        <v>48</v>
      </c>
      <c r="O7" s="12" t="s">
        <v>79</v>
      </c>
      <c r="P7" s="6" t="s">
        <v>80</v>
      </c>
      <c r="Q7" s="9" t="s">
        <v>81</v>
      </c>
      <c r="R7" s="13">
        <v>1</v>
      </c>
      <c r="S7" s="9" t="s">
        <v>52</v>
      </c>
      <c r="T7" s="9" t="s">
        <v>53</v>
      </c>
      <c r="U7" s="9" t="s">
        <v>54</v>
      </c>
      <c r="V7" s="9" t="s">
        <v>61</v>
      </c>
      <c r="W7" s="9"/>
      <c r="X7" s="9"/>
      <c r="Y7" s="13">
        <v>53.3</v>
      </c>
      <c r="Z7" s="13">
        <v>1</v>
      </c>
      <c r="AA7" s="9"/>
      <c r="AB7" s="9"/>
      <c r="AC7" s="9"/>
      <c r="AD7" s="9"/>
      <c r="AE7" s="9"/>
      <c r="AF7" s="9"/>
      <c r="AG7" s="9"/>
      <c r="AH7" s="9"/>
      <c r="AI7" s="9"/>
      <c r="AJ7" s="9"/>
      <c r="AK7" s="14" t="e">
        <f t="shared" si="0"/>
        <v>#DIV/0!</v>
      </c>
      <c r="AL7" s="9"/>
      <c r="AM7" s="9"/>
      <c r="AN7" s="9"/>
      <c r="AO7" s="6"/>
      <c r="AP7" s="9"/>
      <c r="AQ7" s="9"/>
      <c r="AR7" s="9"/>
      <c r="AS7" s="9"/>
      <c r="AT7" s="9"/>
      <c r="AU7" s="9"/>
      <c r="AV7" s="9"/>
      <c r="AW7" s="9"/>
      <c r="AX7" s="9"/>
      <c r="AY7" s="9"/>
      <c r="AZ7" s="9"/>
      <c r="BA7" s="9"/>
      <c r="BB7" s="9"/>
      <c r="BC7" s="9"/>
      <c r="BD7" s="9"/>
      <c r="BE7" s="9"/>
      <c r="BF7" s="9"/>
      <c r="BG7" s="9"/>
      <c r="BH7" s="9"/>
    </row>
    <row r="8" spans="1:60" ht="12.5" hidden="1">
      <c r="A8" s="6" t="s">
        <v>86</v>
      </c>
      <c r="B8" s="16">
        <v>45579</v>
      </c>
      <c r="C8" s="8">
        <v>45599</v>
      </c>
      <c r="D8" s="9" t="s">
        <v>41</v>
      </c>
      <c r="E8" s="9" t="s">
        <v>87</v>
      </c>
      <c r="F8" s="9"/>
      <c r="G8" s="9" t="s">
        <v>43</v>
      </c>
      <c r="H8" s="10">
        <v>10.71</v>
      </c>
      <c r="I8" s="9" t="s">
        <v>44</v>
      </c>
      <c r="J8" s="9" t="s">
        <v>45</v>
      </c>
      <c r="K8" s="9" t="s">
        <v>88</v>
      </c>
      <c r="L8" s="11" t="s">
        <v>58</v>
      </c>
      <c r="M8" s="9" t="s">
        <v>48</v>
      </c>
      <c r="N8" s="9" t="s">
        <v>48</v>
      </c>
      <c r="O8" s="12" t="s">
        <v>79</v>
      </c>
      <c r="P8" s="6" t="s">
        <v>80</v>
      </c>
      <c r="Q8" s="9" t="s">
        <v>81</v>
      </c>
      <c r="R8" s="13">
        <v>1</v>
      </c>
      <c r="S8" s="9" t="s">
        <v>68</v>
      </c>
      <c r="T8" s="9" t="s">
        <v>53</v>
      </c>
      <c r="U8" s="9" t="s">
        <v>54</v>
      </c>
      <c r="V8" s="9" t="s">
        <v>55</v>
      </c>
      <c r="W8" s="9"/>
      <c r="X8" s="9"/>
      <c r="Y8" s="13">
        <v>55.04</v>
      </c>
      <c r="Z8" s="13">
        <v>1</v>
      </c>
      <c r="AA8" s="9"/>
      <c r="AB8" s="9"/>
      <c r="AC8" s="9"/>
      <c r="AD8" s="9"/>
      <c r="AE8" s="9"/>
      <c r="AF8" s="13">
        <v>44.33</v>
      </c>
      <c r="AG8" s="9"/>
      <c r="AH8" s="9"/>
      <c r="AI8" s="9"/>
      <c r="AJ8" s="9"/>
      <c r="AK8" s="14" t="e">
        <f t="shared" si="0"/>
        <v>#DIV/0!</v>
      </c>
      <c r="AL8" s="9"/>
      <c r="AM8" s="9"/>
      <c r="AN8" s="9"/>
      <c r="AO8" s="6"/>
      <c r="AP8" s="9"/>
      <c r="AQ8" s="9"/>
      <c r="AR8" s="9"/>
      <c r="AS8" s="9"/>
      <c r="AT8" s="9"/>
      <c r="AU8" s="9"/>
      <c r="AV8" s="9"/>
      <c r="AW8" s="9"/>
      <c r="AX8" s="9"/>
      <c r="AY8" s="9"/>
      <c r="AZ8" s="9"/>
      <c r="BA8" s="9"/>
      <c r="BB8" s="9"/>
      <c r="BC8" s="9"/>
      <c r="BD8" s="9"/>
      <c r="BE8" s="9"/>
      <c r="BF8" s="9"/>
      <c r="BG8" s="9"/>
      <c r="BH8" s="9"/>
    </row>
    <row r="9" spans="1:60" ht="12.5" hidden="1">
      <c r="A9" s="6" t="s">
        <v>89</v>
      </c>
      <c r="B9" s="7">
        <v>45597</v>
      </c>
      <c r="C9" s="8">
        <v>45622</v>
      </c>
      <c r="D9" s="9" t="s">
        <v>41</v>
      </c>
      <c r="E9" s="9" t="s">
        <v>90</v>
      </c>
      <c r="F9" s="9"/>
      <c r="G9" s="9" t="s">
        <v>43</v>
      </c>
      <c r="H9" s="10">
        <v>17.690000000000001</v>
      </c>
      <c r="I9" s="9" t="s">
        <v>44</v>
      </c>
      <c r="J9" s="9" t="s">
        <v>45</v>
      </c>
      <c r="K9" s="9" t="s">
        <v>91</v>
      </c>
      <c r="L9" s="11" t="s">
        <v>47</v>
      </c>
      <c r="M9" s="9" t="s">
        <v>53</v>
      </c>
      <c r="N9" s="9" t="s">
        <v>48</v>
      </c>
      <c r="O9" s="12" t="s">
        <v>79</v>
      </c>
      <c r="P9" s="6" t="s">
        <v>80</v>
      </c>
      <c r="Q9" s="9" t="s">
        <v>81</v>
      </c>
      <c r="R9" s="13">
        <v>2</v>
      </c>
      <c r="S9" s="9" t="s">
        <v>92</v>
      </c>
      <c r="T9" s="9" t="s">
        <v>53</v>
      </c>
      <c r="U9" s="9" t="s">
        <v>54</v>
      </c>
      <c r="V9" s="9" t="s">
        <v>61</v>
      </c>
      <c r="W9" s="9"/>
      <c r="X9" s="9"/>
      <c r="Y9" s="13">
        <v>109.1</v>
      </c>
      <c r="Z9" s="13">
        <v>2</v>
      </c>
      <c r="AA9" s="9"/>
      <c r="AB9" s="9"/>
      <c r="AC9" s="9"/>
      <c r="AD9" s="9"/>
      <c r="AE9" s="9"/>
      <c r="AF9" s="13">
        <v>65.5</v>
      </c>
      <c r="AG9" s="9"/>
      <c r="AH9" s="9"/>
      <c r="AI9" s="9"/>
      <c r="AJ9" s="9"/>
      <c r="AK9" s="14" t="e">
        <f t="shared" si="0"/>
        <v>#DIV/0!</v>
      </c>
      <c r="AL9" s="9"/>
      <c r="AM9" s="9"/>
      <c r="AN9" s="9"/>
      <c r="AO9" s="6"/>
      <c r="AP9" s="9"/>
      <c r="AQ9" s="9"/>
      <c r="AR9" s="9"/>
      <c r="AS9" s="9"/>
      <c r="AT9" s="9"/>
      <c r="AU9" s="9"/>
      <c r="AV9" s="9"/>
      <c r="AW9" s="9"/>
      <c r="AX9" s="9"/>
      <c r="AY9" s="9"/>
      <c r="AZ9" s="9"/>
      <c r="BA9" s="9"/>
      <c r="BB9" s="9"/>
      <c r="BC9" s="9"/>
      <c r="BD9" s="9"/>
      <c r="BE9" s="9"/>
      <c r="BF9" s="9"/>
      <c r="BG9" s="9"/>
      <c r="BH9" s="9"/>
    </row>
    <row r="10" spans="1:60" ht="12.5" hidden="1">
      <c r="A10" s="6" t="s">
        <v>93</v>
      </c>
      <c r="B10" s="7">
        <v>45602</v>
      </c>
      <c r="C10" s="8">
        <v>45614</v>
      </c>
      <c r="D10" s="9" t="s">
        <v>41</v>
      </c>
      <c r="E10" s="9" t="s">
        <v>94</v>
      </c>
      <c r="F10" s="9"/>
      <c r="G10" s="9" t="s">
        <v>43</v>
      </c>
      <c r="H10" s="10">
        <v>11.74</v>
      </c>
      <c r="I10" s="9" t="s">
        <v>44</v>
      </c>
      <c r="J10" s="9" t="s">
        <v>45</v>
      </c>
      <c r="K10" s="9" t="s">
        <v>95</v>
      </c>
      <c r="L10" s="11" t="s">
        <v>47</v>
      </c>
      <c r="M10" s="9" t="s">
        <v>48</v>
      </c>
      <c r="N10" s="9" t="s">
        <v>48</v>
      </c>
      <c r="O10" s="12" t="s">
        <v>96</v>
      </c>
      <c r="P10" s="6" t="s">
        <v>97</v>
      </c>
      <c r="Q10" s="9" t="s">
        <v>98</v>
      </c>
      <c r="R10" s="13">
        <v>1</v>
      </c>
      <c r="S10" s="9" t="s">
        <v>99</v>
      </c>
      <c r="T10" s="9" t="s">
        <v>53</v>
      </c>
      <c r="U10" s="9" t="s">
        <v>54</v>
      </c>
      <c r="V10" s="9" t="s">
        <v>55</v>
      </c>
      <c r="W10" s="9"/>
      <c r="X10" s="9"/>
      <c r="Y10" s="13">
        <v>90.03</v>
      </c>
      <c r="Z10" s="13">
        <v>1</v>
      </c>
      <c r="AA10" s="9"/>
      <c r="AB10" s="9"/>
      <c r="AC10" s="9"/>
      <c r="AD10" s="9"/>
      <c r="AE10" s="9"/>
      <c r="AF10" s="13">
        <v>90.03</v>
      </c>
      <c r="AG10" s="9"/>
      <c r="AH10" s="9"/>
      <c r="AI10" s="9">
        <v>1</v>
      </c>
      <c r="AJ10" s="9">
        <v>25</v>
      </c>
      <c r="AK10" s="14">
        <f t="shared" si="0"/>
        <v>0.04</v>
      </c>
      <c r="AL10" s="9"/>
      <c r="AM10" s="9"/>
      <c r="AN10" s="9"/>
      <c r="AO10" s="6"/>
      <c r="AP10" s="9"/>
      <c r="AQ10" s="9"/>
      <c r="AR10" s="9"/>
      <c r="AS10" s="9"/>
      <c r="AT10" s="9"/>
      <c r="AU10" s="9"/>
      <c r="AV10" s="9"/>
      <c r="AW10" s="9"/>
      <c r="AX10" s="9"/>
      <c r="AY10" s="9"/>
      <c r="AZ10" s="9"/>
      <c r="BA10" s="9"/>
      <c r="BB10" s="9"/>
      <c r="BC10" s="9"/>
      <c r="BD10" s="9"/>
      <c r="BE10" s="9"/>
      <c r="BF10" s="9"/>
      <c r="BG10" s="9"/>
      <c r="BH10" s="9"/>
    </row>
    <row r="11" spans="1:60" ht="12.5" hidden="1">
      <c r="A11" s="6" t="s">
        <v>100</v>
      </c>
      <c r="B11" s="16">
        <v>45614</v>
      </c>
      <c r="C11" s="8">
        <v>45622</v>
      </c>
      <c r="D11" s="9" t="s">
        <v>41</v>
      </c>
      <c r="E11" s="9" t="s">
        <v>101</v>
      </c>
      <c r="F11" s="9"/>
      <c r="G11" s="9" t="s">
        <v>43</v>
      </c>
      <c r="H11" s="10">
        <v>6.04</v>
      </c>
      <c r="I11" s="9" t="s">
        <v>44</v>
      </c>
      <c r="J11" s="9" t="s">
        <v>45</v>
      </c>
      <c r="K11" s="9" t="s">
        <v>102</v>
      </c>
      <c r="L11" s="11" t="s">
        <v>47</v>
      </c>
      <c r="M11" s="9" t="s">
        <v>48</v>
      </c>
      <c r="N11" s="9" t="s">
        <v>48</v>
      </c>
      <c r="O11" s="12" t="s">
        <v>103</v>
      </c>
      <c r="P11" s="6" t="s">
        <v>104</v>
      </c>
      <c r="Q11" s="9" t="s">
        <v>105</v>
      </c>
      <c r="R11" s="13">
        <v>1</v>
      </c>
      <c r="S11" s="9" t="s">
        <v>99</v>
      </c>
      <c r="T11" s="9" t="s">
        <v>53</v>
      </c>
      <c r="U11" s="9" t="s">
        <v>54</v>
      </c>
      <c r="V11" s="9" t="s">
        <v>61</v>
      </c>
      <c r="W11" s="9"/>
      <c r="X11" s="9"/>
      <c r="Y11" s="13">
        <v>101.45</v>
      </c>
      <c r="Z11" s="13">
        <v>1</v>
      </c>
      <c r="AA11" s="9"/>
      <c r="AB11" s="9"/>
      <c r="AC11" s="9"/>
      <c r="AD11" s="9"/>
      <c r="AE11" s="9"/>
      <c r="AF11" s="9"/>
      <c r="AG11" s="9"/>
      <c r="AH11" s="9"/>
      <c r="AI11" s="9">
        <v>1</v>
      </c>
      <c r="AJ11" s="9">
        <v>9</v>
      </c>
      <c r="AK11" s="14">
        <f t="shared" si="0"/>
        <v>0.1111111111111111</v>
      </c>
      <c r="AL11" s="9"/>
      <c r="AM11" s="9"/>
      <c r="AN11" s="9"/>
      <c r="AO11" s="6"/>
      <c r="AP11" s="9"/>
      <c r="AQ11" s="9"/>
      <c r="AR11" s="9"/>
      <c r="AS11" s="9"/>
      <c r="AT11" s="9"/>
      <c r="AU11" s="9"/>
      <c r="AV11" s="9"/>
      <c r="AW11" s="9"/>
      <c r="AX11" s="9"/>
      <c r="AY11" s="9"/>
      <c r="AZ11" s="9"/>
      <c r="BA11" s="9"/>
      <c r="BB11" s="9"/>
      <c r="BC11" s="9"/>
      <c r="BD11" s="9"/>
      <c r="BE11" s="9"/>
      <c r="BF11" s="9"/>
      <c r="BG11" s="9"/>
      <c r="BH11" s="9"/>
    </row>
    <row r="12" spans="1:60" ht="12.5" hidden="1">
      <c r="A12" s="6" t="s">
        <v>106</v>
      </c>
      <c r="B12" s="16">
        <v>45591</v>
      </c>
      <c r="C12" s="8">
        <v>45601</v>
      </c>
      <c r="D12" s="9" t="s">
        <v>41</v>
      </c>
      <c r="E12" s="9" t="s">
        <v>107</v>
      </c>
      <c r="F12" s="9"/>
      <c r="G12" s="9" t="s">
        <v>43</v>
      </c>
      <c r="H12" s="10">
        <v>13.9</v>
      </c>
      <c r="I12" s="9" t="s">
        <v>44</v>
      </c>
      <c r="J12" s="9" t="s">
        <v>45</v>
      </c>
      <c r="K12" s="9" t="s">
        <v>108</v>
      </c>
      <c r="L12" s="11" t="s">
        <v>58</v>
      </c>
      <c r="M12" s="9" t="s">
        <v>48</v>
      </c>
      <c r="N12" s="9" t="s">
        <v>48</v>
      </c>
      <c r="O12" s="12" t="s">
        <v>109</v>
      </c>
      <c r="P12" s="6" t="s">
        <v>110</v>
      </c>
      <c r="Q12" s="9" t="s">
        <v>111</v>
      </c>
      <c r="R12" s="13">
        <v>1</v>
      </c>
      <c r="S12" s="9" t="s">
        <v>75</v>
      </c>
      <c r="T12" s="9" t="s">
        <v>53</v>
      </c>
      <c r="U12" s="9" t="s">
        <v>54</v>
      </c>
      <c r="V12" s="9" t="s">
        <v>55</v>
      </c>
      <c r="W12" s="9"/>
      <c r="X12" s="9"/>
      <c r="Y12" s="13">
        <v>108.56</v>
      </c>
      <c r="Z12" s="13">
        <v>1</v>
      </c>
      <c r="AA12" s="9"/>
      <c r="AB12" s="9"/>
      <c r="AC12" s="9"/>
      <c r="AD12" s="9"/>
      <c r="AE12" s="9"/>
      <c r="AF12" s="13">
        <v>94.66</v>
      </c>
      <c r="AG12" s="9"/>
      <c r="AH12" s="9"/>
      <c r="AI12" s="9">
        <v>1</v>
      </c>
      <c r="AJ12" s="9">
        <v>1</v>
      </c>
      <c r="AK12" s="14">
        <f t="shared" si="0"/>
        <v>1</v>
      </c>
      <c r="AL12" s="9"/>
      <c r="AM12" s="9"/>
      <c r="AN12" s="9"/>
      <c r="AO12" s="6"/>
      <c r="AP12" s="9"/>
      <c r="AQ12" s="9"/>
      <c r="AR12" s="9"/>
      <c r="AS12" s="9"/>
      <c r="AT12" s="9"/>
      <c r="AU12" s="9"/>
      <c r="AV12" s="9"/>
      <c r="AW12" s="9"/>
      <c r="AX12" s="9"/>
      <c r="AY12" s="9"/>
      <c r="AZ12" s="9"/>
      <c r="BA12" s="9"/>
      <c r="BB12" s="9"/>
      <c r="BC12" s="9"/>
      <c r="BD12" s="9"/>
      <c r="BE12" s="9"/>
      <c r="BF12" s="9"/>
      <c r="BG12" s="9"/>
      <c r="BH12" s="9"/>
    </row>
    <row r="13" spans="1:60" ht="12.5" hidden="1">
      <c r="A13" s="6" t="s">
        <v>112</v>
      </c>
      <c r="B13" s="16">
        <v>45588</v>
      </c>
      <c r="C13" s="8">
        <v>45617</v>
      </c>
      <c r="D13" s="9" t="s">
        <v>41</v>
      </c>
      <c r="E13" s="9" t="s">
        <v>113</v>
      </c>
      <c r="F13" s="9"/>
      <c r="G13" s="9" t="s">
        <v>43</v>
      </c>
      <c r="H13" s="10">
        <v>9.65</v>
      </c>
      <c r="I13" s="9" t="s">
        <v>44</v>
      </c>
      <c r="J13" s="9" t="s">
        <v>45</v>
      </c>
      <c r="K13" s="9" t="s">
        <v>114</v>
      </c>
      <c r="L13" s="11" t="s">
        <v>58</v>
      </c>
      <c r="M13" s="9" t="s">
        <v>48</v>
      </c>
      <c r="N13" s="9" t="s">
        <v>48</v>
      </c>
      <c r="O13" s="12" t="s">
        <v>115</v>
      </c>
      <c r="P13" s="6" t="s">
        <v>116</v>
      </c>
      <c r="Q13" s="9" t="s">
        <v>117</v>
      </c>
      <c r="R13" s="13">
        <v>1</v>
      </c>
      <c r="S13" s="9" t="s">
        <v>75</v>
      </c>
      <c r="T13" s="9" t="s">
        <v>53</v>
      </c>
      <c r="U13" s="9" t="s">
        <v>54</v>
      </c>
      <c r="V13" s="9" t="s">
        <v>61</v>
      </c>
      <c r="W13" s="9"/>
      <c r="X13" s="9"/>
      <c r="Y13" s="13">
        <v>54.36</v>
      </c>
      <c r="Z13" s="13">
        <v>1</v>
      </c>
      <c r="AA13" s="9"/>
      <c r="AB13" s="9"/>
      <c r="AC13" s="9"/>
      <c r="AD13" s="9"/>
      <c r="AE13" s="9"/>
      <c r="AF13" s="9"/>
      <c r="AG13" s="9"/>
      <c r="AH13" s="9"/>
      <c r="AI13" s="9">
        <v>1</v>
      </c>
      <c r="AJ13" s="9">
        <v>8</v>
      </c>
      <c r="AK13" s="14">
        <f t="shared" si="0"/>
        <v>0.125</v>
      </c>
      <c r="AL13" s="9"/>
      <c r="AM13" s="9"/>
      <c r="AN13" s="9"/>
      <c r="AO13" s="6"/>
      <c r="AP13" s="9"/>
      <c r="AQ13" s="9"/>
      <c r="AR13" s="9"/>
      <c r="AS13" s="9"/>
      <c r="AT13" s="9"/>
      <c r="AU13" s="9"/>
      <c r="AV13" s="9"/>
      <c r="AW13" s="9"/>
      <c r="AX13" s="9"/>
      <c r="AY13" s="9"/>
      <c r="AZ13" s="9"/>
      <c r="BA13" s="9"/>
      <c r="BB13" s="9"/>
      <c r="BC13" s="9"/>
      <c r="BD13" s="9"/>
      <c r="BE13" s="9"/>
      <c r="BF13" s="9"/>
      <c r="BG13" s="9"/>
      <c r="BH13" s="9"/>
    </row>
    <row r="14" spans="1:60" ht="12.5" hidden="1">
      <c r="A14" s="6" t="s">
        <v>118</v>
      </c>
      <c r="B14" s="16">
        <v>45608</v>
      </c>
      <c r="C14" s="8">
        <v>45625</v>
      </c>
      <c r="D14" s="9" t="s">
        <v>41</v>
      </c>
      <c r="E14" s="9" t="s">
        <v>119</v>
      </c>
      <c r="F14" s="9"/>
      <c r="G14" s="9" t="s">
        <v>43</v>
      </c>
      <c r="H14" s="10">
        <v>9.65</v>
      </c>
      <c r="I14" s="9" t="s">
        <v>44</v>
      </c>
      <c r="J14" s="9" t="s">
        <v>45</v>
      </c>
      <c r="K14" s="9" t="s">
        <v>120</v>
      </c>
      <c r="L14" s="11" t="s">
        <v>58</v>
      </c>
      <c r="M14" s="9" t="s">
        <v>48</v>
      </c>
      <c r="N14" s="9" t="s">
        <v>48</v>
      </c>
      <c r="O14" s="12" t="s">
        <v>121</v>
      </c>
      <c r="P14" s="6" t="s">
        <v>122</v>
      </c>
      <c r="Q14" s="9" t="s">
        <v>123</v>
      </c>
      <c r="R14" s="13">
        <v>1</v>
      </c>
      <c r="S14" s="9" t="s">
        <v>75</v>
      </c>
      <c r="T14" s="9" t="s">
        <v>53</v>
      </c>
      <c r="U14" s="9" t="s">
        <v>54</v>
      </c>
      <c r="V14" s="9" t="s">
        <v>55</v>
      </c>
      <c r="W14" s="9"/>
      <c r="X14" s="9"/>
      <c r="Y14" s="13">
        <v>71.78</v>
      </c>
      <c r="Z14" s="13">
        <v>1</v>
      </c>
      <c r="AA14" s="9"/>
      <c r="AB14" s="9"/>
      <c r="AC14" s="9"/>
      <c r="AD14" s="9"/>
      <c r="AE14" s="9"/>
      <c r="AF14" s="13">
        <v>62.13</v>
      </c>
      <c r="AG14" s="9"/>
      <c r="AH14" s="9"/>
      <c r="AI14" s="9">
        <v>1</v>
      </c>
      <c r="AJ14" s="9">
        <v>18</v>
      </c>
      <c r="AK14" s="14">
        <f t="shared" si="0"/>
        <v>5.5555555555555552E-2</v>
      </c>
      <c r="AL14" s="9"/>
      <c r="AM14" s="9"/>
      <c r="AN14" s="9"/>
      <c r="AO14" s="6"/>
      <c r="AP14" s="9"/>
      <c r="AQ14" s="9"/>
      <c r="AR14" s="9"/>
      <c r="AS14" s="9"/>
      <c r="AT14" s="9"/>
      <c r="AU14" s="9"/>
      <c r="AV14" s="9"/>
      <c r="AW14" s="9"/>
      <c r="AX14" s="9"/>
      <c r="AY14" s="9"/>
      <c r="AZ14" s="9"/>
      <c r="BA14" s="9"/>
      <c r="BB14" s="9"/>
      <c r="BC14" s="9"/>
      <c r="BD14" s="9"/>
      <c r="BE14" s="9"/>
      <c r="BF14" s="9"/>
      <c r="BG14" s="9"/>
      <c r="BH14" s="9"/>
    </row>
    <row r="15" spans="1:60" ht="12.5" hidden="1">
      <c r="A15" s="6" t="s">
        <v>124</v>
      </c>
      <c r="B15" s="7">
        <v>45598</v>
      </c>
      <c r="C15" s="8">
        <v>45602</v>
      </c>
      <c r="D15" s="9" t="s">
        <v>41</v>
      </c>
      <c r="E15" s="9" t="s">
        <v>125</v>
      </c>
      <c r="F15" s="9"/>
      <c r="G15" s="9" t="s">
        <v>43</v>
      </c>
      <c r="H15" s="10">
        <v>9.65</v>
      </c>
      <c r="I15" s="9" t="s">
        <v>44</v>
      </c>
      <c r="J15" s="9" t="s">
        <v>45</v>
      </c>
      <c r="K15" s="9" t="s">
        <v>126</v>
      </c>
      <c r="L15" s="11" t="s">
        <v>58</v>
      </c>
      <c r="M15" s="9" t="s">
        <v>48</v>
      </c>
      <c r="N15" s="9" t="s">
        <v>48</v>
      </c>
      <c r="O15" s="12" t="s">
        <v>127</v>
      </c>
      <c r="P15" s="6" t="s">
        <v>128</v>
      </c>
      <c r="Q15" s="9" t="s">
        <v>129</v>
      </c>
      <c r="R15" s="13">
        <v>1</v>
      </c>
      <c r="S15" s="9" t="s">
        <v>68</v>
      </c>
      <c r="T15" s="9" t="s">
        <v>53</v>
      </c>
      <c r="U15" s="9" t="s">
        <v>54</v>
      </c>
      <c r="V15" s="9" t="s">
        <v>61</v>
      </c>
      <c r="W15" s="9"/>
      <c r="X15" s="9"/>
      <c r="Y15" s="13">
        <v>71.78</v>
      </c>
      <c r="Z15" s="13">
        <v>1</v>
      </c>
      <c r="AA15" s="9"/>
      <c r="AB15" s="9"/>
      <c r="AC15" s="9"/>
      <c r="AD15" s="9"/>
      <c r="AE15" s="9"/>
      <c r="AF15" s="9"/>
      <c r="AG15" s="9"/>
      <c r="AH15" s="9"/>
      <c r="AI15" s="9">
        <v>3</v>
      </c>
      <c r="AJ15" s="9">
        <v>13</v>
      </c>
      <c r="AK15" s="14">
        <f t="shared" si="0"/>
        <v>0.23076923076923078</v>
      </c>
      <c r="AL15" s="9"/>
      <c r="AM15" s="9"/>
      <c r="AN15" s="9"/>
      <c r="AO15" s="6"/>
      <c r="AP15" s="9"/>
      <c r="AQ15" s="9"/>
      <c r="AR15" s="9"/>
      <c r="AS15" s="9"/>
      <c r="AT15" s="9"/>
      <c r="AU15" s="9"/>
      <c r="AV15" s="9"/>
      <c r="AW15" s="9"/>
      <c r="AX15" s="9"/>
      <c r="AY15" s="9"/>
      <c r="AZ15" s="9"/>
      <c r="BA15" s="9"/>
      <c r="BB15" s="9"/>
      <c r="BC15" s="9"/>
      <c r="BD15" s="9"/>
      <c r="BE15" s="9"/>
      <c r="BF15" s="9"/>
      <c r="BG15" s="9"/>
      <c r="BH15" s="9"/>
    </row>
    <row r="16" spans="1:60" ht="12.5" hidden="1">
      <c r="A16" s="6" t="s">
        <v>130</v>
      </c>
      <c r="B16" s="16">
        <v>45594</v>
      </c>
      <c r="C16" s="8">
        <v>45600</v>
      </c>
      <c r="D16" s="9" t="s">
        <v>41</v>
      </c>
      <c r="E16" s="9" t="s">
        <v>131</v>
      </c>
      <c r="F16" s="9"/>
      <c r="G16" s="9" t="s">
        <v>43</v>
      </c>
      <c r="H16" s="10">
        <v>9.65</v>
      </c>
      <c r="I16" s="9" t="s">
        <v>44</v>
      </c>
      <c r="J16" s="9" t="s">
        <v>45</v>
      </c>
      <c r="K16" s="9" t="s">
        <v>132</v>
      </c>
      <c r="L16" s="11" t="s">
        <v>47</v>
      </c>
      <c r="M16" s="9" t="s">
        <v>48</v>
      </c>
      <c r="N16" s="9" t="s">
        <v>48</v>
      </c>
      <c r="O16" s="12" t="s">
        <v>127</v>
      </c>
      <c r="P16" s="6" t="s">
        <v>128</v>
      </c>
      <c r="Q16" s="9" t="s">
        <v>129</v>
      </c>
      <c r="R16" s="13">
        <v>1</v>
      </c>
      <c r="S16" s="9" t="s">
        <v>52</v>
      </c>
      <c r="T16" s="9" t="s">
        <v>53</v>
      </c>
      <c r="U16" s="9" t="s">
        <v>54</v>
      </c>
      <c r="V16" s="9" t="s">
        <v>55</v>
      </c>
      <c r="W16" s="9"/>
      <c r="X16" s="9"/>
      <c r="Y16" s="13">
        <v>70.55</v>
      </c>
      <c r="Z16" s="13">
        <v>1</v>
      </c>
      <c r="AA16" s="9"/>
      <c r="AB16" s="9"/>
      <c r="AC16" s="9"/>
      <c r="AD16" s="9"/>
      <c r="AE16" s="9"/>
      <c r="AF16" s="13">
        <v>70.55</v>
      </c>
      <c r="AG16" s="9"/>
      <c r="AH16" s="9"/>
      <c r="AI16" s="9"/>
      <c r="AJ16" s="9"/>
      <c r="AK16" s="14" t="e">
        <f t="shared" si="0"/>
        <v>#DIV/0!</v>
      </c>
      <c r="AL16" s="9"/>
      <c r="AM16" s="9"/>
      <c r="AN16" s="9"/>
      <c r="AO16" s="6"/>
      <c r="AP16" s="9"/>
      <c r="AQ16" s="9"/>
      <c r="AR16" s="9"/>
      <c r="AS16" s="9"/>
      <c r="AT16" s="9"/>
      <c r="AU16" s="9"/>
      <c r="AV16" s="9"/>
      <c r="AW16" s="9"/>
      <c r="AX16" s="9"/>
      <c r="AY16" s="9"/>
      <c r="AZ16" s="9"/>
      <c r="BA16" s="9"/>
      <c r="BB16" s="9"/>
      <c r="BC16" s="9"/>
      <c r="BD16" s="9"/>
      <c r="BE16" s="9"/>
      <c r="BF16" s="9"/>
      <c r="BG16" s="9"/>
      <c r="BH16" s="9"/>
    </row>
    <row r="17" spans="1:60" ht="12.5" hidden="1">
      <c r="A17" s="6" t="s">
        <v>133</v>
      </c>
      <c r="B17" s="16">
        <v>45617</v>
      </c>
      <c r="C17" s="8">
        <v>45621</v>
      </c>
      <c r="D17" s="9" t="s">
        <v>41</v>
      </c>
      <c r="E17" s="9" t="s">
        <v>134</v>
      </c>
      <c r="F17" s="9"/>
      <c r="G17" s="9" t="s">
        <v>43</v>
      </c>
      <c r="H17" s="10">
        <v>9.65</v>
      </c>
      <c r="I17" s="9" t="s">
        <v>44</v>
      </c>
      <c r="J17" s="9" t="s">
        <v>45</v>
      </c>
      <c r="K17" s="9" t="s">
        <v>135</v>
      </c>
      <c r="L17" s="11" t="s">
        <v>58</v>
      </c>
      <c r="M17" s="9" t="s">
        <v>48</v>
      </c>
      <c r="N17" s="9" t="s">
        <v>48</v>
      </c>
      <c r="O17" s="12" t="s">
        <v>127</v>
      </c>
      <c r="P17" s="6" t="s">
        <v>128</v>
      </c>
      <c r="Q17" s="9" t="s">
        <v>129</v>
      </c>
      <c r="R17" s="13">
        <v>1</v>
      </c>
      <c r="S17" s="9" t="s">
        <v>75</v>
      </c>
      <c r="T17" s="9" t="s">
        <v>53</v>
      </c>
      <c r="U17" s="9" t="s">
        <v>54</v>
      </c>
      <c r="V17" s="9" t="s">
        <v>61</v>
      </c>
      <c r="W17" s="9"/>
      <c r="X17" s="9"/>
      <c r="Y17" s="13">
        <v>69.150000000000006</v>
      </c>
      <c r="Z17" s="13">
        <v>1</v>
      </c>
      <c r="AA17" s="9"/>
      <c r="AB17" s="9"/>
      <c r="AC17" s="9"/>
      <c r="AD17" s="9"/>
      <c r="AE17" s="9"/>
      <c r="AF17" s="9"/>
      <c r="AG17" s="9"/>
      <c r="AH17" s="9"/>
      <c r="AI17" s="9"/>
      <c r="AJ17" s="9"/>
      <c r="AK17" s="14" t="e">
        <f t="shared" si="0"/>
        <v>#DIV/0!</v>
      </c>
      <c r="AL17" s="9"/>
      <c r="AM17" s="9"/>
      <c r="AN17" s="9"/>
      <c r="AO17" s="6"/>
      <c r="AP17" s="9"/>
      <c r="AQ17" s="9"/>
      <c r="AR17" s="9"/>
      <c r="AS17" s="9"/>
      <c r="AT17" s="9"/>
      <c r="AU17" s="9"/>
      <c r="AV17" s="9"/>
      <c r="AW17" s="9"/>
      <c r="AX17" s="9"/>
      <c r="AY17" s="9"/>
      <c r="AZ17" s="9"/>
      <c r="BA17" s="9"/>
      <c r="BB17" s="9"/>
      <c r="BC17" s="9"/>
      <c r="BD17" s="9"/>
      <c r="BE17" s="9"/>
      <c r="BF17" s="9"/>
      <c r="BG17" s="9"/>
      <c r="BH17" s="9"/>
    </row>
    <row r="18" spans="1:60" ht="12.5" hidden="1">
      <c r="A18" s="6" t="s">
        <v>136</v>
      </c>
      <c r="B18" s="7">
        <v>45603</v>
      </c>
      <c r="C18" s="8">
        <v>45610</v>
      </c>
      <c r="D18" s="9" t="s">
        <v>41</v>
      </c>
      <c r="E18" s="9"/>
      <c r="F18" s="9"/>
      <c r="G18" s="9" t="s">
        <v>137</v>
      </c>
      <c r="H18" s="10">
        <v>0</v>
      </c>
      <c r="I18" s="9"/>
      <c r="J18" s="9"/>
      <c r="K18" s="9"/>
      <c r="L18" s="11" t="s">
        <v>47</v>
      </c>
      <c r="M18" s="9" t="s">
        <v>48</v>
      </c>
      <c r="N18" s="9" t="s">
        <v>48</v>
      </c>
      <c r="O18" s="12" t="s">
        <v>138</v>
      </c>
      <c r="P18" s="6" t="s">
        <v>139</v>
      </c>
      <c r="Q18" s="9" t="s">
        <v>140</v>
      </c>
      <c r="R18" s="13">
        <v>1</v>
      </c>
      <c r="S18" s="9" t="s">
        <v>52</v>
      </c>
      <c r="T18" s="9" t="s">
        <v>53</v>
      </c>
      <c r="U18" s="9" t="s">
        <v>54</v>
      </c>
      <c r="V18" s="9" t="s">
        <v>141</v>
      </c>
      <c r="W18" s="9"/>
      <c r="X18" s="9"/>
      <c r="Y18" s="13">
        <v>66.239999999999995</v>
      </c>
      <c r="Z18" s="13">
        <v>1</v>
      </c>
      <c r="AA18" s="9"/>
      <c r="AB18" s="9"/>
      <c r="AC18" s="9"/>
      <c r="AD18" s="9"/>
      <c r="AE18" s="9"/>
      <c r="AF18" s="13">
        <v>66.239999999999995</v>
      </c>
      <c r="AG18" s="9"/>
      <c r="AH18" s="9"/>
      <c r="AI18" s="9">
        <v>1</v>
      </c>
      <c r="AJ18" s="9">
        <v>4</v>
      </c>
      <c r="AK18" s="14">
        <f t="shared" si="0"/>
        <v>0.25</v>
      </c>
      <c r="AL18" s="9"/>
      <c r="AM18" s="9"/>
      <c r="AN18" s="9"/>
      <c r="AO18" s="6"/>
      <c r="AP18" s="9"/>
      <c r="AQ18" s="9"/>
      <c r="AR18" s="9"/>
      <c r="AS18" s="9"/>
      <c r="AT18" s="9"/>
      <c r="AU18" s="9"/>
      <c r="AV18" s="9"/>
      <c r="AW18" s="9"/>
      <c r="AX18" s="9"/>
      <c r="AY18" s="9"/>
      <c r="AZ18" s="9"/>
      <c r="BA18" s="9"/>
      <c r="BB18" s="9"/>
      <c r="BC18" s="9"/>
      <c r="BD18" s="9"/>
      <c r="BE18" s="9"/>
      <c r="BF18" s="9"/>
      <c r="BG18" s="9"/>
      <c r="BH18" s="9"/>
    </row>
    <row r="19" spans="1:60" ht="12.5" hidden="1">
      <c r="A19" s="6" t="s">
        <v>142</v>
      </c>
      <c r="B19" s="16">
        <v>45617</v>
      </c>
      <c r="C19" s="8">
        <v>45624</v>
      </c>
      <c r="D19" s="9" t="s">
        <v>41</v>
      </c>
      <c r="E19" s="9"/>
      <c r="F19" s="9"/>
      <c r="G19" s="9" t="s">
        <v>137</v>
      </c>
      <c r="H19" s="10">
        <v>0</v>
      </c>
      <c r="I19" s="9"/>
      <c r="J19" s="9"/>
      <c r="K19" s="9"/>
      <c r="L19" s="11" t="s">
        <v>47</v>
      </c>
      <c r="M19" s="9" t="s">
        <v>48</v>
      </c>
      <c r="N19" s="9" t="s">
        <v>48</v>
      </c>
      <c r="O19" s="12" t="s">
        <v>143</v>
      </c>
      <c r="P19" s="6" t="s">
        <v>144</v>
      </c>
      <c r="Q19" s="9" t="s">
        <v>145</v>
      </c>
      <c r="R19" s="13">
        <v>1</v>
      </c>
      <c r="S19" s="9" t="s">
        <v>52</v>
      </c>
      <c r="T19" s="9" t="s">
        <v>53</v>
      </c>
      <c r="U19" s="9" t="s">
        <v>54</v>
      </c>
      <c r="V19" s="9" t="s">
        <v>141</v>
      </c>
      <c r="W19" s="9"/>
      <c r="X19" s="9"/>
      <c r="Y19" s="13">
        <v>79.099999999999994</v>
      </c>
      <c r="Z19" s="13">
        <v>1</v>
      </c>
      <c r="AA19" s="9"/>
      <c r="AB19" s="9"/>
      <c r="AC19" s="9"/>
      <c r="AD19" s="9"/>
      <c r="AE19" s="9"/>
      <c r="AF19" s="13">
        <v>79.099999999999994</v>
      </c>
      <c r="AG19" s="9"/>
      <c r="AH19" s="9"/>
      <c r="AI19" s="9">
        <v>1</v>
      </c>
      <c r="AJ19" s="9">
        <v>3</v>
      </c>
      <c r="AK19" s="14">
        <f t="shared" si="0"/>
        <v>0.33333333333333331</v>
      </c>
      <c r="AL19" s="9"/>
      <c r="AM19" s="9"/>
      <c r="AN19" s="9"/>
      <c r="AO19" s="6"/>
      <c r="AP19" s="9"/>
      <c r="AQ19" s="9"/>
      <c r="AR19" s="9"/>
      <c r="AS19" s="9"/>
      <c r="AT19" s="9"/>
      <c r="AU19" s="9"/>
      <c r="AV19" s="9"/>
      <c r="AW19" s="9"/>
      <c r="AX19" s="9"/>
      <c r="AY19" s="9"/>
      <c r="AZ19" s="9"/>
      <c r="BA19" s="9"/>
      <c r="BB19" s="9"/>
      <c r="BC19" s="9"/>
      <c r="BD19" s="9"/>
      <c r="BE19" s="9"/>
      <c r="BF19" s="9"/>
      <c r="BG19" s="9"/>
      <c r="BH19" s="9"/>
    </row>
    <row r="20" spans="1:60" ht="12.5" hidden="1">
      <c r="A20" s="6" t="s">
        <v>146</v>
      </c>
      <c r="B20" s="16">
        <v>45588</v>
      </c>
      <c r="C20" s="8">
        <v>45601</v>
      </c>
      <c r="D20" s="9" t="s">
        <v>57</v>
      </c>
      <c r="E20" s="9"/>
      <c r="F20" s="9"/>
      <c r="G20" s="9"/>
      <c r="H20" s="15"/>
      <c r="I20" s="9"/>
      <c r="J20" s="9"/>
      <c r="K20" s="9"/>
      <c r="L20" s="11" t="s">
        <v>58</v>
      </c>
      <c r="M20" s="9" t="s">
        <v>48</v>
      </c>
      <c r="N20" s="9" t="s">
        <v>48</v>
      </c>
      <c r="O20" s="12" t="s">
        <v>147</v>
      </c>
      <c r="P20" s="6" t="s">
        <v>148</v>
      </c>
      <c r="Q20" s="9" t="s">
        <v>149</v>
      </c>
      <c r="R20" s="13">
        <v>1</v>
      </c>
      <c r="S20" s="9" t="s">
        <v>68</v>
      </c>
      <c r="T20" s="9" t="s">
        <v>53</v>
      </c>
      <c r="U20" s="9" t="s">
        <v>54</v>
      </c>
      <c r="V20" s="9" t="s">
        <v>61</v>
      </c>
      <c r="W20" s="9"/>
      <c r="X20" s="9"/>
      <c r="Y20" s="13">
        <v>350.58</v>
      </c>
      <c r="Z20" s="13">
        <v>1</v>
      </c>
      <c r="AA20" s="9"/>
      <c r="AB20" s="9"/>
      <c r="AC20" s="9"/>
      <c r="AD20" s="9"/>
      <c r="AE20" s="9"/>
      <c r="AF20" s="9"/>
      <c r="AG20" s="9"/>
      <c r="AH20" s="9"/>
      <c r="AI20" s="9">
        <v>3</v>
      </c>
      <c r="AJ20" s="9">
        <v>2</v>
      </c>
      <c r="AK20" s="14">
        <f t="shared" si="0"/>
        <v>1.5</v>
      </c>
      <c r="AL20" s="9"/>
      <c r="AM20" s="9"/>
      <c r="AN20" s="9"/>
      <c r="AO20" s="6"/>
      <c r="AP20" s="9"/>
      <c r="AQ20" s="9"/>
      <c r="AR20" s="9"/>
      <c r="AS20" s="9"/>
      <c r="AT20" s="9"/>
      <c r="AU20" s="9"/>
      <c r="AV20" s="9"/>
      <c r="AW20" s="9"/>
      <c r="AX20" s="9"/>
      <c r="AY20" s="9"/>
      <c r="AZ20" s="9"/>
      <c r="BA20" s="9"/>
      <c r="BB20" s="9"/>
      <c r="BC20" s="9"/>
      <c r="BD20" s="9"/>
      <c r="BE20" s="9"/>
      <c r="BF20" s="9"/>
      <c r="BG20" s="9"/>
      <c r="BH20" s="9"/>
    </row>
    <row r="21" spans="1:60" ht="12.5" hidden="1">
      <c r="A21" s="6" t="s">
        <v>150</v>
      </c>
      <c r="B21" s="16">
        <v>45614</v>
      </c>
      <c r="C21" s="8">
        <v>45618</v>
      </c>
      <c r="D21" s="9" t="s">
        <v>41</v>
      </c>
      <c r="E21" s="9" t="s">
        <v>151</v>
      </c>
      <c r="F21" s="9"/>
      <c r="G21" s="9" t="s">
        <v>137</v>
      </c>
      <c r="H21" s="10">
        <v>0</v>
      </c>
      <c r="I21" s="9"/>
      <c r="J21" s="9"/>
      <c r="K21" s="9"/>
      <c r="L21" s="11" t="s">
        <v>47</v>
      </c>
      <c r="M21" s="9" t="s">
        <v>48</v>
      </c>
      <c r="N21" s="9" t="s">
        <v>48</v>
      </c>
      <c r="O21" s="12" t="s">
        <v>147</v>
      </c>
      <c r="P21" s="6" t="s">
        <v>148</v>
      </c>
      <c r="Q21" s="9" t="s">
        <v>152</v>
      </c>
      <c r="R21" s="13">
        <v>1</v>
      </c>
      <c r="S21" s="9" t="s">
        <v>99</v>
      </c>
      <c r="T21" s="9" t="s">
        <v>53</v>
      </c>
      <c r="U21" s="9" t="s">
        <v>54</v>
      </c>
      <c r="V21" s="9" t="s">
        <v>61</v>
      </c>
      <c r="W21" s="9"/>
      <c r="X21" s="9"/>
      <c r="Y21" s="13">
        <v>387.11</v>
      </c>
      <c r="Z21" s="13">
        <v>1</v>
      </c>
      <c r="AA21" s="9"/>
      <c r="AB21" s="9"/>
      <c r="AC21" s="9"/>
      <c r="AD21" s="9"/>
      <c r="AE21" s="9"/>
      <c r="AF21" s="9"/>
      <c r="AG21" s="9"/>
      <c r="AH21" s="9"/>
      <c r="AI21" s="9"/>
      <c r="AJ21" s="9"/>
      <c r="AK21" s="14" t="e">
        <f t="shared" si="0"/>
        <v>#DIV/0!</v>
      </c>
      <c r="AL21" s="9"/>
      <c r="AM21" s="9"/>
      <c r="AN21" s="9"/>
      <c r="AO21" s="6"/>
      <c r="AP21" s="9"/>
      <c r="AQ21" s="9"/>
      <c r="AR21" s="9"/>
      <c r="AS21" s="9"/>
      <c r="AT21" s="9"/>
      <c r="AU21" s="9"/>
      <c r="AV21" s="9"/>
      <c r="AW21" s="9"/>
      <c r="AX21" s="9"/>
      <c r="AY21" s="9"/>
      <c r="AZ21" s="9"/>
      <c r="BA21" s="9"/>
      <c r="BB21" s="9"/>
      <c r="BC21" s="9"/>
      <c r="BD21" s="9"/>
      <c r="BE21" s="9"/>
      <c r="BF21" s="9"/>
      <c r="BG21" s="9"/>
      <c r="BH21" s="9"/>
    </row>
    <row r="22" spans="1:60" ht="12.5" hidden="1">
      <c r="A22" s="6" t="s">
        <v>146</v>
      </c>
      <c r="B22" s="16">
        <v>45588</v>
      </c>
      <c r="C22" s="8">
        <v>45617</v>
      </c>
      <c r="D22" s="9" t="s">
        <v>41</v>
      </c>
      <c r="E22" s="9" t="s">
        <v>153</v>
      </c>
      <c r="F22" s="9"/>
      <c r="G22" s="9" t="s">
        <v>154</v>
      </c>
      <c r="H22" s="10">
        <v>0</v>
      </c>
      <c r="I22" s="9" t="s">
        <v>44</v>
      </c>
      <c r="J22" s="9" t="s">
        <v>45</v>
      </c>
      <c r="K22" s="9" t="s">
        <v>155</v>
      </c>
      <c r="L22" s="11" t="s">
        <v>47</v>
      </c>
      <c r="M22" s="9" t="s">
        <v>48</v>
      </c>
      <c r="N22" s="9" t="s">
        <v>48</v>
      </c>
      <c r="O22" s="12" t="s">
        <v>147</v>
      </c>
      <c r="P22" s="6" t="s">
        <v>148</v>
      </c>
      <c r="Q22" s="9" t="s">
        <v>152</v>
      </c>
      <c r="R22" s="13">
        <v>1</v>
      </c>
      <c r="S22" s="9" t="s">
        <v>156</v>
      </c>
      <c r="T22" s="9" t="s">
        <v>53</v>
      </c>
      <c r="U22" s="9" t="s">
        <v>54</v>
      </c>
      <c r="V22" s="9" t="s">
        <v>61</v>
      </c>
      <c r="W22" s="9"/>
      <c r="X22" s="9"/>
      <c r="Y22" s="13">
        <v>350.58</v>
      </c>
      <c r="Z22" s="9"/>
      <c r="AA22" s="9"/>
      <c r="AB22" s="9"/>
      <c r="AC22" s="9"/>
      <c r="AD22" s="9"/>
      <c r="AE22" s="9"/>
      <c r="AF22" s="9"/>
      <c r="AG22" s="9"/>
      <c r="AH22" s="9"/>
      <c r="AI22" s="9"/>
      <c r="AJ22" s="9"/>
      <c r="AK22" s="14" t="e">
        <f t="shared" si="0"/>
        <v>#DIV/0!</v>
      </c>
      <c r="AL22" s="9"/>
      <c r="AM22" s="9"/>
      <c r="AN22" s="9"/>
      <c r="AO22" s="6"/>
      <c r="AP22" s="9"/>
      <c r="AQ22" s="9"/>
      <c r="AR22" s="9"/>
      <c r="AS22" s="9"/>
      <c r="AT22" s="9"/>
      <c r="AU22" s="9"/>
      <c r="AV22" s="9"/>
      <c r="AW22" s="9"/>
      <c r="AX22" s="9"/>
      <c r="AY22" s="9"/>
      <c r="AZ22" s="9"/>
      <c r="BA22" s="9"/>
      <c r="BB22" s="9"/>
      <c r="BC22" s="9"/>
      <c r="BD22" s="9"/>
      <c r="BE22" s="9"/>
      <c r="BF22" s="9"/>
      <c r="BG22" s="9"/>
      <c r="BH22" s="9"/>
    </row>
    <row r="23" spans="1:60" ht="12.5" hidden="1">
      <c r="A23" s="6" t="s">
        <v>157</v>
      </c>
      <c r="B23" s="7">
        <v>45601</v>
      </c>
      <c r="C23" s="8">
        <v>45607</v>
      </c>
      <c r="D23" s="9" t="s">
        <v>41</v>
      </c>
      <c r="E23" s="9" t="s">
        <v>158</v>
      </c>
      <c r="F23" s="9"/>
      <c r="G23" s="9" t="s">
        <v>43</v>
      </c>
      <c r="H23" s="10">
        <v>11.31</v>
      </c>
      <c r="I23" s="9" t="s">
        <v>44</v>
      </c>
      <c r="J23" s="9" t="s">
        <v>45</v>
      </c>
      <c r="K23" s="9" t="s">
        <v>159</v>
      </c>
      <c r="L23" s="11" t="s">
        <v>47</v>
      </c>
      <c r="M23" s="9" t="s">
        <v>48</v>
      </c>
      <c r="N23" s="9" t="s">
        <v>48</v>
      </c>
      <c r="O23" s="12" t="s">
        <v>160</v>
      </c>
      <c r="P23" s="6" t="s">
        <v>161</v>
      </c>
      <c r="Q23" s="9" t="s">
        <v>162</v>
      </c>
      <c r="R23" s="13">
        <v>1</v>
      </c>
      <c r="S23" s="9" t="s">
        <v>92</v>
      </c>
      <c r="T23" s="9" t="s">
        <v>53</v>
      </c>
      <c r="U23" s="9" t="s">
        <v>54</v>
      </c>
      <c r="V23" s="9" t="s">
        <v>61</v>
      </c>
      <c r="W23" s="9"/>
      <c r="X23" s="9"/>
      <c r="Y23" s="13">
        <v>48.43</v>
      </c>
      <c r="Z23" s="13">
        <v>1</v>
      </c>
      <c r="AA23" s="9"/>
      <c r="AB23" s="9"/>
      <c r="AC23" s="9"/>
      <c r="AD23" s="9"/>
      <c r="AE23" s="9"/>
      <c r="AF23" s="9"/>
      <c r="AG23" s="9"/>
      <c r="AH23" s="9"/>
      <c r="AI23" s="9">
        <v>11</v>
      </c>
      <c r="AJ23" s="9">
        <v>35</v>
      </c>
      <c r="AK23" s="14">
        <f t="shared" si="0"/>
        <v>0.31428571428571428</v>
      </c>
      <c r="AL23" s="9"/>
      <c r="AM23" s="9"/>
      <c r="AN23" s="9"/>
      <c r="AO23" s="6"/>
      <c r="AP23" s="9"/>
      <c r="AQ23" s="9"/>
      <c r="AR23" s="9"/>
      <c r="AS23" s="9"/>
      <c r="AT23" s="9"/>
      <c r="AU23" s="9"/>
      <c r="AV23" s="9"/>
      <c r="AW23" s="9"/>
      <c r="AX23" s="9"/>
      <c r="AY23" s="9"/>
      <c r="AZ23" s="9"/>
      <c r="BA23" s="9"/>
      <c r="BB23" s="9"/>
      <c r="BC23" s="9"/>
      <c r="BD23" s="9"/>
      <c r="BE23" s="9"/>
      <c r="BF23" s="9"/>
      <c r="BG23" s="9"/>
      <c r="BH23" s="9"/>
    </row>
    <row r="24" spans="1:60" ht="12.5" hidden="1">
      <c r="A24" s="6" t="s">
        <v>163</v>
      </c>
      <c r="B24" s="7">
        <v>45601</v>
      </c>
      <c r="C24" s="8">
        <v>45607</v>
      </c>
      <c r="D24" s="9" t="s">
        <v>41</v>
      </c>
      <c r="E24" s="9" t="s">
        <v>164</v>
      </c>
      <c r="F24" s="9"/>
      <c r="G24" s="9" t="s">
        <v>43</v>
      </c>
      <c r="H24" s="10">
        <v>11.31</v>
      </c>
      <c r="I24" s="9" t="s">
        <v>44</v>
      </c>
      <c r="J24" s="9" t="s">
        <v>45</v>
      </c>
      <c r="K24" s="9" t="s">
        <v>165</v>
      </c>
      <c r="L24" s="11" t="s">
        <v>58</v>
      </c>
      <c r="M24" s="9" t="s">
        <v>48</v>
      </c>
      <c r="N24" s="9" t="s">
        <v>48</v>
      </c>
      <c r="O24" s="12" t="s">
        <v>160</v>
      </c>
      <c r="P24" s="6" t="s">
        <v>161</v>
      </c>
      <c r="Q24" s="9" t="s">
        <v>162</v>
      </c>
      <c r="R24" s="13">
        <v>1</v>
      </c>
      <c r="S24" s="9" t="s">
        <v>68</v>
      </c>
      <c r="T24" s="9" t="s">
        <v>53</v>
      </c>
      <c r="U24" s="9" t="s">
        <v>54</v>
      </c>
      <c r="V24" s="9" t="s">
        <v>55</v>
      </c>
      <c r="W24" s="9"/>
      <c r="X24" s="9"/>
      <c r="Y24" s="13">
        <v>53.68</v>
      </c>
      <c r="Z24" s="13">
        <v>1</v>
      </c>
      <c r="AA24" s="9"/>
      <c r="AB24" s="9"/>
      <c r="AC24" s="9"/>
      <c r="AD24" s="9"/>
      <c r="AE24" s="9"/>
      <c r="AF24" s="13">
        <v>42.37</v>
      </c>
      <c r="AG24" s="9"/>
      <c r="AH24" s="9"/>
      <c r="AI24" s="9"/>
      <c r="AJ24" s="9"/>
      <c r="AK24" s="14" t="e">
        <f t="shared" si="0"/>
        <v>#DIV/0!</v>
      </c>
      <c r="AL24" s="9"/>
      <c r="AM24" s="9"/>
      <c r="AN24" s="9"/>
      <c r="AO24" s="6"/>
      <c r="AP24" s="9"/>
      <c r="AQ24" s="9"/>
      <c r="AR24" s="9"/>
      <c r="AS24" s="9"/>
      <c r="AT24" s="9"/>
      <c r="AU24" s="9"/>
      <c r="AV24" s="9"/>
      <c r="AW24" s="9"/>
      <c r="AX24" s="9"/>
      <c r="AY24" s="9"/>
      <c r="AZ24" s="9"/>
      <c r="BA24" s="9"/>
      <c r="BB24" s="9"/>
      <c r="BC24" s="9"/>
      <c r="BD24" s="9"/>
      <c r="BE24" s="9"/>
      <c r="BF24" s="9"/>
      <c r="BG24" s="9"/>
      <c r="BH24" s="9"/>
    </row>
    <row r="25" spans="1:60" ht="12.5" hidden="1">
      <c r="A25" s="6" t="s">
        <v>166</v>
      </c>
      <c r="B25" s="7">
        <v>45600</v>
      </c>
      <c r="C25" s="8">
        <v>45605</v>
      </c>
      <c r="D25" s="9" t="s">
        <v>41</v>
      </c>
      <c r="E25" s="9" t="s">
        <v>167</v>
      </c>
      <c r="F25" s="9"/>
      <c r="G25" s="9" t="s">
        <v>43</v>
      </c>
      <c r="H25" s="10">
        <v>11.31</v>
      </c>
      <c r="I25" s="9" t="s">
        <v>44</v>
      </c>
      <c r="J25" s="9" t="s">
        <v>45</v>
      </c>
      <c r="K25" s="9" t="s">
        <v>168</v>
      </c>
      <c r="L25" s="11" t="s">
        <v>47</v>
      </c>
      <c r="M25" s="9" t="s">
        <v>48</v>
      </c>
      <c r="N25" s="9" t="s">
        <v>48</v>
      </c>
      <c r="O25" s="12" t="s">
        <v>160</v>
      </c>
      <c r="P25" s="6" t="s">
        <v>161</v>
      </c>
      <c r="Q25" s="9" t="s">
        <v>162</v>
      </c>
      <c r="R25" s="13">
        <v>1</v>
      </c>
      <c r="S25" s="9" t="s">
        <v>52</v>
      </c>
      <c r="T25" s="9" t="s">
        <v>53</v>
      </c>
      <c r="U25" s="9" t="s">
        <v>54</v>
      </c>
      <c r="V25" s="9" t="s">
        <v>55</v>
      </c>
      <c r="W25" s="9"/>
      <c r="X25" s="9"/>
      <c r="Y25" s="13">
        <v>54.05</v>
      </c>
      <c r="Z25" s="13">
        <v>1</v>
      </c>
      <c r="AA25" s="9"/>
      <c r="AB25" s="9"/>
      <c r="AC25" s="9"/>
      <c r="AD25" s="9"/>
      <c r="AE25" s="9"/>
      <c r="AF25" s="13">
        <v>54.05</v>
      </c>
      <c r="AG25" s="9"/>
      <c r="AH25" s="9"/>
      <c r="AI25" s="9"/>
      <c r="AJ25" s="9"/>
      <c r="AK25" s="14" t="e">
        <f t="shared" si="0"/>
        <v>#DIV/0!</v>
      </c>
      <c r="AL25" s="9"/>
      <c r="AM25" s="9"/>
      <c r="AN25" s="9"/>
      <c r="AO25" s="6"/>
      <c r="AP25" s="9"/>
      <c r="AQ25" s="9"/>
      <c r="AR25" s="9"/>
      <c r="AS25" s="9"/>
      <c r="AT25" s="9"/>
      <c r="AU25" s="9"/>
      <c r="AV25" s="9"/>
      <c r="AW25" s="9"/>
      <c r="AX25" s="9"/>
      <c r="AY25" s="9"/>
      <c r="AZ25" s="9"/>
      <c r="BA25" s="9"/>
      <c r="BB25" s="9"/>
      <c r="BC25" s="9"/>
      <c r="BD25" s="9"/>
      <c r="BE25" s="9"/>
      <c r="BF25" s="9"/>
      <c r="BG25" s="9"/>
      <c r="BH25" s="9"/>
    </row>
    <row r="26" spans="1:60" ht="12.5" hidden="1">
      <c r="A26" s="6" t="s">
        <v>169</v>
      </c>
      <c r="B26" s="16">
        <v>45589</v>
      </c>
      <c r="C26" s="8">
        <v>45605</v>
      </c>
      <c r="D26" s="9" t="s">
        <v>41</v>
      </c>
      <c r="E26" s="9" t="s">
        <v>170</v>
      </c>
      <c r="F26" s="9"/>
      <c r="G26" s="9" t="s">
        <v>43</v>
      </c>
      <c r="H26" s="10">
        <v>11.31</v>
      </c>
      <c r="I26" s="9" t="s">
        <v>44</v>
      </c>
      <c r="J26" s="9" t="s">
        <v>45</v>
      </c>
      <c r="K26" s="9" t="s">
        <v>171</v>
      </c>
      <c r="L26" s="11" t="s">
        <v>47</v>
      </c>
      <c r="M26" s="9" t="s">
        <v>48</v>
      </c>
      <c r="N26" s="9" t="s">
        <v>48</v>
      </c>
      <c r="O26" s="12" t="s">
        <v>160</v>
      </c>
      <c r="P26" s="6" t="s">
        <v>161</v>
      </c>
      <c r="Q26" s="9" t="s">
        <v>162</v>
      </c>
      <c r="R26" s="13">
        <v>1</v>
      </c>
      <c r="S26" s="9" t="s">
        <v>99</v>
      </c>
      <c r="T26" s="9" t="s">
        <v>53</v>
      </c>
      <c r="U26" s="9" t="s">
        <v>54</v>
      </c>
      <c r="V26" s="9" t="s">
        <v>55</v>
      </c>
      <c r="W26" s="9"/>
      <c r="X26" s="9"/>
      <c r="Y26" s="13">
        <v>53.93</v>
      </c>
      <c r="Z26" s="13">
        <v>1</v>
      </c>
      <c r="AA26" s="9"/>
      <c r="AB26" s="9"/>
      <c r="AC26" s="9"/>
      <c r="AD26" s="9"/>
      <c r="AE26" s="9"/>
      <c r="AF26" s="13">
        <v>53.93</v>
      </c>
      <c r="AG26" s="9"/>
      <c r="AH26" s="9"/>
      <c r="AI26" s="9"/>
      <c r="AJ26" s="9"/>
      <c r="AK26" s="14" t="e">
        <f t="shared" si="0"/>
        <v>#DIV/0!</v>
      </c>
      <c r="AL26" s="9"/>
      <c r="AM26" s="9"/>
      <c r="AN26" s="9"/>
      <c r="AO26" s="6"/>
      <c r="AP26" s="9"/>
      <c r="AQ26" s="9"/>
      <c r="AR26" s="9"/>
      <c r="AS26" s="9"/>
      <c r="AT26" s="9"/>
      <c r="AU26" s="9"/>
      <c r="AV26" s="9"/>
      <c r="AW26" s="9"/>
      <c r="AX26" s="9"/>
      <c r="AY26" s="9"/>
      <c r="AZ26" s="9"/>
      <c r="BA26" s="9"/>
      <c r="BB26" s="9"/>
      <c r="BC26" s="9"/>
      <c r="BD26" s="9"/>
      <c r="BE26" s="9"/>
      <c r="BF26" s="9"/>
      <c r="BG26" s="9"/>
      <c r="BH26" s="9"/>
    </row>
    <row r="27" spans="1:60" ht="12.5" hidden="1">
      <c r="A27" s="6" t="s">
        <v>172</v>
      </c>
      <c r="B27" s="16">
        <v>45594</v>
      </c>
      <c r="C27" s="8">
        <v>45604</v>
      </c>
      <c r="D27" s="9" t="s">
        <v>41</v>
      </c>
      <c r="E27" s="9" t="s">
        <v>173</v>
      </c>
      <c r="F27" s="9"/>
      <c r="G27" s="9" t="s">
        <v>43</v>
      </c>
      <c r="H27" s="10">
        <v>11.31</v>
      </c>
      <c r="I27" s="9" t="s">
        <v>44</v>
      </c>
      <c r="J27" s="9" t="s">
        <v>45</v>
      </c>
      <c r="K27" s="9" t="s">
        <v>174</v>
      </c>
      <c r="L27" s="11" t="s">
        <v>58</v>
      </c>
      <c r="M27" s="9" t="s">
        <v>48</v>
      </c>
      <c r="N27" s="9" t="s">
        <v>48</v>
      </c>
      <c r="O27" s="12" t="s">
        <v>160</v>
      </c>
      <c r="P27" s="6" t="s">
        <v>161</v>
      </c>
      <c r="Q27" s="9" t="s">
        <v>162</v>
      </c>
      <c r="R27" s="13">
        <v>1</v>
      </c>
      <c r="S27" s="9" t="s">
        <v>68</v>
      </c>
      <c r="T27" s="9" t="s">
        <v>53</v>
      </c>
      <c r="U27" s="9" t="s">
        <v>54</v>
      </c>
      <c r="V27" s="9" t="s">
        <v>61</v>
      </c>
      <c r="W27" s="9"/>
      <c r="X27" s="9"/>
      <c r="Y27" s="13">
        <v>54.11</v>
      </c>
      <c r="Z27" s="13">
        <v>1</v>
      </c>
      <c r="AA27" s="9"/>
      <c r="AB27" s="9"/>
      <c r="AC27" s="9"/>
      <c r="AD27" s="9"/>
      <c r="AE27" s="9"/>
      <c r="AF27" s="9"/>
      <c r="AG27" s="9"/>
      <c r="AH27" s="9"/>
      <c r="AI27" s="9"/>
      <c r="AJ27" s="9"/>
      <c r="AK27" s="14" t="e">
        <f t="shared" si="0"/>
        <v>#DIV/0!</v>
      </c>
      <c r="AL27" s="9"/>
      <c r="AM27" s="9"/>
      <c r="AN27" s="9"/>
      <c r="AO27" s="6"/>
      <c r="AP27" s="9"/>
      <c r="AQ27" s="9"/>
      <c r="AR27" s="9"/>
      <c r="AS27" s="9"/>
      <c r="AT27" s="9"/>
      <c r="AU27" s="9"/>
      <c r="AV27" s="9"/>
      <c r="AW27" s="9"/>
      <c r="AX27" s="9"/>
      <c r="AY27" s="9"/>
      <c r="AZ27" s="9"/>
      <c r="BA27" s="9"/>
      <c r="BB27" s="9"/>
      <c r="BC27" s="9"/>
      <c r="BD27" s="9"/>
      <c r="BE27" s="9"/>
      <c r="BF27" s="9"/>
      <c r="BG27" s="9"/>
      <c r="BH27" s="9"/>
    </row>
    <row r="28" spans="1:60" ht="12.5" hidden="1">
      <c r="A28" s="6" t="s">
        <v>175</v>
      </c>
      <c r="B28" s="7">
        <v>45598</v>
      </c>
      <c r="C28" s="8">
        <v>45604</v>
      </c>
      <c r="D28" s="9" t="s">
        <v>41</v>
      </c>
      <c r="E28" s="9" t="s">
        <v>176</v>
      </c>
      <c r="F28" s="9"/>
      <c r="G28" s="9" t="s">
        <v>43</v>
      </c>
      <c r="H28" s="10">
        <v>11.31</v>
      </c>
      <c r="I28" s="9" t="s">
        <v>44</v>
      </c>
      <c r="J28" s="9" t="s">
        <v>45</v>
      </c>
      <c r="K28" s="9" t="s">
        <v>177</v>
      </c>
      <c r="L28" s="11" t="s">
        <v>47</v>
      </c>
      <c r="M28" s="9" t="s">
        <v>48</v>
      </c>
      <c r="N28" s="9" t="s">
        <v>48</v>
      </c>
      <c r="O28" s="12" t="s">
        <v>160</v>
      </c>
      <c r="P28" s="6" t="s">
        <v>161</v>
      </c>
      <c r="Q28" s="9" t="s">
        <v>162</v>
      </c>
      <c r="R28" s="13">
        <v>1</v>
      </c>
      <c r="S28" s="9" t="s">
        <v>92</v>
      </c>
      <c r="T28" s="9" t="s">
        <v>53</v>
      </c>
      <c r="U28" s="9" t="s">
        <v>54</v>
      </c>
      <c r="V28" s="9" t="s">
        <v>61</v>
      </c>
      <c r="W28" s="9"/>
      <c r="X28" s="9"/>
      <c r="Y28" s="13">
        <v>53.24</v>
      </c>
      <c r="Z28" s="13">
        <v>1</v>
      </c>
      <c r="AA28" s="9"/>
      <c r="AB28" s="9"/>
      <c r="AC28" s="9"/>
      <c r="AD28" s="9"/>
      <c r="AE28" s="9"/>
      <c r="AF28" s="9"/>
      <c r="AG28" s="9"/>
      <c r="AH28" s="9"/>
      <c r="AI28" s="9"/>
      <c r="AJ28" s="9"/>
      <c r="AK28" s="14" t="e">
        <f t="shared" si="0"/>
        <v>#DIV/0!</v>
      </c>
      <c r="AL28" s="9"/>
      <c r="AM28" s="9"/>
      <c r="AN28" s="9"/>
      <c r="AO28" s="6"/>
      <c r="AP28" s="9"/>
      <c r="AQ28" s="9"/>
      <c r="AR28" s="9"/>
      <c r="AS28" s="9"/>
      <c r="AT28" s="9"/>
      <c r="AU28" s="9"/>
      <c r="AV28" s="9"/>
      <c r="AW28" s="9"/>
      <c r="AX28" s="9"/>
      <c r="AY28" s="9"/>
      <c r="AZ28" s="9"/>
      <c r="BA28" s="9"/>
      <c r="BB28" s="9"/>
      <c r="BC28" s="9"/>
      <c r="BD28" s="9"/>
      <c r="BE28" s="9"/>
      <c r="BF28" s="9"/>
      <c r="BG28" s="9"/>
      <c r="BH28" s="9"/>
    </row>
    <row r="29" spans="1:60" ht="12.5" hidden="1">
      <c r="A29" s="6" t="s">
        <v>178</v>
      </c>
      <c r="B29" s="16">
        <v>45590</v>
      </c>
      <c r="C29" s="8">
        <v>45601</v>
      </c>
      <c r="D29" s="9" t="s">
        <v>41</v>
      </c>
      <c r="E29" s="9" t="s">
        <v>179</v>
      </c>
      <c r="F29" s="9"/>
      <c r="G29" s="9" t="s">
        <v>43</v>
      </c>
      <c r="H29" s="10">
        <v>11.31</v>
      </c>
      <c r="I29" s="9" t="s">
        <v>44</v>
      </c>
      <c r="J29" s="9" t="s">
        <v>45</v>
      </c>
      <c r="K29" s="9" t="s">
        <v>180</v>
      </c>
      <c r="L29" s="11" t="s">
        <v>47</v>
      </c>
      <c r="M29" s="9" t="s">
        <v>48</v>
      </c>
      <c r="N29" s="9" t="s">
        <v>48</v>
      </c>
      <c r="O29" s="12" t="s">
        <v>160</v>
      </c>
      <c r="P29" s="6" t="s">
        <v>161</v>
      </c>
      <c r="Q29" s="9" t="s">
        <v>162</v>
      </c>
      <c r="R29" s="13">
        <v>1</v>
      </c>
      <c r="S29" s="9" t="s">
        <v>52</v>
      </c>
      <c r="T29" s="9" t="s">
        <v>53</v>
      </c>
      <c r="U29" s="9" t="s">
        <v>54</v>
      </c>
      <c r="V29" s="9" t="s">
        <v>61</v>
      </c>
      <c r="W29" s="9"/>
      <c r="X29" s="9"/>
      <c r="Y29" s="13">
        <v>53.24</v>
      </c>
      <c r="Z29" s="13">
        <v>1</v>
      </c>
      <c r="AA29" s="9"/>
      <c r="AB29" s="9"/>
      <c r="AC29" s="9"/>
      <c r="AD29" s="9"/>
      <c r="AE29" s="9"/>
      <c r="AF29" s="9"/>
      <c r="AG29" s="9"/>
      <c r="AH29" s="9"/>
      <c r="AI29" s="9"/>
      <c r="AJ29" s="9"/>
      <c r="AK29" s="14" t="e">
        <f t="shared" si="0"/>
        <v>#DIV/0!</v>
      </c>
      <c r="AL29" s="9"/>
      <c r="AM29" s="9"/>
      <c r="AN29" s="9"/>
      <c r="AO29" s="6"/>
      <c r="AP29" s="9"/>
      <c r="AQ29" s="9"/>
      <c r="AR29" s="9"/>
      <c r="AS29" s="9"/>
      <c r="AT29" s="9"/>
      <c r="AU29" s="9"/>
      <c r="AV29" s="9"/>
      <c r="AW29" s="9"/>
      <c r="AX29" s="9"/>
      <c r="AY29" s="9"/>
      <c r="AZ29" s="9"/>
      <c r="BA29" s="9"/>
      <c r="BB29" s="9"/>
      <c r="BC29" s="9"/>
      <c r="BD29" s="9"/>
      <c r="BE29" s="9"/>
      <c r="BF29" s="9"/>
      <c r="BG29" s="9"/>
      <c r="BH29" s="9"/>
    </row>
    <row r="30" spans="1:60" ht="12.5" hidden="1">
      <c r="A30" s="6" t="s">
        <v>181</v>
      </c>
      <c r="B30" s="16">
        <v>45579</v>
      </c>
      <c r="C30" s="8">
        <v>45597</v>
      </c>
      <c r="D30" s="9" t="s">
        <v>41</v>
      </c>
      <c r="E30" s="9" t="s">
        <v>182</v>
      </c>
      <c r="F30" s="9"/>
      <c r="G30" s="9" t="s">
        <v>43</v>
      </c>
      <c r="H30" s="10">
        <v>11.34</v>
      </c>
      <c r="I30" s="9" t="s">
        <v>44</v>
      </c>
      <c r="J30" s="9" t="s">
        <v>45</v>
      </c>
      <c r="K30" s="9" t="s">
        <v>183</v>
      </c>
      <c r="L30" s="11" t="s">
        <v>47</v>
      </c>
      <c r="M30" s="9" t="s">
        <v>48</v>
      </c>
      <c r="N30" s="9" t="s">
        <v>48</v>
      </c>
      <c r="O30" s="12" t="s">
        <v>160</v>
      </c>
      <c r="P30" s="6" t="s">
        <v>161</v>
      </c>
      <c r="Q30" s="9" t="s">
        <v>162</v>
      </c>
      <c r="R30" s="13">
        <v>1</v>
      </c>
      <c r="S30" s="9" t="s">
        <v>184</v>
      </c>
      <c r="T30" s="9" t="s">
        <v>53</v>
      </c>
      <c r="U30" s="9" t="s">
        <v>54</v>
      </c>
      <c r="V30" s="9" t="s">
        <v>61</v>
      </c>
      <c r="W30" s="9"/>
      <c r="X30" s="9"/>
      <c r="Y30" s="13">
        <v>54.05</v>
      </c>
      <c r="Z30" s="13">
        <v>1</v>
      </c>
      <c r="AA30" s="9"/>
      <c r="AB30" s="9"/>
      <c r="AC30" s="9"/>
      <c r="AD30" s="9"/>
      <c r="AE30" s="9"/>
      <c r="AF30" s="9"/>
      <c r="AG30" s="9"/>
      <c r="AH30" s="9"/>
      <c r="AI30" s="9"/>
      <c r="AJ30" s="9"/>
      <c r="AK30" s="14" t="e">
        <f t="shared" si="0"/>
        <v>#DIV/0!</v>
      </c>
      <c r="AL30" s="9"/>
      <c r="AM30" s="9"/>
      <c r="AN30" s="9"/>
      <c r="AO30" s="6"/>
      <c r="AP30" s="9"/>
      <c r="AQ30" s="9"/>
      <c r="AR30" s="9"/>
      <c r="AS30" s="9"/>
      <c r="AT30" s="9"/>
      <c r="AU30" s="9"/>
      <c r="AV30" s="9"/>
      <c r="AW30" s="9"/>
      <c r="AX30" s="9"/>
      <c r="AY30" s="9"/>
      <c r="AZ30" s="9"/>
      <c r="BA30" s="9"/>
      <c r="BB30" s="9"/>
      <c r="BC30" s="9"/>
      <c r="BD30" s="9"/>
      <c r="BE30" s="9"/>
      <c r="BF30" s="9"/>
      <c r="BG30" s="9"/>
      <c r="BH30" s="9"/>
    </row>
    <row r="31" spans="1:60" ht="12.5" hidden="1">
      <c r="A31" s="6" t="s">
        <v>185</v>
      </c>
      <c r="B31" s="16">
        <v>45621</v>
      </c>
      <c r="C31" s="8">
        <v>45626</v>
      </c>
      <c r="D31" s="9" t="s">
        <v>41</v>
      </c>
      <c r="E31" s="9" t="s">
        <v>186</v>
      </c>
      <c r="F31" s="9"/>
      <c r="G31" s="9" t="s">
        <v>43</v>
      </c>
      <c r="H31" s="10">
        <v>11.31</v>
      </c>
      <c r="I31" s="9" t="s">
        <v>44</v>
      </c>
      <c r="J31" s="9" t="s">
        <v>45</v>
      </c>
      <c r="K31" s="9" t="s">
        <v>187</v>
      </c>
      <c r="L31" s="11" t="s">
        <v>47</v>
      </c>
      <c r="M31" s="9" t="s">
        <v>48</v>
      </c>
      <c r="N31" s="9" t="s">
        <v>48</v>
      </c>
      <c r="O31" s="12" t="s">
        <v>160</v>
      </c>
      <c r="P31" s="6" t="s">
        <v>161</v>
      </c>
      <c r="Q31" s="9" t="s">
        <v>188</v>
      </c>
      <c r="R31" s="13">
        <v>1</v>
      </c>
      <c r="S31" s="9" t="s">
        <v>92</v>
      </c>
      <c r="T31" s="9" t="s">
        <v>53</v>
      </c>
      <c r="U31" s="9" t="s">
        <v>54</v>
      </c>
      <c r="V31" s="9" t="s">
        <v>61</v>
      </c>
      <c r="W31" s="9"/>
      <c r="X31" s="9"/>
      <c r="Y31" s="13">
        <v>52.03</v>
      </c>
      <c r="Z31" s="13">
        <v>1</v>
      </c>
      <c r="AA31" s="9"/>
      <c r="AB31" s="9"/>
      <c r="AC31" s="9"/>
      <c r="AD31" s="9"/>
      <c r="AE31" s="9"/>
      <c r="AF31" s="9"/>
      <c r="AG31" s="9"/>
      <c r="AH31" s="9"/>
      <c r="AI31" s="9"/>
      <c r="AJ31" s="9"/>
      <c r="AK31" s="14" t="e">
        <f t="shared" si="0"/>
        <v>#DIV/0!</v>
      </c>
      <c r="AL31" s="9"/>
      <c r="AM31" s="9"/>
      <c r="AN31" s="9"/>
      <c r="AO31" s="6"/>
      <c r="AP31" s="9"/>
      <c r="AQ31" s="9"/>
      <c r="AR31" s="9"/>
      <c r="AS31" s="9"/>
      <c r="AT31" s="9"/>
      <c r="AU31" s="9"/>
      <c r="AV31" s="9"/>
      <c r="AW31" s="9"/>
      <c r="AX31" s="9"/>
      <c r="AY31" s="9"/>
      <c r="AZ31" s="9"/>
      <c r="BA31" s="9"/>
      <c r="BB31" s="9"/>
      <c r="BC31" s="9"/>
      <c r="BD31" s="9"/>
      <c r="BE31" s="9"/>
      <c r="BF31" s="9"/>
      <c r="BG31" s="9"/>
      <c r="BH31" s="9"/>
    </row>
    <row r="32" spans="1:60" ht="12.5" hidden="1">
      <c r="A32" s="6" t="s">
        <v>189</v>
      </c>
      <c r="B32" s="7">
        <v>45601</v>
      </c>
      <c r="C32" s="8">
        <v>45614</v>
      </c>
      <c r="D32" s="9" t="s">
        <v>41</v>
      </c>
      <c r="E32" s="9" t="s">
        <v>190</v>
      </c>
      <c r="F32" s="9"/>
      <c r="G32" s="9" t="s">
        <v>43</v>
      </c>
      <c r="H32" s="10">
        <v>11.31</v>
      </c>
      <c r="I32" s="9" t="s">
        <v>44</v>
      </c>
      <c r="J32" s="9" t="s">
        <v>45</v>
      </c>
      <c r="K32" s="9" t="s">
        <v>191</v>
      </c>
      <c r="L32" s="11" t="s">
        <v>47</v>
      </c>
      <c r="M32" s="9" t="s">
        <v>48</v>
      </c>
      <c r="N32" s="9" t="s">
        <v>48</v>
      </c>
      <c r="O32" s="12" t="s">
        <v>160</v>
      </c>
      <c r="P32" s="6" t="s">
        <v>161</v>
      </c>
      <c r="Q32" s="9" t="s">
        <v>162</v>
      </c>
      <c r="R32" s="13">
        <v>1</v>
      </c>
      <c r="S32" s="9" t="s">
        <v>52</v>
      </c>
      <c r="T32" s="9" t="s">
        <v>53</v>
      </c>
      <c r="U32" s="9" t="s">
        <v>54</v>
      </c>
      <c r="V32" s="9" t="s">
        <v>61</v>
      </c>
      <c r="W32" s="9"/>
      <c r="X32" s="9"/>
      <c r="Y32" s="13">
        <v>48.43</v>
      </c>
      <c r="Z32" s="13">
        <v>1</v>
      </c>
      <c r="AA32" s="9"/>
      <c r="AB32" s="9"/>
      <c r="AC32" s="9"/>
      <c r="AD32" s="9"/>
      <c r="AE32" s="9"/>
      <c r="AF32" s="9"/>
      <c r="AG32" s="9"/>
      <c r="AH32" s="9"/>
      <c r="AI32" s="9"/>
      <c r="AJ32" s="9"/>
      <c r="AK32" s="14" t="e">
        <f t="shared" si="0"/>
        <v>#DIV/0!</v>
      </c>
      <c r="AL32" s="9"/>
      <c r="AM32" s="9"/>
      <c r="AN32" s="9"/>
      <c r="AO32" s="6"/>
      <c r="AP32" s="9"/>
      <c r="AQ32" s="9"/>
      <c r="AR32" s="9"/>
      <c r="AS32" s="9"/>
      <c r="AT32" s="9"/>
      <c r="AU32" s="9"/>
      <c r="AV32" s="9"/>
      <c r="AW32" s="9"/>
      <c r="AX32" s="9"/>
      <c r="AY32" s="9"/>
      <c r="AZ32" s="9"/>
      <c r="BA32" s="9"/>
      <c r="BB32" s="9"/>
      <c r="BC32" s="9"/>
      <c r="BD32" s="9"/>
      <c r="BE32" s="9"/>
      <c r="BF32" s="9"/>
      <c r="BG32" s="9"/>
      <c r="BH32" s="9"/>
    </row>
    <row r="33" spans="1:60" ht="12.5" hidden="1">
      <c r="A33" s="6" t="s">
        <v>192</v>
      </c>
      <c r="B33" s="16">
        <v>45589</v>
      </c>
      <c r="C33" s="8">
        <v>45612</v>
      </c>
      <c r="D33" s="9" t="s">
        <v>41</v>
      </c>
      <c r="E33" s="9" t="s">
        <v>193</v>
      </c>
      <c r="F33" s="9"/>
      <c r="G33" s="9" t="s">
        <v>43</v>
      </c>
      <c r="H33" s="10">
        <v>11.31</v>
      </c>
      <c r="I33" s="9" t="s">
        <v>44</v>
      </c>
      <c r="J33" s="9" t="s">
        <v>45</v>
      </c>
      <c r="K33" s="9" t="s">
        <v>194</v>
      </c>
      <c r="L33" s="11" t="s">
        <v>47</v>
      </c>
      <c r="M33" s="9" t="s">
        <v>48</v>
      </c>
      <c r="N33" s="9" t="s">
        <v>48</v>
      </c>
      <c r="O33" s="12" t="s">
        <v>160</v>
      </c>
      <c r="P33" s="6" t="s">
        <v>161</v>
      </c>
      <c r="Q33" s="9" t="s">
        <v>162</v>
      </c>
      <c r="R33" s="13">
        <v>1</v>
      </c>
      <c r="S33" s="9" t="s">
        <v>184</v>
      </c>
      <c r="T33" s="9" t="s">
        <v>53</v>
      </c>
      <c r="U33" s="9" t="s">
        <v>54</v>
      </c>
      <c r="V33" s="9" t="s">
        <v>61</v>
      </c>
      <c r="W33" s="9"/>
      <c r="X33" s="9"/>
      <c r="Y33" s="13">
        <v>54.05</v>
      </c>
      <c r="Z33" s="13">
        <v>1</v>
      </c>
      <c r="AA33" s="9"/>
      <c r="AB33" s="9"/>
      <c r="AC33" s="9"/>
      <c r="AD33" s="9"/>
      <c r="AE33" s="9"/>
      <c r="AF33" s="9"/>
      <c r="AG33" s="9"/>
      <c r="AH33" s="9"/>
      <c r="AI33" s="9"/>
      <c r="AJ33" s="9"/>
      <c r="AK33" s="14" t="e">
        <f t="shared" si="0"/>
        <v>#DIV/0!</v>
      </c>
      <c r="AL33" s="9"/>
      <c r="AM33" s="9"/>
      <c r="AN33" s="9"/>
      <c r="AO33" s="6"/>
      <c r="AP33" s="9"/>
      <c r="AQ33" s="9"/>
      <c r="AR33" s="9"/>
      <c r="AS33" s="9"/>
      <c r="AT33" s="9"/>
      <c r="AU33" s="9"/>
      <c r="AV33" s="9"/>
      <c r="AW33" s="9"/>
      <c r="AX33" s="9"/>
      <c r="AY33" s="9"/>
      <c r="AZ33" s="9"/>
      <c r="BA33" s="9"/>
      <c r="BB33" s="9"/>
      <c r="BC33" s="9"/>
      <c r="BD33" s="9"/>
      <c r="BE33" s="9"/>
      <c r="BF33" s="9"/>
      <c r="BG33" s="9"/>
      <c r="BH33" s="9"/>
    </row>
    <row r="34" spans="1:60" ht="12.5" hidden="1">
      <c r="A34" s="6" t="s">
        <v>195</v>
      </c>
      <c r="B34" s="16">
        <v>45618</v>
      </c>
      <c r="C34" s="8">
        <v>45625</v>
      </c>
      <c r="D34" s="9" t="s">
        <v>41</v>
      </c>
      <c r="E34" s="9" t="s">
        <v>196</v>
      </c>
      <c r="F34" s="9"/>
      <c r="G34" s="9" t="s">
        <v>43</v>
      </c>
      <c r="H34" s="10">
        <v>11.07</v>
      </c>
      <c r="I34" s="9" t="s">
        <v>44</v>
      </c>
      <c r="J34" s="9" t="s">
        <v>45</v>
      </c>
      <c r="K34" s="9" t="s">
        <v>197</v>
      </c>
      <c r="L34" s="11" t="s">
        <v>47</v>
      </c>
      <c r="M34" s="9" t="s">
        <v>48</v>
      </c>
      <c r="N34" s="9" t="s">
        <v>48</v>
      </c>
      <c r="O34" s="12" t="s">
        <v>198</v>
      </c>
      <c r="P34" s="6" t="s">
        <v>199</v>
      </c>
      <c r="Q34" s="9" t="s">
        <v>200</v>
      </c>
      <c r="R34" s="13">
        <v>1</v>
      </c>
      <c r="S34" s="9" t="s">
        <v>99</v>
      </c>
      <c r="T34" s="9" t="s">
        <v>53</v>
      </c>
      <c r="U34" s="9" t="s">
        <v>60</v>
      </c>
      <c r="V34" s="9" t="s">
        <v>61</v>
      </c>
      <c r="W34" s="9"/>
      <c r="X34" s="9"/>
      <c r="Y34" s="13">
        <v>102.32</v>
      </c>
      <c r="Z34" s="13">
        <v>1</v>
      </c>
      <c r="AA34" s="9"/>
      <c r="AB34" s="9"/>
      <c r="AC34" s="9"/>
      <c r="AD34" s="9"/>
      <c r="AE34" s="9"/>
      <c r="AF34" s="9"/>
      <c r="AG34" s="9"/>
      <c r="AH34" s="9"/>
      <c r="AI34" s="9">
        <v>1</v>
      </c>
      <c r="AJ34" s="9">
        <v>7</v>
      </c>
      <c r="AK34" s="14">
        <f t="shared" si="0"/>
        <v>0.14285714285714285</v>
      </c>
      <c r="AL34" s="9"/>
      <c r="AM34" s="9"/>
      <c r="AN34" s="9"/>
      <c r="AO34" s="6"/>
      <c r="AP34" s="9"/>
      <c r="AQ34" s="9"/>
      <c r="AR34" s="9"/>
      <c r="AS34" s="9"/>
      <c r="AT34" s="9"/>
      <c r="AU34" s="9"/>
      <c r="AV34" s="9"/>
      <c r="AW34" s="9"/>
      <c r="AX34" s="9"/>
      <c r="AY34" s="9"/>
      <c r="AZ34" s="9"/>
      <c r="BA34" s="9"/>
      <c r="BB34" s="9"/>
      <c r="BC34" s="9"/>
      <c r="BD34" s="9"/>
      <c r="BE34" s="9"/>
      <c r="BF34" s="9"/>
      <c r="BG34" s="9"/>
      <c r="BH34" s="9"/>
    </row>
    <row r="35" spans="1:60" ht="12.5" hidden="1">
      <c r="A35" s="6" t="s">
        <v>201</v>
      </c>
      <c r="B35" s="16">
        <v>45606</v>
      </c>
      <c r="C35" s="8">
        <v>45610</v>
      </c>
      <c r="D35" s="9" t="s">
        <v>41</v>
      </c>
      <c r="E35" s="9" t="s">
        <v>202</v>
      </c>
      <c r="F35" s="9"/>
      <c r="G35" s="9" t="s">
        <v>43</v>
      </c>
      <c r="H35" s="10">
        <v>11.31</v>
      </c>
      <c r="I35" s="9" t="s">
        <v>44</v>
      </c>
      <c r="J35" s="9" t="s">
        <v>45</v>
      </c>
      <c r="K35" s="9" t="s">
        <v>203</v>
      </c>
      <c r="L35" s="11" t="s">
        <v>58</v>
      </c>
      <c r="M35" s="9" t="s">
        <v>48</v>
      </c>
      <c r="N35" s="9" t="s">
        <v>48</v>
      </c>
      <c r="O35" s="12" t="s">
        <v>204</v>
      </c>
      <c r="P35" s="6" t="s">
        <v>205</v>
      </c>
      <c r="Q35" s="9" t="s">
        <v>206</v>
      </c>
      <c r="R35" s="13">
        <v>1</v>
      </c>
      <c r="S35" s="9" t="s">
        <v>68</v>
      </c>
      <c r="T35" s="9" t="s">
        <v>53</v>
      </c>
      <c r="U35" s="9" t="s">
        <v>54</v>
      </c>
      <c r="V35" s="9" t="s">
        <v>61</v>
      </c>
      <c r="W35" s="9"/>
      <c r="X35" s="9"/>
      <c r="Y35" s="13">
        <v>69.150000000000006</v>
      </c>
      <c r="Z35" s="13">
        <v>1</v>
      </c>
      <c r="AA35" s="9"/>
      <c r="AB35" s="9"/>
      <c r="AC35" s="9"/>
      <c r="AD35" s="9"/>
      <c r="AE35" s="9"/>
      <c r="AF35" s="9"/>
      <c r="AG35" s="9"/>
      <c r="AH35" s="9"/>
      <c r="AI35" s="9">
        <v>1</v>
      </c>
      <c r="AJ35" s="9">
        <v>10</v>
      </c>
      <c r="AK35" s="14">
        <f t="shared" si="0"/>
        <v>0.1</v>
      </c>
      <c r="AL35" s="9"/>
      <c r="AM35" s="9"/>
      <c r="AN35" s="9"/>
      <c r="AO35" s="6"/>
      <c r="AP35" s="9"/>
      <c r="AQ35" s="9"/>
      <c r="AR35" s="9"/>
      <c r="AS35" s="9"/>
      <c r="AT35" s="9"/>
      <c r="AU35" s="9"/>
      <c r="AV35" s="9"/>
      <c r="AW35" s="9"/>
      <c r="AX35" s="9"/>
      <c r="AY35" s="9"/>
      <c r="AZ35" s="9"/>
      <c r="BA35" s="9"/>
      <c r="BB35" s="9"/>
      <c r="BC35" s="9"/>
      <c r="BD35" s="9"/>
      <c r="BE35" s="9"/>
      <c r="BF35" s="9"/>
      <c r="BG35" s="9"/>
      <c r="BH35" s="9"/>
    </row>
    <row r="36" spans="1:60" ht="12.5" hidden="1">
      <c r="A36" s="6" t="s">
        <v>207</v>
      </c>
      <c r="B36" s="7">
        <v>45601</v>
      </c>
      <c r="C36" s="8">
        <v>45610</v>
      </c>
      <c r="D36" s="9" t="s">
        <v>41</v>
      </c>
      <c r="E36" s="9" t="s">
        <v>208</v>
      </c>
      <c r="F36" s="9"/>
      <c r="G36" s="9" t="s">
        <v>43</v>
      </c>
      <c r="H36" s="10">
        <v>6.81</v>
      </c>
      <c r="I36" s="9" t="s">
        <v>44</v>
      </c>
      <c r="J36" s="9" t="s">
        <v>45</v>
      </c>
      <c r="K36" s="9" t="s">
        <v>209</v>
      </c>
      <c r="L36" s="11" t="s">
        <v>47</v>
      </c>
      <c r="M36" s="9" t="s">
        <v>48</v>
      </c>
      <c r="N36" s="9" t="s">
        <v>48</v>
      </c>
      <c r="O36" s="12" t="s">
        <v>210</v>
      </c>
      <c r="P36" s="6" t="s">
        <v>211</v>
      </c>
      <c r="Q36" s="9" t="s">
        <v>212</v>
      </c>
      <c r="R36" s="13">
        <v>1</v>
      </c>
      <c r="S36" s="9" t="s">
        <v>92</v>
      </c>
      <c r="T36" s="9" t="s">
        <v>53</v>
      </c>
      <c r="U36" s="9" t="s">
        <v>54</v>
      </c>
      <c r="V36" s="9" t="s">
        <v>61</v>
      </c>
      <c r="W36" s="9"/>
      <c r="X36" s="9"/>
      <c r="Y36" s="13">
        <v>116.81</v>
      </c>
      <c r="Z36" s="13">
        <v>1</v>
      </c>
      <c r="AA36" s="9"/>
      <c r="AB36" s="9"/>
      <c r="AC36" s="9"/>
      <c r="AD36" s="9"/>
      <c r="AE36" s="9"/>
      <c r="AF36" s="9"/>
      <c r="AG36" s="9"/>
      <c r="AH36" s="9"/>
      <c r="AI36" s="9">
        <v>2</v>
      </c>
      <c r="AJ36" s="9">
        <v>14</v>
      </c>
      <c r="AK36" s="14">
        <f t="shared" si="0"/>
        <v>0.14285714285714285</v>
      </c>
      <c r="AL36" s="9"/>
      <c r="AM36" s="9"/>
      <c r="AN36" s="9"/>
      <c r="AO36" s="6"/>
      <c r="AP36" s="9"/>
      <c r="AQ36" s="9"/>
      <c r="AR36" s="9"/>
      <c r="AS36" s="9"/>
      <c r="AT36" s="9"/>
      <c r="AU36" s="9"/>
      <c r="AV36" s="9"/>
      <c r="AW36" s="9"/>
      <c r="AX36" s="9"/>
      <c r="AY36" s="9"/>
      <c r="AZ36" s="9"/>
      <c r="BA36" s="9"/>
      <c r="BB36" s="9"/>
      <c r="BC36" s="9"/>
      <c r="BD36" s="9"/>
      <c r="BE36" s="9"/>
      <c r="BF36" s="9"/>
      <c r="BG36" s="9"/>
      <c r="BH36" s="9"/>
    </row>
    <row r="37" spans="1:60" ht="12.5" hidden="1">
      <c r="A37" s="6" t="s">
        <v>213</v>
      </c>
      <c r="B37" s="7">
        <v>45597</v>
      </c>
      <c r="C37" s="8">
        <v>45619</v>
      </c>
      <c r="D37" s="9" t="s">
        <v>41</v>
      </c>
      <c r="E37" s="9" t="s">
        <v>214</v>
      </c>
      <c r="F37" s="9"/>
      <c r="G37" s="9" t="s">
        <v>43</v>
      </c>
      <c r="H37" s="10">
        <v>6.81</v>
      </c>
      <c r="I37" s="9" t="s">
        <v>44</v>
      </c>
      <c r="J37" s="9" t="s">
        <v>45</v>
      </c>
      <c r="K37" s="9" t="s">
        <v>215</v>
      </c>
      <c r="L37" s="11" t="s">
        <v>58</v>
      </c>
      <c r="M37" s="9" t="s">
        <v>48</v>
      </c>
      <c r="N37" s="9" t="s">
        <v>48</v>
      </c>
      <c r="O37" s="12" t="s">
        <v>210</v>
      </c>
      <c r="P37" s="6" t="s">
        <v>211</v>
      </c>
      <c r="Q37" s="9" t="s">
        <v>212</v>
      </c>
      <c r="R37" s="13">
        <v>1</v>
      </c>
      <c r="S37" s="9" t="s">
        <v>75</v>
      </c>
      <c r="T37" s="9" t="s">
        <v>53</v>
      </c>
      <c r="U37" s="9" t="s">
        <v>54</v>
      </c>
      <c r="V37" s="9" t="s">
        <v>61</v>
      </c>
      <c r="W37" s="9"/>
      <c r="X37" s="9"/>
      <c r="Y37" s="13">
        <v>115.46</v>
      </c>
      <c r="Z37" s="13">
        <v>1</v>
      </c>
      <c r="AA37" s="9"/>
      <c r="AB37" s="9"/>
      <c r="AC37" s="9"/>
      <c r="AD37" s="9"/>
      <c r="AE37" s="9"/>
      <c r="AF37" s="9"/>
      <c r="AG37" s="9"/>
      <c r="AH37" s="9"/>
      <c r="AI37" s="9"/>
      <c r="AJ37" s="9"/>
      <c r="AK37" s="14" t="e">
        <f t="shared" si="0"/>
        <v>#DIV/0!</v>
      </c>
      <c r="AL37" s="9"/>
      <c r="AM37" s="9"/>
      <c r="AN37" s="9"/>
      <c r="AO37" s="6"/>
      <c r="AP37" s="9"/>
      <c r="AQ37" s="9"/>
      <c r="AR37" s="9"/>
      <c r="AS37" s="9"/>
      <c r="AT37" s="9"/>
      <c r="AU37" s="9"/>
      <c r="AV37" s="9"/>
      <c r="AW37" s="9"/>
      <c r="AX37" s="9"/>
      <c r="AY37" s="9"/>
      <c r="AZ37" s="9"/>
      <c r="BA37" s="9"/>
      <c r="BB37" s="9"/>
      <c r="BC37" s="9"/>
      <c r="BD37" s="9"/>
      <c r="BE37" s="9"/>
      <c r="BF37" s="9"/>
      <c r="BG37" s="9"/>
      <c r="BH37" s="9"/>
    </row>
    <row r="38" spans="1:60" ht="12.5" hidden="1">
      <c r="A38" s="6" t="s">
        <v>216</v>
      </c>
      <c r="B38" s="16">
        <v>45607</v>
      </c>
      <c r="C38" s="8">
        <v>45610</v>
      </c>
      <c r="D38" s="9" t="s">
        <v>41</v>
      </c>
      <c r="E38" s="9" t="s">
        <v>217</v>
      </c>
      <c r="F38" s="9"/>
      <c r="G38" s="9" t="s">
        <v>43</v>
      </c>
      <c r="H38" s="10">
        <v>13.06</v>
      </c>
      <c r="I38" s="9" t="s">
        <v>44</v>
      </c>
      <c r="J38" s="9" t="s">
        <v>45</v>
      </c>
      <c r="K38" s="9" t="s">
        <v>218</v>
      </c>
      <c r="L38" s="11" t="s">
        <v>47</v>
      </c>
      <c r="M38" s="9" t="s">
        <v>48</v>
      </c>
      <c r="N38" s="9" t="s">
        <v>48</v>
      </c>
      <c r="O38" s="12" t="s">
        <v>219</v>
      </c>
      <c r="P38" s="6" t="s">
        <v>220</v>
      </c>
      <c r="Q38" s="9" t="s">
        <v>221</v>
      </c>
      <c r="R38" s="13">
        <v>1</v>
      </c>
      <c r="S38" s="9" t="s">
        <v>99</v>
      </c>
      <c r="T38" s="9" t="s">
        <v>53</v>
      </c>
      <c r="U38" s="9" t="s">
        <v>54</v>
      </c>
      <c r="V38" s="9" t="s">
        <v>55</v>
      </c>
      <c r="W38" s="9"/>
      <c r="X38" s="9"/>
      <c r="Y38" s="13">
        <v>79.849999999999994</v>
      </c>
      <c r="Z38" s="13">
        <v>1</v>
      </c>
      <c r="AA38" s="9"/>
      <c r="AB38" s="9"/>
      <c r="AC38" s="9"/>
      <c r="AD38" s="9"/>
      <c r="AE38" s="9"/>
      <c r="AF38" s="13">
        <v>79.849999999999994</v>
      </c>
      <c r="AG38" s="9"/>
      <c r="AH38" s="9"/>
      <c r="AI38" s="9">
        <v>7</v>
      </c>
      <c r="AJ38" s="9">
        <v>53</v>
      </c>
      <c r="AK38" s="14">
        <f t="shared" si="0"/>
        <v>0.13207547169811321</v>
      </c>
      <c r="AL38" s="9"/>
      <c r="AM38" s="9"/>
      <c r="AN38" s="9"/>
      <c r="AO38" s="6"/>
      <c r="AP38" s="9"/>
      <c r="AQ38" s="9"/>
      <c r="AR38" s="9"/>
      <c r="AS38" s="9"/>
      <c r="AT38" s="9"/>
      <c r="AU38" s="9"/>
      <c r="AV38" s="9"/>
      <c r="AW38" s="9"/>
      <c r="AX38" s="9"/>
      <c r="AY38" s="9"/>
      <c r="AZ38" s="9"/>
      <c r="BA38" s="9"/>
      <c r="BB38" s="9"/>
      <c r="BC38" s="9"/>
      <c r="BD38" s="9"/>
      <c r="BE38" s="9"/>
      <c r="BF38" s="9"/>
      <c r="BG38" s="9"/>
      <c r="BH38" s="9"/>
    </row>
    <row r="39" spans="1:60" ht="12.5" hidden="1">
      <c r="A39" s="6" t="s">
        <v>222</v>
      </c>
      <c r="B39" s="7">
        <v>45599</v>
      </c>
      <c r="C39" s="8">
        <v>45608</v>
      </c>
      <c r="D39" s="9" t="s">
        <v>41</v>
      </c>
      <c r="E39" s="9" t="s">
        <v>223</v>
      </c>
      <c r="F39" s="9"/>
      <c r="G39" s="9" t="s">
        <v>43</v>
      </c>
      <c r="H39" s="10">
        <v>13.06</v>
      </c>
      <c r="I39" s="9" t="s">
        <v>44</v>
      </c>
      <c r="J39" s="9" t="s">
        <v>45</v>
      </c>
      <c r="K39" s="9" t="s">
        <v>224</v>
      </c>
      <c r="L39" s="11" t="s">
        <v>47</v>
      </c>
      <c r="M39" s="9" t="s">
        <v>48</v>
      </c>
      <c r="N39" s="9" t="s">
        <v>48</v>
      </c>
      <c r="O39" s="12" t="s">
        <v>219</v>
      </c>
      <c r="P39" s="6" t="s">
        <v>220</v>
      </c>
      <c r="Q39" s="9" t="s">
        <v>221</v>
      </c>
      <c r="R39" s="13">
        <v>1</v>
      </c>
      <c r="S39" s="9" t="s">
        <v>99</v>
      </c>
      <c r="T39" s="9" t="s">
        <v>53</v>
      </c>
      <c r="U39" s="9" t="s">
        <v>54</v>
      </c>
      <c r="V39" s="9" t="s">
        <v>55</v>
      </c>
      <c r="W39" s="9"/>
      <c r="X39" s="9"/>
      <c r="Y39" s="13">
        <v>82.96</v>
      </c>
      <c r="Z39" s="13">
        <v>1</v>
      </c>
      <c r="AA39" s="9"/>
      <c r="AB39" s="9"/>
      <c r="AC39" s="9"/>
      <c r="AD39" s="9"/>
      <c r="AE39" s="9"/>
      <c r="AF39" s="13">
        <v>82.96</v>
      </c>
      <c r="AG39" s="9"/>
      <c r="AH39" s="9"/>
      <c r="AI39" s="9"/>
      <c r="AJ39" s="9"/>
      <c r="AK39" s="14" t="e">
        <f t="shared" si="0"/>
        <v>#DIV/0!</v>
      </c>
      <c r="AL39" s="9"/>
      <c r="AM39" s="9"/>
      <c r="AN39" s="9"/>
      <c r="AO39" s="6"/>
      <c r="AP39" s="9"/>
      <c r="AQ39" s="9"/>
      <c r="AR39" s="9"/>
      <c r="AS39" s="9"/>
      <c r="AT39" s="9"/>
      <c r="AU39" s="9"/>
      <c r="AV39" s="9"/>
      <c r="AW39" s="9"/>
      <c r="AX39" s="9"/>
      <c r="AY39" s="9"/>
      <c r="AZ39" s="9"/>
      <c r="BA39" s="9"/>
      <c r="BB39" s="9"/>
      <c r="BC39" s="9"/>
      <c r="BD39" s="9"/>
      <c r="BE39" s="9"/>
      <c r="BF39" s="9"/>
      <c r="BG39" s="9"/>
      <c r="BH39" s="9"/>
    </row>
    <row r="40" spans="1:60" ht="12.5" hidden="1">
      <c r="A40" s="6" t="s">
        <v>225</v>
      </c>
      <c r="B40" s="7">
        <v>45597</v>
      </c>
      <c r="C40" s="8">
        <v>45608</v>
      </c>
      <c r="D40" s="9" t="s">
        <v>41</v>
      </c>
      <c r="E40" s="9" t="s">
        <v>226</v>
      </c>
      <c r="F40" s="9"/>
      <c r="G40" s="9" t="s">
        <v>43</v>
      </c>
      <c r="H40" s="10">
        <v>13.06</v>
      </c>
      <c r="I40" s="9" t="s">
        <v>44</v>
      </c>
      <c r="J40" s="9" t="s">
        <v>45</v>
      </c>
      <c r="K40" s="9" t="s">
        <v>227</v>
      </c>
      <c r="L40" s="11" t="s">
        <v>47</v>
      </c>
      <c r="M40" s="9" t="s">
        <v>48</v>
      </c>
      <c r="N40" s="9" t="s">
        <v>48</v>
      </c>
      <c r="O40" s="12" t="s">
        <v>219</v>
      </c>
      <c r="P40" s="6" t="s">
        <v>220</v>
      </c>
      <c r="Q40" s="9" t="s">
        <v>221</v>
      </c>
      <c r="R40" s="13">
        <v>1</v>
      </c>
      <c r="S40" s="9" t="s">
        <v>92</v>
      </c>
      <c r="T40" s="9" t="s">
        <v>53</v>
      </c>
      <c r="U40" s="9" t="s">
        <v>54</v>
      </c>
      <c r="V40" s="9" t="s">
        <v>61</v>
      </c>
      <c r="W40" s="9"/>
      <c r="X40" s="9"/>
      <c r="Y40" s="13">
        <v>80.87</v>
      </c>
      <c r="Z40" s="13">
        <v>1</v>
      </c>
      <c r="AA40" s="9"/>
      <c r="AB40" s="9"/>
      <c r="AC40" s="9"/>
      <c r="AD40" s="9"/>
      <c r="AE40" s="9"/>
      <c r="AF40" s="9"/>
      <c r="AG40" s="9"/>
      <c r="AH40" s="9"/>
      <c r="AI40" s="9"/>
      <c r="AJ40" s="9"/>
      <c r="AK40" s="14" t="e">
        <f t="shared" si="0"/>
        <v>#DIV/0!</v>
      </c>
      <c r="AL40" s="9"/>
      <c r="AM40" s="9"/>
      <c r="AN40" s="9"/>
      <c r="AO40" s="6"/>
      <c r="AP40" s="9"/>
      <c r="AQ40" s="9"/>
      <c r="AR40" s="9"/>
      <c r="AS40" s="9"/>
      <c r="AT40" s="9"/>
      <c r="AU40" s="9"/>
      <c r="AV40" s="9"/>
      <c r="AW40" s="9"/>
      <c r="AX40" s="9"/>
      <c r="AY40" s="9"/>
      <c r="AZ40" s="9"/>
      <c r="BA40" s="9"/>
      <c r="BB40" s="9"/>
      <c r="BC40" s="9"/>
      <c r="BD40" s="9"/>
      <c r="BE40" s="9"/>
      <c r="BF40" s="9"/>
      <c r="BG40" s="9"/>
      <c r="BH40" s="9"/>
    </row>
    <row r="41" spans="1:60" ht="12.5" hidden="1">
      <c r="A41" s="6" t="s">
        <v>228</v>
      </c>
      <c r="B41" s="7">
        <v>45598</v>
      </c>
      <c r="C41" s="8">
        <v>45602</v>
      </c>
      <c r="D41" s="9" t="s">
        <v>41</v>
      </c>
      <c r="E41" s="9" t="s">
        <v>229</v>
      </c>
      <c r="F41" s="9"/>
      <c r="G41" s="9" t="s">
        <v>43</v>
      </c>
      <c r="H41" s="10">
        <v>13.06</v>
      </c>
      <c r="I41" s="9" t="s">
        <v>44</v>
      </c>
      <c r="J41" s="9" t="s">
        <v>45</v>
      </c>
      <c r="K41" s="9" t="s">
        <v>230</v>
      </c>
      <c r="L41" s="11" t="s">
        <v>58</v>
      </c>
      <c r="M41" s="9" t="s">
        <v>48</v>
      </c>
      <c r="N41" s="9" t="s">
        <v>48</v>
      </c>
      <c r="O41" s="12" t="s">
        <v>219</v>
      </c>
      <c r="P41" s="6" t="s">
        <v>220</v>
      </c>
      <c r="Q41" s="9" t="s">
        <v>221</v>
      </c>
      <c r="R41" s="13">
        <v>1</v>
      </c>
      <c r="S41" s="9" t="s">
        <v>68</v>
      </c>
      <c r="T41" s="9" t="s">
        <v>53</v>
      </c>
      <c r="U41" s="9" t="s">
        <v>54</v>
      </c>
      <c r="V41" s="9" t="s">
        <v>55</v>
      </c>
      <c r="W41" s="9"/>
      <c r="X41" s="9"/>
      <c r="Y41" s="13">
        <v>75.930000000000007</v>
      </c>
      <c r="Z41" s="13">
        <v>1</v>
      </c>
      <c r="AA41" s="9"/>
      <c r="AB41" s="9"/>
      <c r="AC41" s="9"/>
      <c r="AD41" s="9"/>
      <c r="AE41" s="9"/>
      <c r="AF41" s="13">
        <v>62.87</v>
      </c>
      <c r="AG41" s="9"/>
      <c r="AH41" s="9"/>
      <c r="AI41" s="9"/>
      <c r="AJ41" s="9"/>
      <c r="AK41" s="14" t="e">
        <f t="shared" si="0"/>
        <v>#DIV/0!</v>
      </c>
      <c r="AL41" s="9"/>
      <c r="AM41" s="9"/>
      <c r="AN41" s="9"/>
      <c r="AO41" s="6"/>
      <c r="AP41" s="9"/>
      <c r="AQ41" s="9"/>
      <c r="AR41" s="9"/>
      <c r="AS41" s="9"/>
      <c r="AT41" s="9"/>
      <c r="AU41" s="9"/>
      <c r="AV41" s="9"/>
      <c r="AW41" s="9"/>
      <c r="AX41" s="9"/>
      <c r="AY41" s="9"/>
      <c r="AZ41" s="9"/>
      <c r="BA41" s="9"/>
      <c r="BB41" s="9"/>
      <c r="BC41" s="9"/>
      <c r="BD41" s="9"/>
      <c r="BE41" s="9"/>
      <c r="BF41" s="9"/>
      <c r="BG41" s="9"/>
      <c r="BH41" s="9"/>
    </row>
    <row r="42" spans="1:60" ht="12.5" hidden="1">
      <c r="A42" s="6" t="s">
        <v>231</v>
      </c>
      <c r="B42" s="16">
        <v>45581</v>
      </c>
      <c r="C42" s="8">
        <v>45599</v>
      </c>
      <c r="D42" s="9" t="s">
        <v>41</v>
      </c>
      <c r="E42" s="9" t="s">
        <v>232</v>
      </c>
      <c r="F42" s="9"/>
      <c r="G42" s="9" t="s">
        <v>43</v>
      </c>
      <c r="H42" s="10">
        <v>13.09</v>
      </c>
      <c r="I42" s="9" t="s">
        <v>44</v>
      </c>
      <c r="J42" s="9" t="s">
        <v>45</v>
      </c>
      <c r="K42" s="9" t="s">
        <v>233</v>
      </c>
      <c r="L42" s="11" t="s">
        <v>47</v>
      </c>
      <c r="M42" s="9" t="s">
        <v>48</v>
      </c>
      <c r="N42" s="9" t="s">
        <v>48</v>
      </c>
      <c r="O42" s="12" t="s">
        <v>219</v>
      </c>
      <c r="P42" s="6" t="s">
        <v>220</v>
      </c>
      <c r="Q42" s="9" t="s">
        <v>221</v>
      </c>
      <c r="R42" s="13">
        <v>1</v>
      </c>
      <c r="S42" s="9" t="s">
        <v>52</v>
      </c>
      <c r="T42" s="9" t="s">
        <v>53</v>
      </c>
      <c r="U42" s="9" t="s">
        <v>54</v>
      </c>
      <c r="V42" s="9" t="s">
        <v>55</v>
      </c>
      <c r="W42" s="9"/>
      <c r="X42" s="9"/>
      <c r="Y42" s="13">
        <v>80.489999999999995</v>
      </c>
      <c r="Z42" s="13">
        <v>1</v>
      </c>
      <c r="AA42" s="9"/>
      <c r="AB42" s="9"/>
      <c r="AC42" s="9"/>
      <c r="AD42" s="9"/>
      <c r="AE42" s="9"/>
      <c r="AF42" s="13">
        <v>80.489999999999995</v>
      </c>
      <c r="AG42" s="9"/>
      <c r="AH42" s="9"/>
      <c r="AI42" s="9"/>
      <c r="AJ42" s="9"/>
      <c r="AK42" s="14" t="e">
        <f t="shared" si="0"/>
        <v>#DIV/0!</v>
      </c>
      <c r="AL42" s="9"/>
      <c r="AM42" s="9"/>
      <c r="AN42" s="9"/>
      <c r="AO42" s="6"/>
      <c r="AP42" s="9"/>
      <c r="AQ42" s="9"/>
      <c r="AR42" s="9"/>
      <c r="AS42" s="9"/>
      <c r="AT42" s="9"/>
      <c r="AU42" s="9"/>
      <c r="AV42" s="9"/>
      <c r="AW42" s="9"/>
      <c r="AX42" s="9"/>
      <c r="AY42" s="9"/>
      <c r="AZ42" s="9"/>
      <c r="BA42" s="9"/>
      <c r="BB42" s="9"/>
      <c r="BC42" s="9"/>
      <c r="BD42" s="9"/>
      <c r="BE42" s="9"/>
      <c r="BF42" s="9"/>
      <c r="BG42" s="9"/>
      <c r="BH42" s="9"/>
    </row>
    <row r="43" spans="1:60" ht="12.5" hidden="1">
      <c r="A43" s="6" t="s">
        <v>234</v>
      </c>
      <c r="B43" s="16">
        <v>45610</v>
      </c>
      <c r="C43" s="8">
        <v>45622</v>
      </c>
      <c r="D43" s="9" t="s">
        <v>41</v>
      </c>
      <c r="E43" s="9" t="s">
        <v>235</v>
      </c>
      <c r="F43" s="9"/>
      <c r="G43" s="9" t="s">
        <v>43</v>
      </c>
      <c r="H43" s="10">
        <v>13.06</v>
      </c>
      <c r="I43" s="9" t="s">
        <v>44</v>
      </c>
      <c r="J43" s="9" t="s">
        <v>45</v>
      </c>
      <c r="K43" s="9" t="s">
        <v>236</v>
      </c>
      <c r="L43" s="11" t="s">
        <v>47</v>
      </c>
      <c r="M43" s="9" t="s">
        <v>48</v>
      </c>
      <c r="N43" s="9" t="s">
        <v>48</v>
      </c>
      <c r="O43" s="12" t="s">
        <v>219</v>
      </c>
      <c r="P43" s="6" t="s">
        <v>220</v>
      </c>
      <c r="Q43" s="9" t="s">
        <v>221</v>
      </c>
      <c r="R43" s="13">
        <v>1</v>
      </c>
      <c r="S43" s="9" t="s">
        <v>99</v>
      </c>
      <c r="T43" s="9" t="s">
        <v>53</v>
      </c>
      <c r="U43" s="9" t="s">
        <v>54</v>
      </c>
      <c r="V43" s="9" t="s">
        <v>55</v>
      </c>
      <c r="W43" s="9"/>
      <c r="X43" s="9"/>
      <c r="Y43" s="13">
        <v>68.89</v>
      </c>
      <c r="Z43" s="13">
        <v>1</v>
      </c>
      <c r="AA43" s="9"/>
      <c r="AB43" s="9"/>
      <c r="AC43" s="9"/>
      <c r="AD43" s="9"/>
      <c r="AE43" s="9"/>
      <c r="AF43" s="13">
        <v>68.89</v>
      </c>
      <c r="AG43" s="9"/>
      <c r="AH43" s="9"/>
      <c r="AI43" s="9"/>
      <c r="AJ43" s="9"/>
      <c r="AK43" s="14" t="e">
        <f t="shared" si="0"/>
        <v>#DIV/0!</v>
      </c>
      <c r="AL43" s="9"/>
      <c r="AM43" s="9"/>
      <c r="AN43" s="9"/>
      <c r="AO43" s="6"/>
      <c r="AP43" s="9"/>
      <c r="AQ43" s="9"/>
      <c r="AR43" s="9"/>
      <c r="AS43" s="9"/>
      <c r="AT43" s="9"/>
      <c r="AU43" s="9"/>
      <c r="AV43" s="9"/>
      <c r="AW43" s="9"/>
      <c r="AX43" s="9"/>
      <c r="AY43" s="9"/>
      <c r="AZ43" s="9"/>
      <c r="BA43" s="9"/>
      <c r="BB43" s="9"/>
      <c r="BC43" s="9"/>
      <c r="BD43" s="9"/>
      <c r="BE43" s="9"/>
      <c r="BF43" s="9"/>
      <c r="BG43" s="9"/>
      <c r="BH43" s="9"/>
    </row>
    <row r="44" spans="1:60" ht="12.5" hidden="1">
      <c r="A44" s="6" t="s">
        <v>237</v>
      </c>
      <c r="B44" s="16">
        <v>45609</v>
      </c>
      <c r="C44" s="8">
        <v>45614</v>
      </c>
      <c r="D44" s="9" t="s">
        <v>41</v>
      </c>
      <c r="E44" s="9" t="s">
        <v>238</v>
      </c>
      <c r="F44" s="9"/>
      <c r="G44" s="9" t="s">
        <v>43</v>
      </c>
      <c r="H44" s="10">
        <v>13.06</v>
      </c>
      <c r="I44" s="9" t="s">
        <v>44</v>
      </c>
      <c r="J44" s="9" t="s">
        <v>45</v>
      </c>
      <c r="K44" s="9" t="s">
        <v>239</v>
      </c>
      <c r="L44" s="11" t="s">
        <v>47</v>
      </c>
      <c r="M44" s="9" t="s">
        <v>48</v>
      </c>
      <c r="N44" s="9" t="s">
        <v>48</v>
      </c>
      <c r="O44" s="12" t="s">
        <v>219</v>
      </c>
      <c r="P44" s="6" t="s">
        <v>220</v>
      </c>
      <c r="Q44" s="9" t="s">
        <v>221</v>
      </c>
      <c r="R44" s="13">
        <v>1</v>
      </c>
      <c r="S44" s="9" t="s">
        <v>92</v>
      </c>
      <c r="T44" s="9" t="s">
        <v>53</v>
      </c>
      <c r="U44" s="9" t="s">
        <v>54</v>
      </c>
      <c r="V44" s="9" t="s">
        <v>240</v>
      </c>
      <c r="W44" s="9"/>
      <c r="X44" s="9"/>
      <c r="Y44" s="13">
        <v>80.13</v>
      </c>
      <c r="Z44" s="13">
        <v>1</v>
      </c>
      <c r="AA44" s="9"/>
      <c r="AB44" s="9"/>
      <c r="AC44" s="9"/>
      <c r="AD44" s="9"/>
      <c r="AE44" s="9"/>
      <c r="AF44" s="13">
        <v>80.13</v>
      </c>
      <c r="AG44" s="9"/>
      <c r="AH44" s="9"/>
      <c r="AI44" s="9"/>
      <c r="AJ44" s="9"/>
      <c r="AK44" s="14" t="e">
        <f t="shared" si="0"/>
        <v>#DIV/0!</v>
      </c>
      <c r="AL44" s="9"/>
      <c r="AM44" s="9"/>
      <c r="AN44" s="9"/>
      <c r="AO44" s="6"/>
      <c r="AP44" s="9"/>
      <c r="AQ44" s="9"/>
      <c r="AR44" s="9"/>
      <c r="AS44" s="9"/>
      <c r="AT44" s="9"/>
      <c r="AU44" s="9"/>
      <c r="AV44" s="9"/>
      <c r="AW44" s="9"/>
      <c r="AX44" s="9"/>
      <c r="AY44" s="9"/>
      <c r="AZ44" s="9"/>
      <c r="BA44" s="9"/>
      <c r="BB44" s="9"/>
      <c r="BC44" s="9"/>
      <c r="BD44" s="9"/>
      <c r="BE44" s="9"/>
      <c r="BF44" s="9"/>
      <c r="BG44" s="9"/>
      <c r="BH44" s="9"/>
    </row>
    <row r="45" spans="1:60" ht="12.5" hidden="1">
      <c r="A45" s="6" t="s">
        <v>241</v>
      </c>
      <c r="B45" s="7">
        <v>45604</v>
      </c>
      <c r="C45" s="8">
        <v>45608</v>
      </c>
      <c r="D45" s="9" t="s">
        <v>41</v>
      </c>
      <c r="E45" s="9" t="s">
        <v>242</v>
      </c>
      <c r="F45" s="9"/>
      <c r="G45" s="9" t="s">
        <v>43</v>
      </c>
      <c r="H45" s="10">
        <v>10.26</v>
      </c>
      <c r="I45" s="9" t="s">
        <v>44</v>
      </c>
      <c r="J45" s="9" t="s">
        <v>45</v>
      </c>
      <c r="K45" s="9" t="s">
        <v>243</v>
      </c>
      <c r="L45" s="11" t="s">
        <v>58</v>
      </c>
      <c r="M45" s="9" t="s">
        <v>48</v>
      </c>
      <c r="N45" s="9" t="s">
        <v>48</v>
      </c>
      <c r="O45" s="12" t="s">
        <v>244</v>
      </c>
      <c r="P45" s="6" t="s">
        <v>245</v>
      </c>
      <c r="Q45" s="9" t="s">
        <v>246</v>
      </c>
      <c r="R45" s="13">
        <v>1</v>
      </c>
      <c r="S45" s="9" t="s">
        <v>68</v>
      </c>
      <c r="T45" s="9" t="s">
        <v>53</v>
      </c>
      <c r="U45" s="9" t="s">
        <v>54</v>
      </c>
      <c r="V45" s="9" t="s">
        <v>55</v>
      </c>
      <c r="W45" s="9"/>
      <c r="X45" s="9"/>
      <c r="Y45" s="13">
        <v>85.45</v>
      </c>
      <c r="Z45" s="13">
        <v>1</v>
      </c>
      <c r="AA45" s="9"/>
      <c r="AB45" s="9"/>
      <c r="AC45" s="9"/>
      <c r="AD45" s="9"/>
      <c r="AE45" s="9"/>
      <c r="AF45" s="13">
        <v>75.19</v>
      </c>
      <c r="AG45" s="9"/>
      <c r="AH45" s="9"/>
      <c r="AI45" s="9">
        <v>1</v>
      </c>
      <c r="AJ45" s="9">
        <v>1</v>
      </c>
      <c r="AK45" s="14">
        <f t="shared" si="0"/>
        <v>1</v>
      </c>
      <c r="AL45" s="9"/>
      <c r="AM45" s="9"/>
      <c r="AN45" s="9"/>
      <c r="AO45" s="6"/>
      <c r="AP45" s="9"/>
      <c r="AQ45" s="9"/>
      <c r="AR45" s="9"/>
      <c r="AS45" s="9"/>
      <c r="AT45" s="9"/>
      <c r="AU45" s="9"/>
      <c r="AV45" s="9"/>
      <c r="AW45" s="9"/>
      <c r="AX45" s="9"/>
      <c r="AY45" s="9"/>
      <c r="AZ45" s="9"/>
      <c r="BA45" s="9"/>
      <c r="BB45" s="9"/>
      <c r="BC45" s="9"/>
      <c r="BD45" s="9"/>
      <c r="BE45" s="9"/>
      <c r="BF45" s="9"/>
      <c r="BG45" s="9"/>
      <c r="BH45" s="9"/>
    </row>
    <row r="46" spans="1:60" ht="12.5" hidden="1">
      <c r="A46" s="6" t="s">
        <v>247</v>
      </c>
      <c r="B46" s="16">
        <v>45577</v>
      </c>
      <c r="C46" s="8">
        <v>45601</v>
      </c>
      <c r="D46" s="9" t="s">
        <v>41</v>
      </c>
      <c r="E46" s="9" t="s">
        <v>248</v>
      </c>
      <c r="F46" s="9"/>
      <c r="G46" s="9" t="s">
        <v>43</v>
      </c>
      <c r="H46" s="10">
        <v>4.62</v>
      </c>
      <c r="I46" s="9" t="s">
        <v>44</v>
      </c>
      <c r="J46" s="9" t="s">
        <v>249</v>
      </c>
      <c r="K46" s="9" t="s">
        <v>250</v>
      </c>
      <c r="L46" s="11" t="s">
        <v>47</v>
      </c>
      <c r="M46" s="9" t="s">
        <v>48</v>
      </c>
      <c r="N46" s="9" t="s">
        <v>48</v>
      </c>
      <c r="O46" s="12" t="s">
        <v>251</v>
      </c>
      <c r="P46" s="6" t="s">
        <v>252</v>
      </c>
      <c r="Q46" s="9" t="s">
        <v>253</v>
      </c>
      <c r="R46" s="13">
        <v>1</v>
      </c>
      <c r="S46" s="9" t="s">
        <v>99</v>
      </c>
      <c r="T46" s="9" t="s">
        <v>53</v>
      </c>
      <c r="U46" s="9" t="s">
        <v>54</v>
      </c>
      <c r="V46" s="9" t="s">
        <v>55</v>
      </c>
      <c r="W46" s="9"/>
      <c r="X46" s="9"/>
      <c r="Y46" s="13">
        <v>129.5</v>
      </c>
      <c r="Z46" s="13">
        <v>1</v>
      </c>
      <c r="AA46" s="9"/>
      <c r="AB46" s="9"/>
      <c r="AC46" s="9"/>
      <c r="AD46" s="9"/>
      <c r="AE46" s="9"/>
      <c r="AF46" s="13">
        <v>129.5</v>
      </c>
      <c r="AG46" s="9"/>
      <c r="AH46" s="9"/>
      <c r="AI46" s="9">
        <v>3</v>
      </c>
      <c r="AJ46" s="9">
        <v>8</v>
      </c>
      <c r="AK46" s="14">
        <f t="shared" si="0"/>
        <v>0.375</v>
      </c>
      <c r="AL46" s="9"/>
      <c r="AM46" s="9"/>
      <c r="AN46" s="9"/>
      <c r="AO46" s="6"/>
      <c r="AP46" s="9"/>
      <c r="AQ46" s="9"/>
      <c r="AR46" s="9"/>
      <c r="AS46" s="9"/>
      <c r="AT46" s="9"/>
      <c r="AU46" s="9"/>
      <c r="AV46" s="9"/>
      <c r="AW46" s="9"/>
      <c r="AX46" s="9"/>
      <c r="AY46" s="9"/>
      <c r="AZ46" s="9"/>
      <c r="BA46" s="9"/>
      <c r="BB46" s="9"/>
      <c r="BC46" s="9"/>
      <c r="BD46" s="9"/>
      <c r="BE46" s="9"/>
      <c r="BF46" s="9"/>
      <c r="BG46" s="9"/>
      <c r="BH46" s="9"/>
    </row>
    <row r="47" spans="1:60" ht="12.5" hidden="1">
      <c r="A47" s="6" t="s">
        <v>254</v>
      </c>
      <c r="B47" s="16">
        <v>45589</v>
      </c>
      <c r="C47" s="8">
        <v>45597</v>
      </c>
      <c r="D47" s="9" t="s">
        <v>41</v>
      </c>
      <c r="E47" s="9" t="s">
        <v>255</v>
      </c>
      <c r="F47" s="9"/>
      <c r="G47" s="9" t="s">
        <v>43</v>
      </c>
      <c r="H47" s="10">
        <v>4.55</v>
      </c>
      <c r="I47" s="9" t="s">
        <v>44</v>
      </c>
      <c r="J47" s="9" t="s">
        <v>249</v>
      </c>
      <c r="K47" s="9" t="s">
        <v>256</v>
      </c>
      <c r="L47" s="11" t="s">
        <v>47</v>
      </c>
      <c r="M47" s="9" t="s">
        <v>48</v>
      </c>
      <c r="N47" s="9" t="s">
        <v>48</v>
      </c>
      <c r="O47" s="12" t="s">
        <v>251</v>
      </c>
      <c r="P47" s="6" t="s">
        <v>252</v>
      </c>
      <c r="Q47" s="9" t="s">
        <v>253</v>
      </c>
      <c r="R47" s="13">
        <v>1</v>
      </c>
      <c r="S47" s="9" t="s">
        <v>52</v>
      </c>
      <c r="T47" s="9" t="s">
        <v>53</v>
      </c>
      <c r="U47" s="9" t="s">
        <v>54</v>
      </c>
      <c r="V47" s="9" t="s">
        <v>55</v>
      </c>
      <c r="W47" s="9"/>
      <c r="X47" s="9"/>
      <c r="Y47" s="13">
        <v>124.96</v>
      </c>
      <c r="Z47" s="13">
        <v>1</v>
      </c>
      <c r="AA47" s="9"/>
      <c r="AB47" s="9"/>
      <c r="AC47" s="9"/>
      <c r="AD47" s="9"/>
      <c r="AE47" s="9"/>
      <c r="AF47" s="13">
        <v>124.96</v>
      </c>
      <c r="AG47" s="9"/>
      <c r="AH47" s="9"/>
      <c r="AI47" s="9"/>
      <c r="AJ47" s="9"/>
      <c r="AK47" s="14" t="e">
        <f t="shared" si="0"/>
        <v>#DIV/0!</v>
      </c>
      <c r="AL47" s="9"/>
      <c r="AM47" s="9"/>
      <c r="AN47" s="9"/>
      <c r="AO47" s="6"/>
      <c r="AP47" s="9"/>
      <c r="AQ47" s="9"/>
      <c r="AR47" s="9"/>
      <c r="AS47" s="9"/>
      <c r="AT47" s="9"/>
      <c r="AU47" s="9"/>
      <c r="AV47" s="9"/>
      <c r="AW47" s="9"/>
      <c r="AX47" s="9"/>
      <c r="AY47" s="9"/>
      <c r="AZ47" s="9"/>
      <c r="BA47" s="9"/>
      <c r="BB47" s="9"/>
      <c r="BC47" s="9"/>
      <c r="BD47" s="9"/>
      <c r="BE47" s="9"/>
      <c r="BF47" s="9"/>
      <c r="BG47" s="9"/>
      <c r="BH47" s="9"/>
    </row>
    <row r="48" spans="1:60" ht="12.5" hidden="1">
      <c r="A48" s="6" t="s">
        <v>257</v>
      </c>
      <c r="B48" s="16">
        <v>45607</v>
      </c>
      <c r="C48" s="8">
        <v>45615</v>
      </c>
      <c r="D48" s="9" t="s">
        <v>41</v>
      </c>
      <c r="E48" s="9" t="s">
        <v>258</v>
      </c>
      <c r="F48" s="9"/>
      <c r="G48" s="9" t="s">
        <v>43</v>
      </c>
      <c r="H48" s="10">
        <v>4.62</v>
      </c>
      <c r="I48" s="9" t="s">
        <v>44</v>
      </c>
      <c r="J48" s="9" t="s">
        <v>249</v>
      </c>
      <c r="K48" s="9" t="s">
        <v>259</v>
      </c>
      <c r="L48" s="11" t="s">
        <v>47</v>
      </c>
      <c r="M48" s="9" t="s">
        <v>48</v>
      </c>
      <c r="N48" s="9" t="s">
        <v>48</v>
      </c>
      <c r="O48" s="12" t="s">
        <v>251</v>
      </c>
      <c r="P48" s="6" t="s">
        <v>252</v>
      </c>
      <c r="Q48" s="9" t="s">
        <v>253</v>
      </c>
      <c r="R48" s="13">
        <v>1</v>
      </c>
      <c r="S48" s="9" t="s">
        <v>99</v>
      </c>
      <c r="T48" s="9" t="s">
        <v>53</v>
      </c>
      <c r="U48" s="9" t="s">
        <v>54</v>
      </c>
      <c r="V48" s="9" t="s">
        <v>55</v>
      </c>
      <c r="W48" s="9"/>
      <c r="X48" s="9"/>
      <c r="Y48" s="13">
        <v>128</v>
      </c>
      <c r="Z48" s="13">
        <v>1</v>
      </c>
      <c r="AA48" s="9"/>
      <c r="AB48" s="9"/>
      <c r="AC48" s="9"/>
      <c r="AD48" s="9"/>
      <c r="AE48" s="9"/>
      <c r="AF48" s="13">
        <v>128</v>
      </c>
      <c r="AG48" s="9"/>
      <c r="AH48" s="9"/>
      <c r="AI48" s="9"/>
      <c r="AJ48" s="9"/>
      <c r="AK48" s="14" t="e">
        <f t="shared" si="0"/>
        <v>#DIV/0!</v>
      </c>
      <c r="AL48" s="9"/>
      <c r="AM48" s="9"/>
      <c r="AN48" s="9"/>
      <c r="AO48" s="6"/>
      <c r="AP48" s="9"/>
      <c r="AQ48" s="9"/>
      <c r="AR48" s="9"/>
      <c r="AS48" s="9"/>
      <c r="AT48" s="9"/>
      <c r="AU48" s="9"/>
      <c r="AV48" s="9"/>
      <c r="AW48" s="9"/>
      <c r="AX48" s="9"/>
      <c r="AY48" s="9"/>
      <c r="AZ48" s="9"/>
      <c r="BA48" s="9"/>
      <c r="BB48" s="9"/>
      <c r="BC48" s="9"/>
      <c r="BD48" s="9"/>
      <c r="BE48" s="9"/>
      <c r="BF48" s="9"/>
      <c r="BG48" s="9"/>
      <c r="BH48" s="9"/>
    </row>
    <row r="49" spans="1:60" ht="12.5" hidden="1">
      <c r="A49" s="6" t="s">
        <v>260</v>
      </c>
      <c r="B49" s="16">
        <v>45589</v>
      </c>
      <c r="C49" s="8">
        <v>45598</v>
      </c>
      <c r="D49" s="9" t="s">
        <v>41</v>
      </c>
      <c r="E49" s="9" t="s">
        <v>261</v>
      </c>
      <c r="F49" s="9"/>
      <c r="G49" s="9" t="s">
        <v>43</v>
      </c>
      <c r="H49" s="10">
        <v>6.47</v>
      </c>
      <c r="I49" s="9" t="s">
        <v>44</v>
      </c>
      <c r="J49" s="9" t="s">
        <v>45</v>
      </c>
      <c r="K49" s="9" t="s">
        <v>262</v>
      </c>
      <c r="L49" s="11" t="s">
        <v>58</v>
      </c>
      <c r="M49" s="9" t="s">
        <v>48</v>
      </c>
      <c r="N49" s="9" t="s">
        <v>48</v>
      </c>
      <c r="O49" s="12" t="s">
        <v>263</v>
      </c>
      <c r="P49" s="6" t="s">
        <v>264</v>
      </c>
      <c r="Q49" s="9" t="s">
        <v>265</v>
      </c>
      <c r="R49" s="13">
        <v>1</v>
      </c>
      <c r="S49" s="9" t="s">
        <v>75</v>
      </c>
      <c r="T49" s="9" t="s">
        <v>53</v>
      </c>
      <c r="U49" s="9" t="s">
        <v>54</v>
      </c>
      <c r="V49" s="9" t="s">
        <v>240</v>
      </c>
      <c r="W49" s="9"/>
      <c r="X49" s="9"/>
      <c r="Y49" s="13">
        <v>118.98</v>
      </c>
      <c r="Z49" s="13">
        <v>1</v>
      </c>
      <c r="AA49" s="9"/>
      <c r="AB49" s="9"/>
      <c r="AC49" s="9"/>
      <c r="AD49" s="9"/>
      <c r="AE49" s="9"/>
      <c r="AF49" s="13">
        <v>112.51</v>
      </c>
      <c r="AG49" s="9"/>
      <c r="AH49" s="9"/>
      <c r="AI49" s="9">
        <v>2</v>
      </c>
      <c r="AJ49" s="9">
        <v>13</v>
      </c>
      <c r="AK49" s="14">
        <f t="shared" si="0"/>
        <v>0.15384615384615385</v>
      </c>
      <c r="AL49" s="9"/>
      <c r="AM49" s="9"/>
      <c r="AN49" s="9"/>
      <c r="AO49" s="6"/>
      <c r="AP49" s="9"/>
      <c r="AQ49" s="9"/>
      <c r="AR49" s="9"/>
      <c r="AS49" s="9"/>
      <c r="AT49" s="9"/>
      <c r="AU49" s="9"/>
      <c r="AV49" s="9"/>
      <c r="AW49" s="9"/>
      <c r="AX49" s="9"/>
      <c r="AY49" s="9"/>
      <c r="AZ49" s="9"/>
      <c r="BA49" s="9"/>
      <c r="BB49" s="9"/>
      <c r="BC49" s="9"/>
      <c r="BD49" s="9"/>
      <c r="BE49" s="9"/>
      <c r="BF49" s="9"/>
      <c r="BG49" s="9"/>
      <c r="BH49" s="9"/>
    </row>
    <row r="50" spans="1:60" ht="12.5" hidden="1">
      <c r="A50" s="6" t="s">
        <v>266</v>
      </c>
      <c r="B50" s="16">
        <v>45607</v>
      </c>
      <c r="C50" s="8">
        <v>45616</v>
      </c>
      <c r="D50" s="9" t="s">
        <v>41</v>
      </c>
      <c r="E50" s="9" t="s">
        <v>267</v>
      </c>
      <c r="F50" s="9"/>
      <c r="G50" s="9" t="s">
        <v>43</v>
      </c>
      <c r="H50" s="10">
        <v>6.45</v>
      </c>
      <c r="I50" s="9" t="s">
        <v>44</v>
      </c>
      <c r="J50" s="9" t="s">
        <v>45</v>
      </c>
      <c r="K50" s="9" t="s">
        <v>268</v>
      </c>
      <c r="L50" s="11" t="s">
        <v>47</v>
      </c>
      <c r="M50" s="9" t="s">
        <v>48</v>
      </c>
      <c r="N50" s="9" t="s">
        <v>48</v>
      </c>
      <c r="O50" s="12" t="s">
        <v>263</v>
      </c>
      <c r="P50" s="6" t="s">
        <v>269</v>
      </c>
      <c r="Q50" s="9" t="s">
        <v>265</v>
      </c>
      <c r="R50" s="13">
        <v>1</v>
      </c>
      <c r="S50" s="9" t="s">
        <v>52</v>
      </c>
      <c r="T50" s="9" t="s">
        <v>53</v>
      </c>
      <c r="U50" s="9" t="s">
        <v>54</v>
      </c>
      <c r="V50" s="9" t="s">
        <v>55</v>
      </c>
      <c r="W50" s="9"/>
      <c r="X50" s="9"/>
      <c r="Y50" s="13">
        <v>111.51</v>
      </c>
      <c r="Z50" s="13">
        <v>1</v>
      </c>
      <c r="AA50" s="9"/>
      <c r="AB50" s="9"/>
      <c r="AC50" s="9"/>
      <c r="AD50" s="9"/>
      <c r="AE50" s="9"/>
      <c r="AF50" s="13">
        <v>111.51</v>
      </c>
      <c r="AG50" s="9"/>
      <c r="AH50" s="9"/>
      <c r="AI50" s="9"/>
      <c r="AJ50" s="9"/>
      <c r="AK50" s="14" t="e">
        <f t="shared" si="0"/>
        <v>#DIV/0!</v>
      </c>
      <c r="AL50" s="9"/>
      <c r="AM50" s="9"/>
      <c r="AN50" s="9"/>
      <c r="AO50" s="6"/>
      <c r="AP50" s="9"/>
      <c r="AQ50" s="9"/>
      <c r="AR50" s="9"/>
      <c r="AS50" s="9"/>
      <c r="AT50" s="9"/>
      <c r="AU50" s="9"/>
      <c r="AV50" s="9"/>
      <c r="AW50" s="9"/>
      <c r="AX50" s="9"/>
      <c r="AY50" s="9"/>
      <c r="AZ50" s="9"/>
      <c r="BA50" s="9"/>
      <c r="BB50" s="9"/>
      <c r="BC50" s="9"/>
      <c r="BD50" s="9"/>
      <c r="BE50" s="9"/>
      <c r="BF50" s="9"/>
      <c r="BG50" s="9"/>
      <c r="BH50" s="9"/>
    </row>
    <row r="51" spans="1:60" ht="12.5" hidden="1">
      <c r="A51" s="6" t="s">
        <v>270</v>
      </c>
      <c r="B51" s="7">
        <v>45599</v>
      </c>
      <c r="C51" s="8">
        <v>45610</v>
      </c>
      <c r="D51" s="9" t="s">
        <v>41</v>
      </c>
      <c r="E51" s="9" t="s">
        <v>271</v>
      </c>
      <c r="F51" s="9"/>
      <c r="G51" s="9" t="s">
        <v>43</v>
      </c>
      <c r="H51" s="10">
        <v>7.6</v>
      </c>
      <c r="I51" s="9" t="s">
        <v>44</v>
      </c>
      <c r="J51" s="9" t="s">
        <v>45</v>
      </c>
      <c r="K51" s="9" t="s">
        <v>272</v>
      </c>
      <c r="L51" s="11" t="s">
        <v>58</v>
      </c>
      <c r="M51" s="9" t="s">
        <v>48</v>
      </c>
      <c r="N51" s="9" t="s">
        <v>48</v>
      </c>
      <c r="O51" s="12" t="s">
        <v>273</v>
      </c>
      <c r="P51" s="6" t="s">
        <v>274</v>
      </c>
      <c r="Q51" s="9" t="s">
        <v>275</v>
      </c>
      <c r="R51" s="13">
        <v>1</v>
      </c>
      <c r="S51" s="9" t="s">
        <v>75</v>
      </c>
      <c r="T51" s="9" t="s">
        <v>53</v>
      </c>
      <c r="U51" s="9" t="s">
        <v>54</v>
      </c>
      <c r="V51" s="9" t="s">
        <v>55</v>
      </c>
      <c r="W51" s="9"/>
      <c r="X51" s="9"/>
      <c r="Y51" s="13">
        <v>71.099999999999994</v>
      </c>
      <c r="Z51" s="13">
        <v>1</v>
      </c>
      <c r="AA51" s="9"/>
      <c r="AB51" s="9"/>
      <c r="AC51" s="9"/>
      <c r="AD51" s="9"/>
      <c r="AE51" s="9"/>
      <c r="AF51" s="13">
        <v>63.5</v>
      </c>
      <c r="AG51" s="9"/>
      <c r="AH51" s="9"/>
      <c r="AI51" s="9">
        <v>1</v>
      </c>
      <c r="AJ51" s="9">
        <v>5</v>
      </c>
      <c r="AK51" s="14">
        <f t="shared" si="0"/>
        <v>0.2</v>
      </c>
      <c r="AL51" s="9"/>
      <c r="AM51" s="9"/>
      <c r="AN51" s="9"/>
      <c r="AO51" s="6"/>
      <c r="AP51" s="9"/>
      <c r="AQ51" s="9"/>
      <c r="AR51" s="9"/>
      <c r="AS51" s="9"/>
      <c r="AT51" s="9"/>
      <c r="AU51" s="9"/>
      <c r="AV51" s="9"/>
      <c r="AW51" s="9"/>
      <c r="AX51" s="9"/>
      <c r="AY51" s="9"/>
      <c r="AZ51" s="9"/>
      <c r="BA51" s="9"/>
      <c r="BB51" s="9"/>
      <c r="BC51" s="9"/>
      <c r="BD51" s="9"/>
      <c r="BE51" s="9"/>
      <c r="BF51" s="9"/>
      <c r="BG51" s="9"/>
      <c r="BH51" s="9"/>
    </row>
    <row r="52" spans="1:60" ht="12.5" hidden="1">
      <c r="A52" s="6" t="s">
        <v>276</v>
      </c>
      <c r="B52" s="16">
        <v>45586</v>
      </c>
      <c r="C52" s="8">
        <v>45605</v>
      </c>
      <c r="D52" s="9" t="s">
        <v>41</v>
      </c>
      <c r="E52" s="9"/>
      <c r="F52" s="9"/>
      <c r="G52" s="9" t="s">
        <v>137</v>
      </c>
      <c r="H52" s="10">
        <v>0</v>
      </c>
      <c r="I52" s="9"/>
      <c r="J52" s="9"/>
      <c r="K52" s="9"/>
      <c r="L52" s="11" t="s">
        <v>58</v>
      </c>
      <c r="M52" s="9" t="s">
        <v>48</v>
      </c>
      <c r="N52" s="9" t="s">
        <v>48</v>
      </c>
      <c r="O52" s="12" t="s">
        <v>277</v>
      </c>
      <c r="P52" s="6" t="s">
        <v>278</v>
      </c>
      <c r="Q52" s="9" t="s">
        <v>279</v>
      </c>
      <c r="R52" s="13">
        <v>1</v>
      </c>
      <c r="S52" s="9" t="s">
        <v>75</v>
      </c>
      <c r="T52" s="9" t="s">
        <v>53</v>
      </c>
      <c r="U52" s="9" t="s">
        <v>54</v>
      </c>
      <c r="V52" s="9" t="s">
        <v>141</v>
      </c>
      <c r="W52" s="9"/>
      <c r="X52" s="9"/>
      <c r="Y52" s="13">
        <v>30.38</v>
      </c>
      <c r="Z52" s="13">
        <v>1</v>
      </c>
      <c r="AA52" s="9"/>
      <c r="AB52" s="9"/>
      <c r="AC52" s="9"/>
      <c r="AD52" s="9"/>
      <c r="AE52" s="9"/>
      <c r="AF52" s="13">
        <v>30.38</v>
      </c>
      <c r="AG52" s="9"/>
      <c r="AH52" s="9"/>
      <c r="AI52" s="9">
        <v>1</v>
      </c>
      <c r="AJ52" s="9">
        <v>6</v>
      </c>
      <c r="AK52" s="14">
        <f t="shared" si="0"/>
        <v>0.16666666666666666</v>
      </c>
      <c r="AL52" s="9"/>
      <c r="AM52" s="9"/>
      <c r="AN52" s="9"/>
      <c r="AO52" s="6"/>
      <c r="AP52" s="9"/>
      <c r="AQ52" s="9"/>
      <c r="AR52" s="9"/>
      <c r="AS52" s="9"/>
      <c r="AT52" s="9"/>
      <c r="AU52" s="9"/>
      <c r="AV52" s="9"/>
      <c r="AW52" s="9"/>
      <c r="AX52" s="9"/>
      <c r="AY52" s="9"/>
      <c r="AZ52" s="9"/>
      <c r="BA52" s="9"/>
      <c r="BB52" s="9"/>
      <c r="BC52" s="9"/>
      <c r="BD52" s="9"/>
      <c r="BE52" s="9"/>
      <c r="BF52" s="9"/>
      <c r="BG52" s="9"/>
      <c r="BH52" s="9"/>
    </row>
    <row r="53" spans="1:60" ht="12.5" hidden="1">
      <c r="A53" s="6" t="s">
        <v>280</v>
      </c>
      <c r="B53" s="7">
        <v>45604</v>
      </c>
      <c r="C53" s="8">
        <v>45615</v>
      </c>
      <c r="D53" s="9" t="s">
        <v>41</v>
      </c>
      <c r="E53" s="9" t="s">
        <v>281</v>
      </c>
      <c r="F53" s="9"/>
      <c r="G53" s="9" t="s">
        <v>43</v>
      </c>
      <c r="H53" s="17">
        <v>65.540000000000006</v>
      </c>
      <c r="I53" s="9" t="s">
        <v>44</v>
      </c>
      <c r="J53" s="9" t="s">
        <v>45</v>
      </c>
      <c r="K53" s="9" t="s">
        <v>282</v>
      </c>
      <c r="L53" s="11" t="s">
        <v>47</v>
      </c>
      <c r="M53" s="9" t="s">
        <v>48</v>
      </c>
      <c r="N53" s="9" t="s">
        <v>48</v>
      </c>
      <c r="O53" s="12" t="s">
        <v>283</v>
      </c>
      <c r="P53" s="6" t="s">
        <v>284</v>
      </c>
      <c r="Q53" s="9" t="s">
        <v>285</v>
      </c>
      <c r="R53" s="13">
        <v>1</v>
      </c>
      <c r="S53" s="9" t="s">
        <v>92</v>
      </c>
      <c r="T53" s="9" t="s">
        <v>53</v>
      </c>
      <c r="U53" s="9" t="s">
        <v>54</v>
      </c>
      <c r="V53" s="9" t="s">
        <v>61</v>
      </c>
      <c r="W53" s="9"/>
      <c r="X53" s="9"/>
      <c r="Y53" s="13">
        <v>152.53</v>
      </c>
      <c r="Z53" s="13">
        <v>1</v>
      </c>
      <c r="AA53" s="9"/>
      <c r="AB53" s="9"/>
      <c r="AC53" s="9"/>
      <c r="AD53" s="9"/>
      <c r="AE53" s="9"/>
      <c r="AF53" s="9"/>
      <c r="AG53" s="9"/>
      <c r="AH53" s="9"/>
      <c r="AI53" s="9">
        <v>3</v>
      </c>
      <c r="AJ53" s="9">
        <v>23</v>
      </c>
      <c r="AK53" s="14">
        <f t="shared" si="0"/>
        <v>0.13043478260869565</v>
      </c>
      <c r="AL53" s="9"/>
      <c r="AM53" s="9"/>
      <c r="AN53" s="9"/>
      <c r="AO53" s="6"/>
      <c r="AP53" s="9"/>
      <c r="AQ53" s="9"/>
      <c r="AR53" s="9"/>
      <c r="AS53" s="9"/>
      <c r="AT53" s="9"/>
      <c r="AU53" s="9"/>
      <c r="AV53" s="9"/>
      <c r="AW53" s="9"/>
      <c r="AX53" s="9"/>
      <c r="AY53" s="9"/>
      <c r="AZ53" s="9"/>
      <c r="BA53" s="9"/>
      <c r="BB53" s="9"/>
      <c r="BC53" s="9"/>
      <c r="BD53" s="9"/>
      <c r="BE53" s="9"/>
      <c r="BF53" s="9"/>
      <c r="BG53" s="9"/>
      <c r="BH53" s="9"/>
    </row>
    <row r="54" spans="1:60" ht="12.5" hidden="1">
      <c r="A54" s="6" t="s">
        <v>286</v>
      </c>
      <c r="B54" s="16">
        <v>45585</v>
      </c>
      <c r="C54" s="8">
        <v>45614</v>
      </c>
      <c r="D54" s="9" t="s">
        <v>41</v>
      </c>
      <c r="E54" s="9" t="s">
        <v>287</v>
      </c>
      <c r="F54" s="9"/>
      <c r="G54" s="9" t="s">
        <v>43</v>
      </c>
      <c r="H54" s="18">
        <v>65.540000000000006</v>
      </c>
      <c r="I54" s="9" t="s">
        <v>44</v>
      </c>
      <c r="J54" s="9" t="s">
        <v>45</v>
      </c>
      <c r="K54" s="9" t="s">
        <v>288</v>
      </c>
      <c r="L54" s="11" t="s">
        <v>47</v>
      </c>
      <c r="M54" s="9" t="s">
        <v>48</v>
      </c>
      <c r="N54" s="9" t="s">
        <v>48</v>
      </c>
      <c r="O54" s="12" t="s">
        <v>283</v>
      </c>
      <c r="P54" s="6" t="s">
        <v>284</v>
      </c>
      <c r="Q54" s="9" t="s">
        <v>285</v>
      </c>
      <c r="R54" s="13">
        <v>1</v>
      </c>
      <c r="S54" s="9" t="s">
        <v>99</v>
      </c>
      <c r="T54" s="9" t="s">
        <v>53</v>
      </c>
      <c r="U54" s="9" t="s">
        <v>54</v>
      </c>
      <c r="V54" s="9" t="s">
        <v>55</v>
      </c>
      <c r="W54" s="9"/>
      <c r="X54" s="9"/>
      <c r="Y54" s="13">
        <v>151.44999999999999</v>
      </c>
      <c r="Z54" s="13">
        <v>1</v>
      </c>
      <c r="AA54" s="9"/>
      <c r="AB54" s="9"/>
      <c r="AC54" s="9"/>
      <c r="AD54" s="9"/>
      <c r="AE54" s="9"/>
      <c r="AF54" s="13">
        <v>151.44999999999999</v>
      </c>
      <c r="AG54" s="9"/>
      <c r="AH54" s="9"/>
      <c r="AI54" s="9"/>
      <c r="AJ54" s="9"/>
      <c r="AK54" s="14" t="e">
        <f t="shared" si="0"/>
        <v>#DIV/0!</v>
      </c>
      <c r="AL54" s="9"/>
      <c r="AM54" s="9"/>
      <c r="AN54" s="9"/>
      <c r="AO54" s="6"/>
      <c r="AP54" s="9"/>
      <c r="AQ54" s="9"/>
      <c r="AR54" s="9"/>
      <c r="AS54" s="9"/>
      <c r="AT54" s="9"/>
      <c r="AU54" s="9"/>
      <c r="AV54" s="9"/>
      <c r="AW54" s="9"/>
      <c r="AX54" s="9"/>
      <c r="AY54" s="9"/>
      <c r="AZ54" s="9"/>
      <c r="BA54" s="9"/>
      <c r="BB54" s="9"/>
      <c r="BC54" s="9"/>
      <c r="BD54" s="9"/>
      <c r="BE54" s="9"/>
      <c r="BF54" s="9"/>
      <c r="BG54" s="9"/>
      <c r="BH54" s="9"/>
    </row>
    <row r="55" spans="1:60" ht="12.5" hidden="1">
      <c r="A55" s="6" t="s">
        <v>289</v>
      </c>
      <c r="B55" s="7">
        <v>45604</v>
      </c>
      <c r="C55" s="8">
        <v>45612</v>
      </c>
      <c r="D55" s="9" t="s">
        <v>41</v>
      </c>
      <c r="E55" s="9" t="s">
        <v>290</v>
      </c>
      <c r="F55" s="9"/>
      <c r="G55" s="9" t="s">
        <v>43</v>
      </c>
      <c r="H55" s="17">
        <v>65.540000000000006</v>
      </c>
      <c r="I55" s="9" t="s">
        <v>44</v>
      </c>
      <c r="J55" s="9" t="s">
        <v>45</v>
      </c>
      <c r="K55" s="9" t="s">
        <v>291</v>
      </c>
      <c r="L55" s="11" t="s">
        <v>47</v>
      </c>
      <c r="M55" s="9" t="s">
        <v>48</v>
      </c>
      <c r="N55" s="9" t="s">
        <v>48</v>
      </c>
      <c r="O55" s="12" t="s">
        <v>283</v>
      </c>
      <c r="P55" s="6" t="s">
        <v>284</v>
      </c>
      <c r="Q55" s="9" t="s">
        <v>285</v>
      </c>
      <c r="R55" s="13">
        <v>1</v>
      </c>
      <c r="S55" s="9" t="s">
        <v>99</v>
      </c>
      <c r="T55" s="9" t="s">
        <v>53</v>
      </c>
      <c r="U55" s="9" t="s">
        <v>54</v>
      </c>
      <c r="V55" s="9" t="s">
        <v>61</v>
      </c>
      <c r="W55" s="9"/>
      <c r="X55" s="9"/>
      <c r="Y55" s="13">
        <v>151.44999999999999</v>
      </c>
      <c r="Z55" s="13">
        <v>1</v>
      </c>
      <c r="AA55" s="9"/>
      <c r="AB55" s="9"/>
      <c r="AC55" s="9"/>
      <c r="AD55" s="9"/>
      <c r="AE55" s="9"/>
      <c r="AF55" s="9"/>
      <c r="AG55" s="9"/>
      <c r="AH55" s="9"/>
      <c r="AI55" s="9"/>
      <c r="AJ55" s="9"/>
      <c r="AK55" s="14" t="e">
        <f t="shared" si="0"/>
        <v>#DIV/0!</v>
      </c>
      <c r="AL55" s="9"/>
      <c r="AM55" s="9"/>
      <c r="AN55" s="9"/>
      <c r="AO55" s="6"/>
      <c r="AP55" s="9"/>
      <c r="AQ55" s="9"/>
      <c r="AR55" s="9"/>
      <c r="AS55" s="9"/>
      <c r="AT55" s="9"/>
      <c r="AU55" s="9"/>
      <c r="AV55" s="9"/>
      <c r="AW55" s="9"/>
      <c r="AX55" s="9"/>
      <c r="AY55" s="9"/>
      <c r="AZ55" s="9"/>
      <c r="BA55" s="9"/>
      <c r="BB55" s="9"/>
      <c r="BC55" s="9"/>
      <c r="BD55" s="9"/>
      <c r="BE55" s="9"/>
      <c r="BF55" s="9"/>
      <c r="BG55" s="9"/>
      <c r="BH55" s="9"/>
    </row>
    <row r="56" spans="1:60" ht="12.5" hidden="1">
      <c r="A56" s="6" t="s">
        <v>292</v>
      </c>
      <c r="B56" s="16">
        <v>45582</v>
      </c>
      <c r="C56" s="8">
        <v>45601</v>
      </c>
      <c r="D56" s="9" t="s">
        <v>41</v>
      </c>
      <c r="E56" s="9"/>
      <c r="F56" s="9"/>
      <c r="G56" s="9" t="s">
        <v>137</v>
      </c>
      <c r="H56" s="10">
        <v>0</v>
      </c>
      <c r="I56" s="9"/>
      <c r="J56" s="9"/>
      <c r="K56" s="9"/>
      <c r="L56" s="11" t="s">
        <v>47</v>
      </c>
      <c r="M56" s="9" t="s">
        <v>48</v>
      </c>
      <c r="N56" s="9" t="s">
        <v>48</v>
      </c>
      <c r="O56" s="12" t="s">
        <v>293</v>
      </c>
      <c r="P56" s="6" t="s">
        <v>294</v>
      </c>
      <c r="Q56" s="9" t="s">
        <v>295</v>
      </c>
      <c r="R56" s="13">
        <v>1</v>
      </c>
      <c r="S56" s="9" t="s">
        <v>82</v>
      </c>
      <c r="T56" s="9" t="s">
        <v>53</v>
      </c>
      <c r="U56" s="9" t="s">
        <v>54</v>
      </c>
      <c r="V56" s="9" t="s">
        <v>141</v>
      </c>
      <c r="W56" s="9"/>
      <c r="X56" s="9"/>
      <c r="Y56" s="13">
        <v>19.559999999999999</v>
      </c>
      <c r="Z56" s="13">
        <v>1</v>
      </c>
      <c r="AA56" s="9"/>
      <c r="AB56" s="9"/>
      <c r="AC56" s="9"/>
      <c r="AD56" s="9"/>
      <c r="AE56" s="9"/>
      <c r="AF56" s="13">
        <v>19.559999999999999</v>
      </c>
      <c r="AG56" s="9"/>
      <c r="AH56" s="9"/>
      <c r="AI56" s="9">
        <v>1</v>
      </c>
      <c r="AJ56" s="9">
        <v>8</v>
      </c>
      <c r="AK56" s="14">
        <f t="shared" si="0"/>
        <v>0.125</v>
      </c>
      <c r="AL56" s="9"/>
      <c r="AM56" s="9"/>
      <c r="AN56" s="9"/>
      <c r="AO56" s="6"/>
      <c r="AP56" s="9"/>
      <c r="AQ56" s="9"/>
      <c r="AR56" s="9"/>
      <c r="AS56" s="9"/>
      <c r="AT56" s="9"/>
      <c r="AU56" s="9"/>
      <c r="AV56" s="9"/>
      <c r="AW56" s="9"/>
      <c r="AX56" s="9"/>
      <c r="AY56" s="9"/>
      <c r="AZ56" s="9"/>
      <c r="BA56" s="9"/>
      <c r="BB56" s="9"/>
      <c r="BC56" s="9"/>
      <c r="BD56" s="9"/>
      <c r="BE56" s="9"/>
      <c r="BF56" s="9"/>
      <c r="BG56" s="9"/>
      <c r="BH56" s="9"/>
    </row>
    <row r="57" spans="1:60" ht="12.5" hidden="1">
      <c r="A57" s="6" t="s">
        <v>296</v>
      </c>
      <c r="B57" s="16">
        <v>45614</v>
      </c>
      <c r="C57" s="8">
        <v>45625</v>
      </c>
      <c r="D57" s="9" t="s">
        <v>41</v>
      </c>
      <c r="E57" s="9" t="s">
        <v>297</v>
      </c>
      <c r="F57" s="9"/>
      <c r="G57" s="9" t="s">
        <v>43</v>
      </c>
      <c r="H57" s="10">
        <v>5.56</v>
      </c>
      <c r="I57" s="9" t="s">
        <v>44</v>
      </c>
      <c r="J57" s="9" t="s">
        <v>249</v>
      </c>
      <c r="K57" s="9" t="s">
        <v>298</v>
      </c>
      <c r="L57" s="11" t="s">
        <v>47</v>
      </c>
      <c r="M57" s="9" t="s">
        <v>48</v>
      </c>
      <c r="N57" s="9" t="s">
        <v>48</v>
      </c>
      <c r="O57" s="12" t="s">
        <v>299</v>
      </c>
      <c r="P57" s="6" t="s">
        <v>300</v>
      </c>
      <c r="Q57" s="9" t="s">
        <v>301</v>
      </c>
      <c r="R57" s="13">
        <v>1</v>
      </c>
      <c r="S57" s="9" t="s">
        <v>92</v>
      </c>
      <c r="T57" s="9" t="s">
        <v>53</v>
      </c>
      <c r="U57" s="9" t="s">
        <v>54</v>
      </c>
      <c r="V57" s="9" t="s">
        <v>55</v>
      </c>
      <c r="W57" s="9"/>
      <c r="X57" s="9"/>
      <c r="Y57" s="13">
        <v>25.89</v>
      </c>
      <c r="Z57" s="13">
        <v>1</v>
      </c>
      <c r="AA57" s="9"/>
      <c r="AB57" s="9"/>
      <c r="AC57" s="9"/>
      <c r="AD57" s="9"/>
      <c r="AE57" s="9"/>
      <c r="AF57" s="13">
        <v>25.89</v>
      </c>
      <c r="AG57" s="9"/>
      <c r="AH57" s="9"/>
      <c r="AI57" s="9">
        <v>1</v>
      </c>
      <c r="AJ57" s="9">
        <v>79</v>
      </c>
      <c r="AK57" s="14">
        <f t="shared" si="0"/>
        <v>1.2658227848101266E-2</v>
      </c>
      <c r="AL57" s="9"/>
      <c r="AM57" s="9"/>
      <c r="AN57" s="9"/>
      <c r="AO57" s="6"/>
      <c r="AP57" s="9"/>
      <c r="AQ57" s="9"/>
      <c r="AR57" s="9"/>
      <c r="AS57" s="9"/>
      <c r="AT57" s="9"/>
      <c r="AU57" s="9"/>
      <c r="AV57" s="9"/>
      <c r="AW57" s="9"/>
      <c r="AX57" s="9"/>
      <c r="AY57" s="9"/>
      <c r="AZ57" s="9"/>
      <c r="BA57" s="9"/>
      <c r="BB57" s="9"/>
      <c r="BC57" s="9"/>
      <c r="BD57" s="9"/>
      <c r="BE57" s="9"/>
      <c r="BF57" s="9"/>
      <c r="BG57" s="9"/>
      <c r="BH57" s="9"/>
    </row>
    <row r="58" spans="1:60" ht="12.5" hidden="1">
      <c r="A58" s="6" t="s">
        <v>302</v>
      </c>
      <c r="B58" s="16">
        <v>45606</v>
      </c>
      <c r="C58" s="8">
        <v>45625</v>
      </c>
      <c r="D58" s="9" t="s">
        <v>41</v>
      </c>
      <c r="E58" s="9"/>
      <c r="F58" s="9"/>
      <c r="G58" s="9" t="s">
        <v>137</v>
      </c>
      <c r="H58" s="10">
        <v>0</v>
      </c>
      <c r="I58" s="9"/>
      <c r="J58" s="9"/>
      <c r="K58" s="9"/>
      <c r="L58" s="11" t="s">
        <v>58</v>
      </c>
      <c r="M58" s="9" t="s">
        <v>48</v>
      </c>
      <c r="N58" s="9" t="s">
        <v>48</v>
      </c>
      <c r="O58" s="12" t="s">
        <v>303</v>
      </c>
      <c r="P58" s="6" t="s">
        <v>304</v>
      </c>
      <c r="Q58" s="9" t="s">
        <v>305</v>
      </c>
      <c r="R58" s="13">
        <v>1</v>
      </c>
      <c r="S58" s="9" t="s">
        <v>306</v>
      </c>
      <c r="T58" s="9" t="s">
        <v>53</v>
      </c>
      <c r="U58" s="9" t="s">
        <v>54</v>
      </c>
      <c r="V58" s="9" t="s">
        <v>141</v>
      </c>
      <c r="W58" s="9"/>
      <c r="X58" s="9"/>
      <c r="Y58" s="13">
        <v>36.17</v>
      </c>
      <c r="Z58" s="13">
        <v>1</v>
      </c>
      <c r="AA58" s="9"/>
      <c r="AB58" s="9"/>
      <c r="AC58" s="9"/>
      <c r="AD58" s="9"/>
      <c r="AE58" s="9"/>
      <c r="AF58" s="13">
        <v>36.17</v>
      </c>
      <c r="AG58" s="9"/>
      <c r="AH58" s="9"/>
      <c r="AI58" s="9">
        <v>1</v>
      </c>
      <c r="AJ58" s="9">
        <v>6</v>
      </c>
      <c r="AK58" s="14">
        <f t="shared" si="0"/>
        <v>0.16666666666666666</v>
      </c>
      <c r="AL58" s="9"/>
      <c r="AM58" s="9"/>
      <c r="AN58" s="9"/>
      <c r="AO58" s="6"/>
      <c r="AP58" s="9"/>
      <c r="AQ58" s="9"/>
      <c r="AR58" s="9"/>
      <c r="AS58" s="9"/>
      <c r="AT58" s="9"/>
      <c r="AU58" s="9"/>
      <c r="AV58" s="9"/>
      <c r="AW58" s="9"/>
      <c r="AX58" s="9"/>
      <c r="AY58" s="9"/>
      <c r="AZ58" s="9"/>
      <c r="BA58" s="9"/>
      <c r="BB58" s="9"/>
      <c r="BC58" s="9"/>
      <c r="BD58" s="9"/>
      <c r="BE58" s="9"/>
      <c r="BF58" s="9"/>
      <c r="BG58" s="9"/>
      <c r="BH58" s="9"/>
    </row>
    <row r="59" spans="1:60" ht="12.5" hidden="1">
      <c r="A59" s="6" t="s">
        <v>307</v>
      </c>
      <c r="B59" s="7">
        <v>45602</v>
      </c>
      <c r="C59" s="8">
        <v>45611</v>
      </c>
      <c r="D59" s="9" t="s">
        <v>41</v>
      </c>
      <c r="E59" s="9" t="s">
        <v>308</v>
      </c>
      <c r="F59" s="9"/>
      <c r="G59" s="9" t="s">
        <v>43</v>
      </c>
      <c r="H59" s="10">
        <v>10.69</v>
      </c>
      <c r="I59" s="9" t="s">
        <v>44</v>
      </c>
      <c r="J59" s="9" t="s">
        <v>45</v>
      </c>
      <c r="K59" s="9" t="s">
        <v>309</v>
      </c>
      <c r="L59" s="11" t="s">
        <v>47</v>
      </c>
      <c r="M59" s="9" t="s">
        <v>48</v>
      </c>
      <c r="N59" s="9" t="s">
        <v>48</v>
      </c>
      <c r="O59" s="12" t="s">
        <v>310</v>
      </c>
      <c r="P59" s="6" t="s">
        <v>311</v>
      </c>
      <c r="Q59" s="9" t="s">
        <v>312</v>
      </c>
      <c r="R59" s="13">
        <v>1</v>
      </c>
      <c r="S59" s="9" t="s">
        <v>99</v>
      </c>
      <c r="T59" s="9" t="s">
        <v>53</v>
      </c>
      <c r="U59" s="9" t="s">
        <v>54</v>
      </c>
      <c r="V59" s="9" t="s">
        <v>61</v>
      </c>
      <c r="W59" s="9"/>
      <c r="X59" s="9"/>
      <c r="Y59" s="13">
        <v>149.19</v>
      </c>
      <c r="Z59" s="13">
        <v>1</v>
      </c>
      <c r="AA59" s="9"/>
      <c r="AB59" s="9"/>
      <c r="AC59" s="9"/>
      <c r="AD59" s="9"/>
      <c r="AE59" s="9"/>
      <c r="AF59" s="9"/>
      <c r="AG59" s="9"/>
      <c r="AH59" s="9"/>
      <c r="AI59" s="9">
        <v>4</v>
      </c>
      <c r="AJ59" s="9">
        <v>17</v>
      </c>
      <c r="AK59" s="14">
        <f t="shared" si="0"/>
        <v>0.23529411764705882</v>
      </c>
      <c r="AL59" s="9"/>
      <c r="AM59" s="9"/>
      <c r="AN59" s="9"/>
      <c r="AO59" s="6"/>
      <c r="AP59" s="9"/>
      <c r="AQ59" s="9"/>
      <c r="AR59" s="9"/>
      <c r="AS59" s="9"/>
      <c r="AT59" s="9"/>
      <c r="AU59" s="9"/>
      <c r="AV59" s="9"/>
      <c r="AW59" s="9"/>
      <c r="AX59" s="9"/>
      <c r="AY59" s="9"/>
      <c r="AZ59" s="9"/>
      <c r="BA59" s="9"/>
      <c r="BB59" s="9"/>
      <c r="BC59" s="9"/>
      <c r="BD59" s="9"/>
      <c r="BE59" s="9"/>
      <c r="BF59" s="9"/>
      <c r="BG59" s="9"/>
      <c r="BH59" s="9"/>
    </row>
    <row r="60" spans="1:60" ht="12.5" hidden="1">
      <c r="A60" s="6" t="s">
        <v>313</v>
      </c>
      <c r="B60" s="7">
        <v>45568</v>
      </c>
      <c r="C60" s="8">
        <v>45601</v>
      </c>
      <c r="D60" s="9" t="s">
        <v>41</v>
      </c>
      <c r="E60" s="9" t="s">
        <v>314</v>
      </c>
      <c r="F60" s="9"/>
      <c r="G60" s="9" t="s">
        <v>43</v>
      </c>
      <c r="H60" s="10">
        <v>10.69</v>
      </c>
      <c r="I60" s="9" t="s">
        <v>44</v>
      </c>
      <c r="J60" s="9" t="s">
        <v>45</v>
      </c>
      <c r="K60" s="9" t="s">
        <v>315</v>
      </c>
      <c r="L60" s="11" t="s">
        <v>58</v>
      </c>
      <c r="M60" s="9" t="s">
        <v>48</v>
      </c>
      <c r="N60" s="9" t="s">
        <v>48</v>
      </c>
      <c r="O60" s="12" t="s">
        <v>310</v>
      </c>
      <c r="P60" s="6" t="s">
        <v>311</v>
      </c>
      <c r="Q60" s="9" t="s">
        <v>312</v>
      </c>
      <c r="R60" s="13">
        <v>1</v>
      </c>
      <c r="S60" s="9" t="s">
        <v>75</v>
      </c>
      <c r="T60" s="9" t="s">
        <v>53</v>
      </c>
      <c r="U60" s="9" t="s">
        <v>54</v>
      </c>
      <c r="V60" s="9" t="s">
        <v>61</v>
      </c>
      <c r="W60" s="9"/>
      <c r="X60" s="9"/>
      <c r="Y60" s="13">
        <v>145.44999999999999</v>
      </c>
      <c r="Z60" s="13">
        <v>1</v>
      </c>
      <c r="AA60" s="9"/>
      <c r="AB60" s="9"/>
      <c r="AC60" s="9"/>
      <c r="AD60" s="9"/>
      <c r="AE60" s="9"/>
      <c r="AF60" s="9"/>
      <c r="AG60" s="9"/>
      <c r="AH60" s="9"/>
      <c r="AI60" s="9"/>
      <c r="AJ60" s="9"/>
      <c r="AK60" s="14" t="e">
        <f t="shared" si="0"/>
        <v>#DIV/0!</v>
      </c>
      <c r="AL60" s="9"/>
      <c r="AM60" s="9"/>
      <c r="AN60" s="9"/>
      <c r="AO60" s="6"/>
      <c r="AP60" s="9"/>
      <c r="AQ60" s="9"/>
      <c r="AR60" s="9"/>
      <c r="AS60" s="9"/>
      <c r="AT60" s="9"/>
      <c r="AU60" s="9"/>
      <c r="AV60" s="9"/>
      <c r="AW60" s="9"/>
      <c r="AX60" s="9"/>
      <c r="AY60" s="9"/>
      <c r="AZ60" s="9"/>
      <c r="BA60" s="9"/>
      <c r="BB60" s="9"/>
      <c r="BC60" s="9"/>
      <c r="BD60" s="9"/>
      <c r="BE60" s="9"/>
      <c r="BF60" s="9"/>
      <c r="BG60" s="9"/>
      <c r="BH60" s="9"/>
    </row>
    <row r="61" spans="1:60" ht="12.5" hidden="1">
      <c r="A61" s="6" t="s">
        <v>316</v>
      </c>
      <c r="B61" s="16">
        <v>45608</v>
      </c>
      <c r="C61" s="8">
        <v>45620</v>
      </c>
      <c r="D61" s="9" t="s">
        <v>41</v>
      </c>
      <c r="E61" s="9" t="s">
        <v>317</v>
      </c>
      <c r="F61" s="9"/>
      <c r="G61" s="9" t="s">
        <v>43</v>
      </c>
      <c r="H61" s="10">
        <v>10.69</v>
      </c>
      <c r="I61" s="9" t="s">
        <v>44</v>
      </c>
      <c r="J61" s="9" t="s">
        <v>45</v>
      </c>
      <c r="K61" s="9" t="s">
        <v>318</v>
      </c>
      <c r="L61" s="11" t="s">
        <v>47</v>
      </c>
      <c r="M61" s="9" t="s">
        <v>48</v>
      </c>
      <c r="N61" s="9" t="s">
        <v>48</v>
      </c>
      <c r="O61" s="12" t="s">
        <v>310</v>
      </c>
      <c r="P61" s="6" t="s">
        <v>311</v>
      </c>
      <c r="Q61" s="9" t="s">
        <v>312</v>
      </c>
      <c r="R61" s="13">
        <v>1</v>
      </c>
      <c r="S61" s="9" t="s">
        <v>99</v>
      </c>
      <c r="T61" s="9" t="s">
        <v>53</v>
      </c>
      <c r="U61" s="9" t="s">
        <v>54</v>
      </c>
      <c r="V61" s="9" t="s">
        <v>55</v>
      </c>
      <c r="W61" s="9"/>
      <c r="X61" s="9"/>
      <c r="Y61" s="13">
        <v>135.93</v>
      </c>
      <c r="Z61" s="13">
        <v>1</v>
      </c>
      <c r="AA61" s="9"/>
      <c r="AB61" s="9"/>
      <c r="AC61" s="9"/>
      <c r="AD61" s="9"/>
      <c r="AE61" s="9"/>
      <c r="AF61" s="13">
        <v>135.93</v>
      </c>
      <c r="AG61" s="9"/>
      <c r="AH61" s="9"/>
      <c r="AI61" s="9"/>
      <c r="AJ61" s="9"/>
      <c r="AK61" s="14" t="e">
        <f t="shared" si="0"/>
        <v>#DIV/0!</v>
      </c>
      <c r="AL61" s="9"/>
      <c r="AM61" s="9"/>
      <c r="AN61" s="9"/>
      <c r="AO61" s="6"/>
      <c r="AP61" s="9"/>
      <c r="AQ61" s="9"/>
      <c r="AR61" s="9"/>
      <c r="AS61" s="9"/>
      <c r="AT61" s="9"/>
      <c r="AU61" s="9"/>
      <c r="AV61" s="9"/>
      <c r="AW61" s="9"/>
      <c r="AX61" s="9"/>
      <c r="AY61" s="9"/>
      <c r="AZ61" s="9"/>
      <c r="BA61" s="9"/>
      <c r="BB61" s="9"/>
      <c r="BC61" s="9"/>
      <c r="BD61" s="9"/>
      <c r="BE61" s="9"/>
      <c r="BF61" s="9"/>
      <c r="BG61" s="9"/>
      <c r="BH61" s="9"/>
    </row>
    <row r="62" spans="1:60" ht="12.5" hidden="1">
      <c r="A62" s="6" t="s">
        <v>319</v>
      </c>
      <c r="B62" s="16">
        <v>45616</v>
      </c>
      <c r="C62" s="8">
        <v>45619</v>
      </c>
      <c r="D62" s="9" t="s">
        <v>41</v>
      </c>
      <c r="E62" s="9" t="s">
        <v>320</v>
      </c>
      <c r="F62" s="9"/>
      <c r="G62" s="9" t="s">
        <v>43</v>
      </c>
      <c r="H62" s="10">
        <v>10.69</v>
      </c>
      <c r="I62" s="9" t="s">
        <v>44</v>
      </c>
      <c r="J62" s="9" t="s">
        <v>45</v>
      </c>
      <c r="K62" s="9" t="s">
        <v>321</v>
      </c>
      <c r="L62" s="11" t="s">
        <v>47</v>
      </c>
      <c r="M62" s="9" t="s">
        <v>48</v>
      </c>
      <c r="N62" s="9" t="s">
        <v>48</v>
      </c>
      <c r="O62" s="12" t="s">
        <v>310</v>
      </c>
      <c r="P62" s="6" t="s">
        <v>311</v>
      </c>
      <c r="Q62" s="9" t="s">
        <v>312</v>
      </c>
      <c r="R62" s="13">
        <v>1</v>
      </c>
      <c r="S62" s="9" t="s">
        <v>99</v>
      </c>
      <c r="T62" s="9" t="s">
        <v>53</v>
      </c>
      <c r="U62" s="9" t="s">
        <v>54</v>
      </c>
      <c r="V62" s="9" t="s">
        <v>55</v>
      </c>
      <c r="W62" s="9"/>
      <c r="X62" s="9"/>
      <c r="Y62" s="13">
        <v>147.31</v>
      </c>
      <c r="Z62" s="13">
        <v>1</v>
      </c>
      <c r="AA62" s="9"/>
      <c r="AB62" s="9"/>
      <c r="AC62" s="9"/>
      <c r="AD62" s="9"/>
      <c r="AE62" s="9"/>
      <c r="AF62" s="13">
        <v>147.31</v>
      </c>
      <c r="AG62" s="9"/>
      <c r="AH62" s="9"/>
      <c r="AI62" s="9"/>
      <c r="AJ62" s="9"/>
      <c r="AK62" s="14" t="e">
        <f t="shared" si="0"/>
        <v>#DIV/0!</v>
      </c>
      <c r="AL62" s="9"/>
      <c r="AM62" s="9"/>
      <c r="AN62" s="9"/>
      <c r="AO62" s="6"/>
      <c r="AP62" s="9"/>
      <c r="AQ62" s="9"/>
      <c r="AR62" s="9"/>
      <c r="AS62" s="9"/>
      <c r="AT62" s="9"/>
      <c r="AU62" s="9"/>
      <c r="AV62" s="9"/>
      <c r="AW62" s="9"/>
      <c r="AX62" s="9"/>
      <c r="AY62" s="9"/>
      <c r="AZ62" s="9"/>
      <c r="BA62" s="9"/>
      <c r="BB62" s="9"/>
      <c r="BC62" s="9"/>
      <c r="BD62" s="9"/>
      <c r="BE62" s="9"/>
      <c r="BF62" s="9"/>
      <c r="BG62" s="9"/>
      <c r="BH62" s="9"/>
    </row>
    <row r="63" spans="1:60" ht="12.5" hidden="1">
      <c r="A63" s="6" t="s">
        <v>322</v>
      </c>
      <c r="B63" s="16">
        <v>45588</v>
      </c>
      <c r="C63" s="8">
        <v>45603</v>
      </c>
      <c r="D63" s="9" t="s">
        <v>41</v>
      </c>
      <c r="E63" s="9" t="s">
        <v>323</v>
      </c>
      <c r="F63" s="9"/>
      <c r="G63" s="9" t="s">
        <v>43</v>
      </c>
      <c r="H63" s="10">
        <v>10.26</v>
      </c>
      <c r="I63" s="9" t="s">
        <v>44</v>
      </c>
      <c r="J63" s="9" t="s">
        <v>45</v>
      </c>
      <c r="K63" s="9" t="s">
        <v>324</v>
      </c>
      <c r="L63" s="11" t="s">
        <v>58</v>
      </c>
      <c r="M63" s="9" t="s">
        <v>48</v>
      </c>
      <c r="N63" s="9" t="s">
        <v>48</v>
      </c>
      <c r="O63" s="12" t="s">
        <v>325</v>
      </c>
      <c r="P63" s="6" t="s">
        <v>326</v>
      </c>
      <c r="Q63" s="9" t="s">
        <v>327</v>
      </c>
      <c r="R63" s="13">
        <v>1</v>
      </c>
      <c r="S63" s="9" t="s">
        <v>75</v>
      </c>
      <c r="T63" s="9" t="s">
        <v>53</v>
      </c>
      <c r="U63" s="9" t="s">
        <v>54</v>
      </c>
      <c r="V63" s="9" t="s">
        <v>61</v>
      </c>
      <c r="W63" s="9"/>
      <c r="X63" s="9"/>
      <c r="Y63" s="13">
        <v>95.5</v>
      </c>
      <c r="Z63" s="13">
        <v>1</v>
      </c>
      <c r="AA63" s="9"/>
      <c r="AB63" s="9"/>
      <c r="AC63" s="9"/>
      <c r="AD63" s="9"/>
      <c r="AE63" s="9"/>
      <c r="AF63" s="9"/>
      <c r="AG63" s="9"/>
      <c r="AH63" s="9"/>
      <c r="AI63" s="9">
        <v>1</v>
      </c>
      <c r="AJ63" s="9">
        <v>14</v>
      </c>
      <c r="AK63" s="14">
        <f t="shared" si="0"/>
        <v>7.1428571428571425E-2</v>
      </c>
      <c r="AL63" s="9"/>
      <c r="AM63" s="9"/>
      <c r="AN63" s="9"/>
      <c r="AO63" s="6"/>
      <c r="AP63" s="9"/>
      <c r="AQ63" s="9"/>
      <c r="AR63" s="9"/>
      <c r="AS63" s="9"/>
      <c r="AT63" s="9"/>
      <c r="AU63" s="9"/>
      <c r="AV63" s="9"/>
      <c r="AW63" s="9"/>
      <c r="AX63" s="9"/>
      <c r="AY63" s="9"/>
      <c r="AZ63" s="9"/>
      <c r="BA63" s="9"/>
      <c r="BB63" s="9"/>
      <c r="BC63" s="9"/>
      <c r="BD63" s="9"/>
      <c r="BE63" s="9"/>
      <c r="BF63" s="9"/>
      <c r="BG63" s="9"/>
      <c r="BH63" s="9"/>
    </row>
    <row r="64" spans="1:60" ht="12.5" hidden="1">
      <c r="A64" s="6" t="s">
        <v>328</v>
      </c>
      <c r="B64" s="16">
        <v>45587</v>
      </c>
      <c r="C64" s="8">
        <v>45602</v>
      </c>
      <c r="D64" s="9" t="s">
        <v>41</v>
      </c>
      <c r="E64" s="9" t="s">
        <v>329</v>
      </c>
      <c r="F64" s="9"/>
      <c r="G64" s="9" t="s">
        <v>43</v>
      </c>
      <c r="H64" s="10">
        <v>10.26</v>
      </c>
      <c r="I64" s="9" t="s">
        <v>44</v>
      </c>
      <c r="J64" s="9" t="s">
        <v>45</v>
      </c>
      <c r="K64" s="9" t="s">
        <v>330</v>
      </c>
      <c r="L64" s="11" t="s">
        <v>47</v>
      </c>
      <c r="M64" s="9" t="s">
        <v>48</v>
      </c>
      <c r="N64" s="9" t="s">
        <v>48</v>
      </c>
      <c r="O64" s="12" t="s">
        <v>331</v>
      </c>
      <c r="P64" s="6" t="s">
        <v>332</v>
      </c>
      <c r="Q64" s="9" t="s">
        <v>333</v>
      </c>
      <c r="R64" s="13">
        <v>1</v>
      </c>
      <c r="S64" s="9" t="s">
        <v>92</v>
      </c>
      <c r="T64" s="9" t="s">
        <v>53</v>
      </c>
      <c r="U64" s="9" t="s">
        <v>54</v>
      </c>
      <c r="V64" s="9" t="s">
        <v>55</v>
      </c>
      <c r="W64" s="9"/>
      <c r="X64" s="9"/>
      <c r="Y64" s="13">
        <v>77.709999999999994</v>
      </c>
      <c r="Z64" s="13">
        <v>1</v>
      </c>
      <c r="AA64" s="9"/>
      <c r="AB64" s="9"/>
      <c r="AC64" s="9"/>
      <c r="AD64" s="9"/>
      <c r="AE64" s="9"/>
      <c r="AF64" s="13">
        <v>77.709999999999994</v>
      </c>
      <c r="AG64" s="9"/>
      <c r="AH64" s="9"/>
      <c r="AI64" s="9">
        <v>1</v>
      </c>
      <c r="AJ64" s="9">
        <v>9</v>
      </c>
      <c r="AK64" s="14">
        <f t="shared" si="0"/>
        <v>0.1111111111111111</v>
      </c>
      <c r="AL64" s="9"/>
      <c r="AM64" s="9"/>
      <c r="AN64" s="9"/>
      <c r="AO64" s="6"/>
      <c r="AP64" s="9"/>
      <c r="AQ64" s="9"/>
      <c r="AR64" s="9"/>
      <c r="AS64" s="9"/>
      <c r="AT64" s="9"/>
      <c r="AU64" s="9"/>
      <c r="AV64" s="9"/>
      <c r="AW64" s="9"/>
      <c r="AX64" s="9"/>
      <c r="AY64" s="9"/>
      <c r="AZ64" s="9"/>
      <c r="BA64" s="9"/>
      <c r="BB64" s="9"/>
      <c r="BC64" s="9"/>
      <c r="BD64" s="9"/>
      <c r="BE64" s="9"/>
      <c r="BF64" s="9"/>
      <c r="BG64" s="9"/>
      <c r="BH64" s="9"/>
    </row>
    <row r="65" spans="1:60" ht="12.5" hidden="1">
      <c r="A65" s="6" t="s">
        <v>334</v>
      </c>
      <c r="B65" s="7">
        <v>45598</v>
      </c>
      <c r="C65" s="8">
        <v>45604</v>
      </c>
      <c r="D65" s="9" t="s">
        <v>41</v>
      </c>
      <c r="E65" s="9" t="s">
        <v>335</v>
      </c>
      <c r="F65" s="9"/>
      <c r="G65" s="9" t="s">
        <v>43</v>
      </c>
      <c r="H65" s="10">
        <v>9.99</v>
      </c>
      <c r="I65" s="9" t="s">
        <v>44</v>
      </c>
      <c r="J65" s="9" t="s">
        <v>45</v>
      </c>
      <c r="K65" s="9" t="s">
        <v>336</v>
      </c>
      <c r="L65" s="11" t="s">
        <v>47</v>
      </c>
      <c r="M65" s="9" t="s">
        <v>48</v>
      </c>
      <c r="N65" s="9" t="s">
        <v>48</v>
      </c>
      <c r="O65" s="12" t="s">
        <v>337</v>
      </c>
      <c r="P65" s="6" t="s">
        <v>338</v>
      </c>
      <c r="Q65" s="9" t="s">
        <v>339</v>
      </c>
      <c r="R65" s="13">
        <v>1</v>
      </c>
      <c r="S65" s="9" t="s">
        <v>99</v>
      </c>
      <c r="T65" s="9" t="s">
        <v>53</v>
      </c>
      <c r="U65" s="9" t="s">
        <v>54</v>
      </c>
      <c r="V65" s="9" t="s">
        <v>55</v>
      </c>
      <c r="W65" s="9"/>
      <c r="X65" s="9"/>
      <c r="Y65" s="13">
        <v>74.73</v>
      </c>
      <c r="Z65" s="13">
        <v>1</v>
      </c>
      <c r="AA65" s="9"/>
      <c r="AB65" s="9"/>
      <c r="AC65" s="9"/>
      <c r="AD65" s="9"/>
      <c r="AE65" s="9"/>
      <c r="AF65" s="13">
        <v>74.73</v>
      </c>
      <c r="AG65" s="9"/>
      <c r="AH65" s="9"/>
      <c r="AI65" s="9">
        <v>6</v>
      </c>
      <c r="AJ65" s="9">
        <v>34</v>
      </c>
      <c r="AK65" s="14">
        <f t="shared" si="0"/>
        <v>0.17647058823529413</v>
      </c>
      <c r="AL65" s="9"/>
      <c r="AM65" s="9"/>
      <c r="AN65" s="9"/>
      <c r="AO65" s="6"/>
      <c r="AP65" s="9"/>
      <c r="AQ65" s="9"/>
      <c r="AR65" s="9"/>
      <c r="AS65" s="9"/>
      <c r="AT65" s="9"/>
      <c r="AU65" s="9"/>
      <c r="AV65" s="9"/>
      <c r="AW65" s="9"/>
      <c r="AX65" s="9"/>
      <c r="AY65" s="9"/>
      <c r="AZ65" s="9"/>
      <c r="BA65" s="9"/>
      <c r="BB65" s="9"/>
      <c r="BC65" s="9"/>
      <c r="BD65" s="9"/>
      <c r="BE65" s="9"/>
      <c r="BF65" s="9"/>
      <c r="BG65" s="9"/>
      <c r="BH65" s="9"/>
    </row>
    <row r="66" spans="1:60" ht="12.5" hidden="1">
      <c r="A66" s="6" t="s">
        <v>340</v>
      </c>
      <c r="B66" s="7">
        <v>45568</v>
      </c>
      <c r="C66" s="8">
        <v>45603</v>
      </c>
      <c r="D66" s="9" t="s">
        <v>41</v>
      </c>
      <c r="E66" s="9" t="s">
        <v>341</v>
      </c>
      <c r="F66" s="9"/>
      <c r="G66" s="9" t="s">
        <v>43</v>
      </c>
      <c r="H66" s="10">
        <v>9.99</v>
      </c>
      <c r="I66" s="9" t="s">
        <v>44</v>
      </c>
      <c r="J66" s="9" t="s">
        <v>45</v>
      </c>
      <c r="K66" s="9" t="s">
        <v>342</v>
      </c>
      <c r="L66" s="11" t="s">
        <v>47</v>
      </c>
      <c r="M66" s="9" t="s">
        <v>48</v>
      </c>
      <c r="N66" s="9" t="s">
        <v>48</v>
      </c>
      <c r="O66" s="12" t="s">
        <v>337</v>
      </c>
      <c r="P66" s="6" t="s">
        <v>338</v>
      </c>
      <c r="Q66" s="9" t="s">
        <v>339</v>
      </c>
      <c r="R66" s="13">
        <v>1</v>
      </c>
      <c r="S66" s="9" t="s">
        <v>99</v>
      </c>
      <c r="T66" s="9" t="s">
        <v>53</v>
      </c>
      <c r="U66" s="9" t="s">
        <v>54</v>
      </c>
      <c r="V66" s="9" t="s">
        <v>55</v>
      </c>
      <c r="W66" s="9"/>
      <c r="X66" s="9"/>
      <c r="Y66" s="13">
        <v>72.47</v>
      </c>
      <c r="Z66" s="13">
        <v>1</v>
      </c>
      <c r="AA66" s="9"/>
      <c r="AB66" s="9"/>
      <c r="AC66" s="9"/>
      <c r="AD66" s="9"/>
      <c r="AE66" s="9"/>
      <c r="AF66" s="13">
        <v>72.47</v>
      </c>
      <c r="AG66" s="9"/>
      <c r="AH66" s="9"/>
      <c r="AI66" s="9"/>
      <c r="AJ66" s="9"/>
      <c r="AK66" s="14" t="e">
        <f t="shared" si="0"/>
        <v>#DIV/0!</v>
      </c>
      <c r="AL66" s="9"/>
      <c r="AM66" s="9"/>
      <c r="AN66" s="9"/>
      <c r="AO66" s="6"/>
      <c r="AP66" s="9"/>
      <c r="AQ66" s="9"/>
      <c r="AR66" s="9"/>
      <c r="AS66" s="9"/>
      <c r="AT66" s="9"/>
      <c r="AU66" s="9"/>
      <c r="AV66" s="9"/>
      <c r="AW66" s="9"/>
      <c r="AX66" s="9"/>
      <c r="AY66" s="9"/>
      <c r="AZ66" s="9"/>
      <c r="BA66" s="9"/>
      <c r="BB66" s="9"/>
      <c r="BC66" s="9"/>
      <c r="BD66" s="9"/>
      <c r="BE66" s="9"/>
      <c r="BF66" s="9"/>
      <c r="BG66" s="9"/>
      <c r="BH66" s="9"/>
    </row>
    <row r="67" spans="1:60" ht="12.5" hidden="1">
      <c r="A67" s="6" t="s">
        <v>343</v>
      </c>
      <c r="B67" s="16">
        <v>45596</v>
      </c>
      <c r="C67" s="8">
        <v>45602</v>
      </c>
      <c r="D67" s="9" t="s">
        <v>41</v>
      </c>
      <c r="E67" s="9" t="s">
        <v>344</v>
      </c>
      <c r="F67" s="9"/>
      <c r="G67" s="9" t="s">
        <v>43</v>
      </c>
      <c r="H67" s="10">
        <v>9.99</v>
      </c>
      <c r="I67" s="9" t="s">
        <v>44</v>
      </c>
      <c r="J67" s="9" t="s">
        <v>45</v>
      </c>
      <c r="K67" s="9" t="s">
        <v>345</v>
      </c>
      <c r="L67" s="11" t="s">
        <v>47</v>
      </c>
      <c r="M67" s="9" t="s">
        <v>48</v>
      </c>
      <c r="N67" s="9" t="s">
        <v>48</v>
      </c>
      <c r="O67" s="12" t="s">
        <v>337</v>
      </c>
      <c r="P67" s="6" t="s">
        <v>338</v>
      </c>
      <c r="Q67" s="9" t="s">
        <v>339</v>
      </c>
      <c r="R67" s="13">
        <v>1</v>
      </c>
      <c r="S67" s="9" t="s">
        <v>82</v>
      </c>
      <c r="T67" s="9" t="s">
        <v>53</v>
      </c>
      <c r="U67" s="9" t="s">
        <v>54</v>
      </c>
      <c r="V67" s="9" t="s">
        <v>55</v>
      </c>
      <c r="W67" s="9"/>
      <c r="X67" s="9"/>
      <c r="Y67" s="13">
        <v>71.64</v>
      </c>
      <c r="Z67" s="13">
        <v>1</v>
      </c>
      <c r="AA67" s="9"/>
      <c r="AB67" s="9"/>
      <c r="AC67" s="9"/>
      <c r="AD67" s="9"/>
      <c r="AE67" s="9"/>
      <c r="AF67" s="13">
        <v>71.64</v>
      </c>
      <c r="AG67" s="9"/>
      <c r="AH67" s="9"/>
      <c r="AI67" s="9"/>
      <c r="AJ67" s="9"/>
      <c r="AK67" s="14" t="e">
        <f t="shared" si="0"/>
        <v>#DIV/0!</v>
      </c>
      <c r="AL67" s="9"/>
      <c r="AM67" s="9"/>
      <c r="AN67" s="9"/>
      <c r="AO67" s="6"/>
      <c r="AP67" s="9"/>
      <c r="AQ67" s="9"/>
      <c r="AR67" s="9"/>
      <c r="AS67" s="9"/>
      <c r="AT67" s="9"/>
      <c r="AU67" s="9"/>
      <c r="AV67" s="9"/>
      <c r="AW67" s="9"/>
      <c r="AX67" s="9"/>
      <c r="AY67" s="9"/>
      <c r="AZ67" s="9"/>
      <c r="BA67" s="9"/>
      <c r="BB67" s="9"/>
      <c r="BC67" s="9"/>
      <c r="BD67" s="9"/>
      <c r="BE67" s="9"/>
      <c r="BF67" s="9"/>
      <c r="BG67" s="9"/>
      <c r="BH67" s="9"/>
    </row>
    <row r="68" spans="1:60" ht="12.5" hidden="1">
      <c r="A68" s="6" t="s">
        <v>346</v>
      </c>
      <c r="B68" s="16">
        <v>45590</v>
      </c>
      <c r="C68" s="8">
        <v>45598</v>
      </c>
      <c r="D68" s="9" t="s">
        <v>41</v>
      </c>
      <c r="E68" s="9" t="s">
        <v>347</v>
      </c>
      <c r="F68" s="9"/>
      <c r="G68" s="9" t="s">
        <v>43</v>
      </c>
      <c r="H68" s="10">
        <v>24.6</v>
      </c>
      <c r="I68" s="9" t="s">
        <v>44</v>
      </c>
      <c r="J68" s="9" t="s">
        <v>45</v>
      </c>
      <c r="K68" s="9" t="s">
        <v>348</v>
      </c>
      <c r="L68" s="11" t="s">
        <v>58</v>
      </c>
      <c r="M68" s="9" t="s">
        <v>48</v>
      </c>
      <c r="N68" s="9" t="s">
        <v>48</v>
      </c>
      <c r="O68" s="12" t="s">
        <v>337</v>
      </c>
      <c r="P68" s="6" t="s">
        <v>338</v>
      </c>
      <c r="Q68" s="9" t="s">
        <v>339</v>
      </c>
      <c r="R68" s="13">
        <v>4</v>
      </c>
      <c r="S68" s="9" t="s">
        <v>59</v>
      </c>
      <c r="T68" s="9" t="s">
        <v>53</v>
      </c>
      <c r="U68" s="9" t="s">
        <v>60</v>
      </c>
      <c r="V68" s="9" t="s">
        <v>61</v>
      </c>
      <c r="W68" s="9"/>
      <c r="X68" s="9"/>
      <c r="Y68" s="13">
        <v>292.92</v>
      </c>
      <c r="Z68" s="9"/>
      <c r="AA68" s="9"/>
      <c r="AB68" s="9"/>
      <c r="AC68" s="9"/>
      <c r="AD68" s="9"/>
      <c r="AE68" s="9"/>
      <c r="AF68" s="9"/>
      <c r="AG68" s="9"/>
      <c r="AH68" s="9"/>
      <c r="AI68" s="9"/>
      <c r="AJ68" s="9"/>
      <c r="AK68" s="14" t="e">
        <f t="shared" si="0"/>
        <v>#DIV/0!</v>
      </c>
      <c r="AL68" s="9"/>
      <c r="AM68" s="9"/>
      <c r="AN68" s="9"/>
      <c r="AO68" s="6"/>
      <c r="AP68" s="9"/>
      <c r="AQ68" s="9"/>
      <c r="AR68" s="9"/>
      <c r="AS68" s="9"/>
      <c r="AT68" s="9"/>
      <c r="AU68" s="9"/>
      <c r="AV68" s="9"/>
      <c r="AW68" s="9"/>
      <c r="AX68" s="9"/>
      <c r="AY68" s="9"/>
      <c r="AZ68" s="9"/>
      <c r="BA68" s="9"/>
      <c r="BB68" s="9"/>
      <c r="BC68" s="9"/>
      <c r="BD68" s="9"/>
      <c r="BE68" s="9"/>
      <c r="BF68" s="9"/>
      <c r="BG68" s="9"/>
      <c r="BH68" s="9"/>
    </row>
    <row r="69" spans="1:60" ht="12.5" hidden="1">
      <c r="A69" s="6" t="s">
        <v>346</v>
      </c>
      <c r="B69" s="16">
        <v>45590</v>
      </c>
      <c r="C69" s="8">
        <v>45597</v>
      </c>
      <c r="D69" s="9" t="s">
        <v>41</v>
      </c>
      <c r="E69" s="9" t="s">
        <v>349</v>
      </c>
      <c r="F69" s="9"/>
      <c r="G69" s="9" t="s">
        <v>43</v>
      </c>
      <c r="H69" s="10">
        <v>21.71</v>
      </c>
      <c r="I69" s="9" t="s">
        <v>44</v>
      </c>
      <c r="J69" s="9" t="s">
        <v>45</v>
      </c>
      <c r="K69" s="9" t="s">
        <v>350</v>
      </c>
      <c r="L69" s="11" t="s">
        <v>58</v>
      </c>
      <c r="M69" s="9" t="s">
        <v>48</v>
      </c>
      <c r="N69" s="9" t="s">
        <v>48</v>
      </c>
      <c r="O69" s="12" t="s">
        <v>337</v>
      </c>
      <c r="P69" s="6" t="s">
        <v>338</v>
      </c>
      <c r="Q69" s="9" t="s">
        <v>339</v>
      </c>
      <c r="R69" s="13">
        <v>3</v>
      </c>
      <c r="S69" s="9" t="s">
        <v>68</v>
      </c>
      <c r="T69" s="9" t="s">
        <v>53</v>
      </c>
      <c r="U69" s="9" t="s">
        <v>54</v>
      </c>
      <c r="V69" s="9" t="s">
        <v>61</v>
      </c>
      <c r="W69" s="9"/>
      <c r="X69" s="9"/>
      <c r="Y69" s="13">
        <v>292.92</v>
      </c>
      <c r="Z69" s="13">
        <v>4</v>
      </c>
      <c r="AA69" s="9"/>
      <c r="AB69" s="9"/>
      <c r="AC69" s="9"/>
      <c r="AD69" s="9"/>
      <c r="AE69" s="9"/>
      <c r="AF69" s="9"/>
      <c r="AG69" s="9"/>
      <c r="AH69" s="9"/>
      <c r="AI69" s="9"/>
      <c r="AJ69" s="9"/>
      <c r="AK69" s="14" t="e">
        <f t="shared" si="0"/>
        <v>#DIV/0!</v>
      </c>
      <c r="AL69" s="9"/>
      <c r="AM69" s="9"/>
      <c r="AN69" s="9"/>
      <c r="AO69" s="6"/>
      <c r="AP69" s="9"/>
      <c r="AQ69" s="9"/>
      <c r="AR69" s="9"/>
      <c r="AS69" s="9"/>
      <c r="AT69" s="9"/>
      <c r="AU69" s="9"/>
      <c r="AV69" s="9"/>
      <c r="AW69" s="9"/>
      <c r="AX69" s="9"/>
      <c r="AY69" s="9"/>
      <c r="AZ69" s="9"/>
      <c r="BA69" s="9"/>
      <c r="BB69" s="9"/>
      <c r="BC69" s="9"/>
      <c r="BD69" s="9"/>
      <c r="BE69" s="9"/>
      <c r="BF69" s="9"/>
      <c r="BG69" s="9"/>
      <c r="BH69" s="9"/>
    </row>
    <row r="70" spans="1:60" ht="12.5" hidden="1">
      <c r="A70" s="6" t="s">
        <v>351</v>
      </c>
      <c r="B70" s="7">
        <v>45605</v>
      </c>
      <c r="C70" s="8">
        <v>45613</v>
      </c>
      <c r="D70" s="9" t="s">
        <v>41</v>
      </c>
      <c r="E70" s="9" t="s">
        <v>352</v>
      </c>
      <c r="F70" s="9"/>
      <c r="G70" s="9" t="s">
        <v>43</v>
      </c>
      <c r="H70" s="10">
        <v>9.99</v>
      </c>
      <c r="I70" s="9" t="s">
        <v>44</v>
      </c>
      <c r="J70" s="9" t="s">
        <v>45</v>
      </c>
      <c r="K70" s="9" t="s">
        <v>353</v>
      </c>
      <c r="L70" s="11" t="s">
        <v>47</v>
      </c>
      <c r="M70" s="9" t="s">
        <v>48</v>
      </c>
      <c r="N70" s="9" t="s">
        <v>48</v>
      </c>
      <c r="O70" s="12" t="s">
        <v>337</v>
      </c>
      <c r="P70" s="6" t="s">
        <v>338</v>
      </c>
      <c r="Q70" s="9" t="s">
        <v>339</v>
      </c>
      <c r="R70" s="13">
        <v>1</v>
      </c>
      <c r="S70" s="9" t="s">
        <v>52</v>
      </c>
      <c r="T70" s="9" t="s">
        <v>53</v>
      </c>
      <c r="U70" s="9" t="s">
        <v>54</v>
      </c>
      <c r="V70" s="9" t="s">
        <v>55</v>
      </c>
      <c r="W70" s="9"/>
      <c r="X70" s="9"/>
      <c r="Y70" s="13">
        <v>73.81</v>
      </c>
      <c r="Z70" s="13">
        <v>1</v>
      </c>
      <c r="AA70" s="9"/>
      <c r="AB70" s="9"/>
      <c r="AC70" s="9"/>
      <c r="AD70" s="9"/>
      <c r="AE70" s="9"/>
      <c r="AF70" s="13">
        <v>73.81</v>
      </c>
      <c r="AG70" s="9"/>
      <c r="AH70" s="9"/>
      <c r="AI70" s="9"/>
      <c r="AJ70" s="9"/>
      <c r="AK70" s="14" t="e">
        <f t="shared" si="0"/>
        <v>#DIV/0!</v>
      </c>
      <c r="AL70" s="9"/>
      <c r="AM70" s="9"/>
      <c r="AN70" s="9"/>
      <c r="AO70" s="6"/>
      <c r="AP70" s="9"/>
      <c r="AQ70" s="9"/>
      <c r="AR70" s="9"/>
      <c r="AS70" s="9"/>
      <c r="AT70" s="9"/>
      <c r="AU70" s="9"/>
      <c r="AV70" s="9"/>
      <c r="AW70" s="9"/>
      <c r="AX70" s="9"/>
      <c r="AY70" s="9"/>
      <c r="AZ70" s="9"/>
      <c r="BA70" s="9"/>
      <c r="BB70" s="9"/>
      <c r="BC70" s="9"/>
      <c r="BD70" s="9"/>
      <c r="BE70" s="9"/>
      <c r="BF70" s="9"/>
      <c r="BG70" s="9"/>
      <c r="BH70" s="9"/>
    </row>
    <row r="71" spans="1:60" ht="12.5" hidden="1">
      <c r="A71" s="6" t="s">
        <v>354</v>
      </c>
      <c r="B71" s="7">
        <v>45603</v>
      </c>
      <c r="C71" s="8">
        <v>45619</v>
      </c>
      <c r="D71" s="9" t="s">
        <v>41</v>
      </c>
      <c r="E71" s="9" t="s">
        <v>355</v>
      </c>
      <c r="F71" s="9"/>
      <c r="G71" s="9" t="s">
        <v>43</v>
      </c>
      <c r="H71" s="10">
        <v>11.74</v>
      </c>
      <c r="I71" s="9" t="s">
        <v>44</v>
      </c>
      <c r="J71" s="9" t="s">
        <v>45</v>
      </c>
      <c r="K71" s="9" t="s">
        <v>356</v>
      </c>
      <c r="L71" s="11" t="s">
        <v>47</v>
      </c>
      <c r="M71" s="9" t="s">
        <v>48</v>
      </c>
      <c r="N71" s="9" t="s">
        <v>48</v>
      </c>
      <c r="O71" s="12" t="s">
        <v>357</v>
      </c>
      <c r="P71" s="6" t="s">
        <v>358</v>
      </c>
      <c r="Q71" s="9" t="s">
        <v>359</v>
      </c>
      <c r="R71" s="13">
        <v>1</v>
      </c>
      <c r="S71" s="9" t="s">
        <v>52</v>
      </c>
      <c r="T71" s="9" t="s">
        <v>53</v>
      </c>
      <c r="U71" s="9" t="s">
        <v>54</v>
      </c>
      <c r="V71" s="9" t="s">
        <v>61</v>
      </c>
      <c r="W71" s="9"/>
      <c r="X71" s="9"/>
      <c r="Y71" s="13">
        <v>74.37</v>
      </c>
      <c r="Z71" s="13">
        <v>1</v>
      </c>
      <c r="AA71" s="9"/>
      <c r="AB71" s="9"/>
      <c r="AC71" s="9"/>
      <c r="AD71" s="9"/>
      <c r="AE71" s="9"/>
      <c r="AF71" s="9"/>
      <c r="AG71" s="9"/>
      <c r="AH71" s="9"/>
      <c r="AI71" s="9">
        <v>1</v>
      </c>
      <c r="AJ71" s="9">
        <v>3</v>
      </c>
      <c r="AK71" s="14">
        <f t="shared" si="0"/>
        <v>0.33333333333333331</v>
      </c>
      <c r="AL71" s="9"/>
      <c r="AM71" s="9"/>
      <c r="AN71" s="9"/>
      <c r="AO71" s="6"/>
      <c r="AP71" s="9"/>
      <c r="AQ71" s="9"/>
      <c r="AR71" s="9"/>
      <c r="AS71" s="9"/>
      <c r="AT71" s="9"/>
      <c r="AU71" s="9"/>
      <c r="AV71" s="9"/>
      <c r="AW71" s="9"/>
      <c r="AX71" s="9"/>
      <c r="AY71" s="9"/>
      <c r="AZ71" s="9"/>
      <c r="BA71" s="9"/>
      <c r="BB71" s="9"/>
      <c r="BC71" s="9"/>
      <c r="BD71" s="9"/>
      <c r="BE71" s="9"/>
      <c r="BF71" s="9"/>
      <c r="BG71" s="9"/>
      <c r="BH71" s="9"/>
    </row>
    <row r="72" spans="1:60" ht="12.5" hidden="1">
      <c r="A72" s="6" t="s">
        <v>360</v>
      </c>
      <c r="B72" s="7">
        <v>45599</v>
      </c>
      <c r="C72" s="8">
        <v>45602</v>
      </c>
      <c r="D72" s="9" t="s">
        <v>41</v>
      </c>
      <c r="E72" s="9" t="s">
        <v>361</v>
      </c>
      <c r="F72" s="9"/>
      <c r="G72" s="9" t="s">
        <v>43</v>
      </c>
      <c r="H72" s="10">
        <v>9.99</v>
      </c>
      <c r="I72" s="9" t="s">
        <v>44</v>
      </c>
      <c r="J72" s="9" t="s">
        <v>45</v>
      </c>
      <c r="K72" s="9" t="s">
        <v>362</v>
      </c>
      <c r="L72" s="11" t="s">
        <v>47</v>
      </c>
      <c r="M72" s="9" t="s">
        <v>48</v>
      </c>
      <c r="N72" s="9" t="s">
        <v>48</v>
      </c>
      <c r="O72" s="12" t="s">
        <v>363</v>
      </c>
      <c r="P72" s="6" t="s">
        <v>364</v>
      </c>
      <c r="Q72" s="9" t="s">
        <v>365</v>
      </c>
      <c r="R72" s="13">
        <v>1</v>
      </c>
      <c r="S72" s="9" t="s">
        <v>99</v>
      </c>
      <c r="T72" s="9" t="s">
        <v>53</v>
      </c>
      <c r="U72" s="9" t="s">
        <v>54</v>
      </c>
      <c r="V72" s="9" t="s">
        <v>61</v>
      </c>
      <c r="W72" s="9"/>
      <c r="X72" s="9"/>
      <c r="Y72" s="13">
        <v>65.099999999999994</v>
      </c>
      <c r="Z72" s="13">
        <v>1</v>
      </c>
      <c r="AA72" s="9"/>
      <c r="AB72" s="9"/>
      <c r="AC72" s="9"/>
      <c r="AD72" s="9"/>
      <c r="AE72" s="9"/>
      <c r="AF72" s="9"/>
      <c r="AG72" s="9"/>
      <c r="AH72" s="9"/>
      <c r="AI72" s="9">
        <v>1</v>
      </c>
      <c r="AJ72" s="9">
        <v>8</v>
      </c>
      <c r="AK72" s="14">
        <f t="shared" si="0"/>
        <v>0.125</v>
      </c>
      <c r="AL72" s="9"/>
      <c r="AM72" s="9"/>
      <c r="AN72" s="9"/>
      <c r="AO72" s="6"/>
      <c r="AP72" s="9"/>
      <c r="AQ72" s="9"/>
      <c r="AR72" s="9"/>
      <c r="AS72" s="9"/>
      <c r="AT72" s="9"/>
      <c r="AU72" s="9"/>
      <c r="AV72" s="9"/>
      <c r="AW72" s="9"/>
      <c r="AX72" s="9"/>
      <c r="AY72" s="9"/>
      <c r="AZ72" s="9"/>
      <c r="BA72" s="9"/>
      <c r="BB72" s="9"/>
      <c r="BC72" s="9"/>
      <c r="BD72" s="9"/>
      <c r="BE72" s="9"/>
      <c r="BF72" s="9"/>
      <c r="BG72" s="9"/>
      <c r="BH72" s="9"/>
    </row>
    <row r="73" spans="1:60" ht="12.5" hidden="1">
      <c r="A73" s="6" t="s">
        <v>366</v>
      </c>
      <c r="B73" s="16">
        <v>45595</v>
      </c>
      <c r="C73" s="8">
        <v>45608</v>
      </c>
      <c r="D73" s="9" t="s">
        <v>41</v>
      </c>
      <c r="E73" s="9" t="s">
        <v>367</v>
      </c>
      <c r="F73" s="9"/>
      <c r="G73" s="9" t="s">
        <v>43</v>
      </c>
      <c r="H73" s="10">
        <v>9.99</v>
      </c>
      <c r="I73" s="9" t="s">
        <v>44</v>
      </c>
      <c r="J73" s="9" t="s">
        <v>45</v>
      </c>
      <c r="K73" s="9" t="s">
        <v>368</v>
      </c>
      <c r="L73" s="11" t="s">
        <v>58</v>
      </c>
      <c r="M73" s="9" t="s">
        <v>48</v>
      </c>
      <c r="N73" s="9" t="s">
        <v>48</v>
      </c>
      <c r="O73" s="12" t="s">
        <v>369</v>
      </c>
      <c r="P73" s="6" t="s">
        <v>370</v>
      </c>
      <c r="Q73" s="9" t="s">
        <v>371</v>
      </c>
      <c r="R73" s="13">
        <v>1</v>
      </c>
      <c r="S73" s="9" t="s">
        <v>68</v>
      </c>
      <c r="T73" s="9" t="s">
        <v>53</v>
      </c>
      <c r="U73" s="9" t="s">
        <v>54</v>
      </c>
      <c r="V73" s="9" t="s">
        <v>61</v>
      </c>
      <c r="W73" s="9"/>
      <c r="X73" s="9"/>
      <c r="Y73" s="13">
        <v>76.94</v>
      </c>
      <c r="Z73" s="13">
        <v>1</v>
      </c>
      <c r="AA73" s="9"/>
      <c r="AB73" s="9"/>
      <c r="AC73" s="9"/>
      <c r="AD73" s="9"/>
      <c r="AE73" s="9"/>
      <c r="AF73" s="9"/>
      <c r="AG73" s="9"/>
      <c r="AH73" s="9"/>
      <c r="AI73" s="9">
        <v>4</v>
      </c>
      <c r="AJ73" s="9">
        <v>16</v>
      </c>
      <c r="AK73" s="14">
        <f t="shared" si="0"/>
        <v>0.25</v>
      </c>
      <c r="AL73" s="9"/>
      <c r="AM73" s="9"/>
      <c r="AN73" s="9"/>
      <c r="AO73" s="6"/>
      <c r="AP73" s="9"/>
      <c r="AQ73" s="9"/>
      <c r="AR73" s="9"/>
      <c r="AS73" s="9"/>
      <c r="AT73" s="9"/>
      <c r="AU73" s="9"/>
      <c r="AV73" s="9"/>
      <c r="AW73" s="9"/>
      <c r="AX73" s="9"/>
      <c r="AY73" s="9"/>
      <c r="AZ73" s="9"/>
      <c r="BA73" s="9"/>
      <c r="BB73" s="9"/>
      <c r="BC73" s="9"/>
      <c r="BD73" s="9"/>
      <c r="BE73" s="9"/>
      <c r="BF73" s="9"/>
      <c r="BG73" s="9"/>
      <c r="BH73" s="9"/>
    </row>
    <row r="74" spans="1:60" ht="12.5" hidden="1">
      <c r="A74" s="6" t="s">
        <v>372</v>
      </c>
      <c r="B74" s="7">
        <v>45602</v>
      </c>
      <c r="C74" s="8">
        <v>45606</v>
      </c>
      <c r="D74" s="9" t="s">
        <v>41</v>
      </c>
      <c r="E74" s="9" t="s">
        <v>373</v>
      </c>
      <c r="F74" s="9"/>
      <c r="G74" s="9" t="s">
        <v>43</v>
      </c>
      <c r="H74" s="10">
        <v>9.99</v>
      </c>
      <c r="I74" s="9" t="s">
        <v>44</v>
      </c>
      <c r="J74" s="9" t="s">
        <v>45</v>
      </c>
      <c r="K74" s="9" t="s">
        <v>374</v>
      </c>
      <c r="L74" s="11" t="s">
        <v>47</v>
      </c>
      <c r="M74" s="9" t="s">
        <v>48</v>
      </c>
      <c r="N74" s="9" t="s">
        <v>48</v>
      </c>
      <c r="O74" s="12" t="s">
        <v>369</v>
      </c>
      <c r="P74" s="6" t="s">
        <v>370</v>
      </c>
      <c r="Q74" s="9" t="s">
        <v>371</v>
      </c>
      <c r="R74" s="13">
        <v>1</v>
      </c>
      <c r="S74" s="9" t="s">
        <v>92</v>
      </c>
      <c r="T74" s="9" t="s">
        <v>53</v>
      </c>
      <c r="U74" s="9" t="s">
        <v>54</v>
      </c>
      <c r="V74" s="9" t="s">
        <v>55</v>
      </c>
      <c r="W74" s="9"/>
      <c r="X74" s="9"/>
      <c r="Y74" s="13">
        <v>80.400000000000006</v>
      </c>
      <c r="Z74" s="13">
        <v>1</v>
      </c>
      <c r="AA74" s="9"/>
      <c r="AB74" s="9"/>
      <c r="AC74" s="9"/>
      <c r="AD74" s="9"/>
      <c r="AE74" s="9"/>
      <c r="AF74" s="13">
        <v>80.400000000000006</v>
      </c>
      <c r="AG74" s="9"/>
      <c r="AH74" s="9"/>
      <c r="AI74" s="9"/>
      <c r="AJ74" s="9"/>
      <c r="AK74" s="14" t="e">
        <f t="shared" si="0"/>
        <v>#DIV/0!</v>
      </c>
      <c r="AL74" s="9"/>
      <c r="AM74" s="9"/>
      <c r="AN74" s="9"/>
      <c r="AO74" s="6"/>
      <c r="AP74" s="9"/>
      <c r="AQ74" s="9"/>
      <c r="AR74" s="9"/>
      <c r="AS74" s="9"/>
      <c r="AT74" s="9"/>
      <c r="AU74" s="9"/>
      <c r="AV74" s="9"/>
      <c r="AW74" s="9"/>
      <c r="AX74" s="9"/>
      <c r="AY74" s="9"/>
      <c r="AZ74" s="9"/>
      <c r="BA74" s="9"/>
      <c r="BB74" s="9"/>
      <c r="BC74" s="9"/>
      <c r="BD74" s="9"/>
      <c r="BE74" s="9"/>
      <c r="BF74" s="9"/>
      <c r="BG74" s="9"/>
      <c r="BH74" s="9"/>
    </row>
    <row r="75" spans="1:60" ht="12.5" hidden="1">
      <c r="A75" s="6" t="s">
        <v>375</v>
      </c>
      <c r="B75" s="16">
        <v>45621</v>
      </c>
      <c r="C75" s="8">
        <v>45625</v>
      </c>
      <c r="D75" s="9" t="s">
        <v>41</v>
      </c>
      <c r="E75" s="9" t="s">
        <v>376</v>
      </c>
      <c r="F75" s="9"/>
      <c r="G75" s="9" t="s">
        <v>43</v>
      </c>
      <c r="H75" s="10">
        <v>9.99</v>
      </c>
      <c r="I75" s="9" t="s">
        <v>44</v>
      </c>
      <c r="J75" s="9" t="s">
        <v>45</v>
      </c>
      <c r="K75" s="9" t="s">
        <v>377</v>
      </c>
      <c r="L75" s="11" t="s">
        <v>47</v>
      </c>
      <c r="M75" s="9" t="s">
        <v>48</v>
      </c>
      <c r="N75" s="9" t="s">
        <v>48</v>
      </c>
      <c r="O75" s="12" t="s">
        <v>369</v>
      </c>
      <c r="P75" s="6" t="s">
        <v>370</v>
      </c>
      <c r="Q75" s="9" t="s">
        <v>371</v>
      </c>
      <c r="R75" s="13">
        <v>1</v>
      </c>
      <c r="S75" s="9" t="s">
        <v>82</v>
      </c>
      <c r="T75" s="9" t="s">
        <v>53</v>
      </c>
      <c r="U75" s="9" t="s">
        <v>54</v>
      </c>
      <c r="V75" s="9" t="s">
        <v>61</v>
      </c>
      <c r="W75" s="9"/>
      <c r="X75" s="9"/>
      <c r="Y75" s="13">
        <v>78.95</v>
      </c>
      <c r="Z75" s="13">
        <v>1</v>
      </c>
      <c r="AA75" s="9"/>
      <c r="AB75" s="9"/>
      <c r="AC75" s="9"/>
      <c r="AD75" s="9"/>
      <c r="AE75" s="9"/>
      <c r="AF75" s="9"/>
      <c r="AG75" s="9"/>
      <c r="AH75" s="9"/>
      <c r="AI75" s="9"/>
      <c r="AJ75" s="9"/>
      <c r="AK75" s="14" t="e">
        <f t="shared" si="0"/>
        <v>#DIV/0!</v>
      </c>
      <c r="AL75" s="9"/>
      <c r="AM75" s="9"/>
      <c r="AN75" s="9"/>
      <c r="AO75" s="6"/>
      <c r="AP75" s="9"/>
      <c r="AQ75" s="9"/>
      <c r="AR75" s="9"/>
      <c r="AS75" s="9"/>
      <c r="AT75" s="9"/>
      <c r="AU75" s="9"/>
      <c r="AV75" s="9"/>
      <c r="AW75" s="9"/>
      <c r="AX75" s="9"/>
      <c r="AY75" s="9"/>
      <c r="AZ75" s="9"/>
      <c r="BA75" s="9"/>
      <c r="BB75" s="9"/>
      <c r="BC75" s="9"/>
      <c r="BD75" s="9"/>
      <c r="BE75" s="9"/>
      <c r="BF75" s="9"/>
      <c r="BG75" s="9"/>
      <c r="BH75" s="9"/>
    </row>
    <row r="76" spans="1:60" ht="12.5" hidden="1">
      <c r="A76" s="6" t="s">
        <v>378</v>
      </c>
      <c r="B76" s="16">
        <v>45594</v>
      </c>
      <c r="C76" s="8">
        <v>45619</v>
      </c>
      <c r="D76" s="9" t="s">
        <v>41</v>
      </c>
      <c r="E76" s="9" t="s">
        <v>379</v>
      </c>
      <c r="F76" s="9"/>
      <c r="G76" s="9" t="s">
        <v>43</v>
      </c>
      <c r="H76" s="10">
        <v>9.99</v>
      </c>
      <c r="I76" s="9" t="s">
        <v>44</v>
      </c>
      <c r="J76" s="9" t="s">
        <v>45</v>
      </c>
      <c r="K76" s="9" t="s">
        <v>380</v>
      </c>
      <c r="L76" s="11" t="s">
        <v>58</v>
      </c>
      <c r="M76" s="9" t="s">
        <v>48</v>
      </c>
      <c r="N76" s="9" t="s">
        <v>48</v>
      </c>
      <c r="O76" s="12" t="s">
        <v>369</v>
      </c>
      <c r="P76" s="6" t="s">
        <v>370</v>
      </c>
      <c r="Q76" s="9" t="s">
        <v>371</v>
      </c>
      <c r="R76" s="13">
        <v>1</v>
      </c>
      <c r="S76" s="9" t="s">
        <v>68</v>
      </c>
      <c r="T76" s="9" t="s">
        <v>53</v>
      </c>
      <c r="U76" s="9" t="s">
        <v>54</v>
      </c>
      <c r="V76" s="9" t="s">
        <v>55</v>
      </c>
      <c r="W76" s="9"/>
      <c r="X76" s="9"/>
      <c r="Y76" s="13">
        <v>78.989999999999995</v>
      </c>
      <c r="Z76" s="13">
        <v>1</v>
      </c>
      <c r="AA76" s="9"/>
      <c r="AB76" s="9"/>
      <c r="AC76" s="9"/>
      <c r="AD76" s="9"/>
      <c r="AE76" s="9"/>
      <c r="AF76" s="13">
        <v>69</v>
      </c>
      <c r="AG76" s="9"/>
      <c r="AH76" s="9"/>
      <c r="AI76" s="9"/>
      <c r="AJ76" s="9"/>
      <c r="AK76" s="14" t="e">
        <f t="shared" si="0"/>
        <v>#DIV/0!</v>
      </c>
      <c r="AL76" s="9"/>
      <c r="AM76" s="9"/>
      <c r="AN76" s="9"/>
      <c r="AO76" s="6"/>
      <c r="AP76" s="9"/>
      <c r="AQ76" s="9"/>
      <c r="AR76" s="9"/>
      <c r="AS76" s="9"/>
      <c r="AT76" s="9"/>
      <c r="AU76" s="9"/>
      <c r="AV76" s="9"/>
      <c r="AW76" s="9"/>
      <c r="AX76" s="9"/>
      <c r="AY76" s="9"/>
      <c r="AZ76" s="9"/>
      <c r="BA76" s="9"/>
      <c r="BB76" s="9"/>
      <c r="BC76" s="9"/>
      <c r="BD76" s="9"/>
      <c r="BE76" s="9"/>
      <c r="BF76" s="9"/>
      <c r="BG76" s="9"/>
      <c r="BH76" s="9"/>
    </row>
    <row r="77" spans="1:60" ht="12.5" hidden="1">
      <c r="A77" s="6" t="s">
        <v>381</v>
      </c>
      <c r="B77" s="7">
        <v>45568</v>
      </c>
      <c r="C77" s="8">
        <v>45600</v>
      </c>
      <c r="D77" s="9" t="s">
        <v>41</v>
      </c>
      <c r="E77" s="9" t="s">
        <v>382</v>
      </c>
      <c r="F77" s="9"/>
      <c r="G77" s="9" t="s">
        <v>43</v>
      </c>
      <c r="H77" s="10">
        <v>11.31</v>
      </c>
      <c r="I77" s="9" t="s">
        <v>44</v>
      </c>
      <c r="J77" s="9" t="s">
        <v>45</v>
      </c>
      <c r="K77" s="9" t="s">
        <v>383</v>
      </c>
      <c r="L77" s="11" t="s">
        <v>47</v>
      </c>
      <c r="M77" s="9" t="s">
        <v>48</v>
      </c>
      <c r="N77" s="9" t="s">
        <v>48</v>
      </c>
      <c r="O77" s="12" t="s">
        <v>384</v>
      </c>
      <c r="P77" s="6" t="s">
        <v>385</v>
      </c>
      <c r="Q77" s="9" t="s">
        <v>386</v>
      </c>
      <c r="R77" s="13">
        <v>1</v>
      </c>
      <c r="S77" s="9" t="s">
        <v>52</v>
      </c>
      <c r="T77" s="9" t="s">
        <v>53</v>
      </c>
      <c r="U77" s="9" t="s">
        <v>54</v>
      </c>
      <c r="V77" s="9" t="s">
        <v>55</v>
      </c>
      <c r="W77" s="9"/>
      <c r="X77" s="9"/>
      <c r="Y77" s="13">
        <v>91.09</v>
      </c>
      <c r="Z77" s="13">
        <v>1</v>
      </c>
      <c r="AA77" s="9"/>
      <c r="AB77" s="9"/>
      <c r="AC77" s="9"/>
      <c r="AD77" s="9"/>
      <c r="AE77" s="9"/>
      <c r="AF77" s="13">
        <v>91.09</v>
      </c>
      <c r="AG77" s="9"/>
      <c r="AH77" s="9"/>
      <c r="AI77" s="9">
        <v>1</v>
      </c>
      <c r="AJ77" s="9">
        <v>2</v>
      </c>
      <c r="AK77" s="14">
        <f t="shared" si="0"/>
        <v>0.5</v>
      </c>
      <c r="AL77" s="9"/>
      <c r="AM77" s="9"/>
      <c r="AN77" s="9"/>
      <c r="AO77" s="6"/>
      <c r="AP77" s="9"/>
      <c r="AQ77" s="9"/>
      <c r="AR77" s="9"/>
      <c r="AS77" s="9"/>
      <c r="AT77" s="9"/>
      <c r="AU77" s="9"/>
      <c r="AV77" s="9"/>
      <c r="AW77" s="9"/>
      <c r="AX77" s="9"/>
      <c r="AY77" s="9"/>
      <c r="AZ77" s="9"/>
      <c r="BA77" s="9"/>
      <c r="BB77" s="9"/>
      <c r="BC77" s="9"/>
      <c r="BD77" s="9"/>
      <c r="BE77" s="9"/>
      <c r="BF77" s="9"/>
      <c r="BG77" s="9"/>
      <c r="BH77" s="9"/>
    </row>
    <row r="78" spans="1:60" ht="12.5" hidden="1">
      <c r="A78" s="6" t="s">
        <v>387</v>
      </c>
      <c r="B78" s="16">
        <v>45610</v>
      </c>
      <c r="C78" s="8">
        <v>45619</v>
      </c>
      <c r="D78" s="9" t="s">
        <v>41</v>
      </c>
      <c r="E78" s="9" t="s">
        <v>388</v>
      </c>
      <c r="F78" s="9"/>
      <c r="G78" s="9" t="s">
        <v>43</v>
      </c>
      <c r="H78" s="10">
        <v>7.04</v>
      </c>
      <c r="I78" s="9" t="s">
        <v>44</v>
      </c>
      <c r="J78" s="9" t="s">
        <v>45</v>
      </c>
      <c r="K78" s="9" t="s">
        <v>389</v>
      </c>
      <c r="L78" s="11" t="s">
        <v>58</v>
      </c>
      <c r="M78" s="9" t="s">
        <v>48</v>
      </c>
      <c r="N78" s="9" t="s">
        <v>48</v>
      </c>
      <c r="O78" s="12" t="s">
        <v>390</v>
      </c>
      <c r="P78" s="6" t="s">
        <v>391</v>
      </c>
      <c r="Q78" s="9" t="s">
        <v>392</v>
      </c>
      <c r="R78" s="13">
        <v>1</v>
      </c>
      <c r="S78" s="9" t="s">
        <v>68</v>
      </c>
      <c r="T78" s="9" t="s">
        <v>53</v>
      </c>
      <c r="U78" s="9" t="s">
        <v>54</v>
      </c>
      <c r="V78" s="9" t="s">
        <v>55</v>
      </c>
      <c r="W78" s="9"/>
      <c r="X78" s="9"/>
      <c r="Y78" s="13">
        <v>31.77</v>
      </c>
      <c r="Z78" s="13">
        <v>1</v>
      </c>
      <c r="AA78" s="9"/>
      <c r="AB78" s="9"/>
      <c r="AC78" s="9"/>
      <c r="AD78" s="9"/>
      <c r="AE78" s="9"/>
      <c r="AF78" s="13">
        <v>24.73</v>
      </c>
      <c r="AG78" s="9"/>
      <c r="AH78" s="9"/>
      <c r="AI78" s="9">
        <v>1</v>
      </c>
      <c r="AJ78" s="9">
        <v>27</v>
      </c>
      <c r="AK78" s="14">
        <f t="shared" si="0"/>
        <v>3.7037037037037035E-2</v>
      </c>
      <c r="AL78" s="9"/>
      <c r="AM78" s="9"/>
      <c r="AN78" s="9"/>
      <c r="AO78" s="6"/>
      <c r="AP78" s="9"/>
      <c r="AQ78" s="9"/>
      <c r="AR78" s="9"/>
      <c r="AS78" s="9"/>
      <c r="AT78" s="9"/>
      <c r="AU78" s="9"/>
      <c r="AV78" s="9"/>
      <c r="AW78" s="9"/>
      <c r="AX78" s="9"/>
      <c r="AY78" s="9"/>
      <c r="AZ78" s="9"/>
      <c r="BA78" s="9"/>
      <c r="BB78" s="9"/>
      <c r="BC78" s="9"/>
      <c r="BD78" s="9"/>
      <c r="BE78" s="9"/>
      <c r="BF78" s="9"/>
      <c r="BG78" s="9"/>
      <c r="BH78" s="9"/>
    </row>
    <row r="79" spans="1:60" ht="12.5" hidden="1">
      <c r="A79" s="6" t="s">
        <v>393</v>
      </c>
      <c r="B79" s="7">
        <v>45597</v>
      </c>
      <c r="C79" s="8">
        <v>45604</v>
      </c>
      <c r="D79" s="9" t="s">
        <v>41</v>
      </c>
      <c r="E79" s="9" t="s">
        <v>394</v>
      </c>
      <c r="F79" s="9"/>
      <c r="G79" s="9" t="s">
        <v>43</v>
      </c>
      <c r="H79" s="10">
        <v>10.26</v>
      </c>
      <c r="I79" s="9" t="s">
        <v>44</v>
      </c>
      <c r="J79" s="9" t="s">
        <v>45</v>
      </c>
      <c r="K79" s="9" t="s">
        <v>395</v>
      </c>
      <c r="L79" s="11" t="s">
        <v>47</v>
      </c>
      <c r="M79" s="9" t="s">
        <v>48</v>
      </c>
      <c r="N79" s="9" t="s">
        <v>48</v>
      </c>
      <c r="O79" s="12" t="s">
        <v>396</v>
      </c>
      <c r="P79" s="6" t="s">
        <v>397</v>
      </c>
      <c r="Q79" s="9" t="s">
        <v>398</v>
      </c>
      <c r="R79" s="13">
        <v>1</v>
      </c>
      <c r="S79" s="9" t="s">
        <v>99</v>
      </c>
      <c r="T79" s="9" t="s">
        <v>53</v>
      </c>
      <c r="U79" s="9" t="s">
        <v>54</v>
      </c>
      <c r="V79" s="9" t="s">
        <v>55</v>
      </c>
      <c r="W79" s="9"/>
      <c r="X79" s="9"/>
      <c r="Y79" s="13">
        <v>62.93</v>
      </c>
      <c r="Z79" s="13">
        <v>1</v>
      </c>
      <c r="AA79" s="9"/>
      <c r="AB79" s="9"/>
      <c r="AC79" s="9"/>
      <c r="AD79" s="9"/>
      <c r="AE79" s="9"/>
      <c r="AF79" s="13">
        <v>62.93</v>
      </c>
      <c r="AG79" s="9"/>
      <c r="AH79" s="9"/>
      <c r="AI79" s="9">
        <v>2</v>
      </c>
      <c r="AJ79" s="9">
        <v>10</v>
      </c>
      <c r="AK79" s="14">
        <f t="shared" si="0"/>
        <v>0.2</v>
      </c>
      <c r="AL79" s="9"/>
      <c r="AM79" s="9"/>
      <c r="AN79" s="9"/>
      <c r="AO79" s="6"/>
      <c r="AP79" s="9"/>
      <c r="AQ79" s="9"/>
      <c r="AR79" s="9"/>
      <c r="AS79" s="9"/>
      <c r="AT79" s="9"/>
      <c r="AU79" s="9"/>
      <c r="AV79" s="9"/>
      <c r="AW79" s="9"/>
      <c r="AX79" s="9"/>
      <c r="AY79" s="9"/>
      <c r="AZ79" s="9"/>
      <c r="BA79" s="9"/>
      <c r="BB79" s="9"/>
      <c r="BC79" s="9"/>
      <c r="BD79" s="9"/>
      <c r="BE79" s="9"/>
      <c r="BF79" s="9"/>
      <c r="BG79" s="9"/>
      <c r="BH79" s="9"/>
    </row>
    <row r="80" spans="1:60" ht="12.5" hidden="1">
      <c r="A80" s="6" t="s">
        <v>399</v>
      </c>
      <c r="B80" s="16">
        <v>45609</v>
      </c>
      <c r="C80" s="8">
        <v>45621</v>
      </c>
      <c r="D80" s="9" t="s">
        <v>41</v>
      </c>
      <c r="E80" s="9" t="s">
        <v>400</v>
      </c>
      <c r="F80" s="9"/>
      <c r="G80" s="9" t="s">
        <v>43</v>
      </c>
      <c r="H80" s="10">
        <v>10.26</v>
      </c>
      <c r="I80" s="9" t="s">
        <v>44</v>
      </c>
      <c r="J80" s="9" t="s">
        <v>45</v>
      </c>
      <c r="K80" s="9" t="s">
        <v>401</v>
      </c>
      <c r="L80" s="11" t="s">
        <v>58</v>
      </c>
      <c r="M80" s="9" t="s">
        <v>48</v>
      </c>
      <c r="N80" s="9" t="s">
        <v>48</v>
      </c>
      <c r="O80" s="12" t="s">
        <v>396</v>
      </c>
      <c r="P80" s="6" t="s">
        <v>397</v>
      </c>
      <c r="Q80" s="9" t="s">
        <v>402</v>
      </c>
      <c r="R80" s="13">
        <v>1</v>
      </c>
      <c r="S80" s="9" t="s">
        <v>75</v>
      </c>
      <c r="T80" s="9" t="s">
        <v>53</v>
      </c>
      <c r="U80" s="9" t="s">
        <v>54</v>
      </c>
      <c r="V80" s="9" t="s">
        <v>55</v>
      </c>
      <c r="W80" s="9"/>
      <c r="X80" s="9"/>
      <c r="Y80" s="13">
        <v>62.73</v>
      </c>
      <c r="Z80" s="13">
        <v>1</v>
      </c>
      <c r="AA80" s="9"/>
      <c r="AB80" s="9"/>
      <c r="AC80" s="9"/>
      <c r="AD80" s="9"/>
      <c r="AE80" s="9"/>
      <c r="AF80" s="13">
        <v>52.47</v>
      </c>
      <c r="AG80" s="9"/>
      <c r="AH80" s="9"/>
      <c r="AI80" s="9"/>
      <c r="AJ80" s="9"/>
      <c r="AK80" s="14" t="e">
        <f t="shared" si="0"/>
        <v>#DIV/0!</v>
      </c>
      <c r="AL80" s="9"/>
      <c r="AM80" s="9"/>
      <c r="AN80" s="9"/>
      <c r="AO80" s="6"/>
      <c r="AP80" s="9"/>
      <c r="AQ80" s="9"/>
      <c r="AR80" s="9"/>
      <c r="AS80" s="9"/>
      <c r="AT80" s="9"/>
      <c r="AU80" s="9"/>
      <c r="AV80" s="9"/>
      <c r="AW80" s="9"/>
      <c r="AX80" s="9"/>
      <c r="AY80" s="9"/>
      <c r="AZ80" s="9"/>
      <c r="BA80" s="9"/>
      <c r="BB80" s="9"/>
      <c r="BC80" s="9"/>
      <c r="BD80" s="9"/>
      <c r="BE80" s="9"/>
      <c r="BF80" s="9"/>
      <c r="BG80" s="9"/>
      <c r="BH80" s="9"/>
    </row>
    <row r="81" spans="1:60" ht="12.5" hidden="1">
      <c r="A81" s="6" t="s">
        <v>403</v>
      </c>
      <c r="B81" s="16">
        <v>45617</v>
      </c>
      <c r="C81" s="8">
        <v>45621</v>
      </c>
      <c r="D81" s="9" t="s">
        <v>41</v>
      </c>
      <c r="E81" s="9" t="s">
        <v>404</v>
      </c>
      <c r="F81" s="9"/>
      <c r="G81" s="9" t="s">
        <v>43</v>
      </c>
      <c r="H81" s="10">
        <v>13.06</v>
      </c>
      <c r="I81" s="9" t="s">
        <v>44</v>
      </c>
      <c r="J81" s="9" t="s">
        <v>45</v>
      </c>
      <c r="K81" s="9" t="s">
        <v>405</v>
      </c>
      <c r="L81" s="11" t="s">
        <v>47</v>
      </c>
      <c r="M81" s="9" t="s">
        <v>48</v>
      </c>
      <c r="N81" s="9" t="s">
        <v>48</v>
      </c>
      <c r="O81" s="12" t="s">
        <v>406</v>
      </c>
      <c r="P81" s="6" t="s">
        <v>407</v>
      </c>
      <c r="Q81" s="9" t="s">
        <v>408</v>
      </c>
      <c r="R81" s="13">
        <v>1</v>
      </c>
      <c r="S81" s="9" t="s">
        <v>82</v>
      </c>
      <c r="T81" s="9" t="s">
        <v>53</v>
      </c>
      <c r="U81" s="9" t="s">
        <v>54</v>
      </c>
      <c r="V81" s="9" t="s">
        <v>61</v>
      </c>
      <c r="W81" s="9"/>
      <c r="X81" s="9"/>
      <c r="Y81" s="13">
        <v>73.930000000000007</v>
      </c>
      <c r="Z81" s="13">
        <v>1</v>
      </c>
      <c r="AA81" s="9"/>
      <c r="AB81" s="9"/>
      <c r="AC81" s="9"/>
      <c r="AD81" s="9"/>
      <c r="AE81" s="9"/>
      <c r="AF81" s="9"/>
      <c r="AG81" s="9"/>
      <c r="AH81" s="9"/>
      <c r="AI81" s="9">
        <v>1</v>
      </c>
      <c r="AJ81" s="9">
        <v>10</v>
      </c>
      <c r="AK81" s="14">
        <f t="shared" si="0"/>
        <v>0.1</v>
      </c>
      <c r="AL81" s="9"/>
      <c r="AM81" s="9"/>
      <c r="AN81" s="9"/>
      <c r="AO81" s="6"/>
      <c r="AP81" s="9"/>
      <c r="AQ81" s="9"/>
      <c r="AR81" s="9"/>
      <c r="AS81" s="9"/>
      <c r="AT81" s="9"/>
      <c r="AU81" s="9"/>
      <c r="AV81" s="9"/>
      <c r="AW81" s="9"/>
      <c r="AX81" s="9"/>
      <c r="AY81" s="9"/>
      <c r="AZ81" s="9"/>
      <c r="BA81" s="9"/>
      <c r="BB81" s="9"/>
      <c r="BC81" s="9"/>
      <c r="BD81" s="9"/>
      <c r="BE81" s="9"/>
      <c r="BF81" s="9"/>
      <c r="BG81" s="9"/>
      <c r="BH81" s="9"/>
    </row>
    <row r="82" spans="1:60" ht="12.5" hidden="1">
      <c r="A82" s="6" t="s">
        <v>409</v>
      </c>
      <c r="B82" s="7">
        <v>45600</v>
      </c>
      <c r="C82" s="8">
        <v>45611</v>
      </c>
      <c r="D82" s="9" t="s">
        <v>41</v>
      </c>
      <c r="E82" s="9" t="s">
        <v>410</v>
      </c>
      <c r="F82" s="9"/>
      <c r="G82" s="9" t="s">
        <v>43</v>
      </c>
      <c r="H82" s="17">
        <v>69.069999999999993</v>
      </c>
      <c r="I82" s="9" t="s">
        <v>44</v>
      </c>
      <c r="J82" s="9" t="s">
        <v>45</v>
      </c>
      <c r="K82" s="9" t="s">
        <v>411</v>
      </c>
      <c r="L82" s="11" t="s">
        <v>58</v>
      </c>
      <c r="M82" s="9" t="s">
        <v>48</v>
      </c>
      <c r="N82" s="9" t="s">
        <v>48</v>
      </c>
      <c r="O82" s="12" t="s">
        <v>412</v>
      </c>
      <c r="P82" s="6" t="s">
        <v>413</v>
      </c>
      <c r="Q82" s="9" t="s">
        <v>414</v>
      </c>
      <c r="R82" s="13">
        <v>1</v>
      </c>
      <c r="S82" s="9" t="s">
        <v>68</v>
      </c>
      <c r="T82" s="9" t="s">
        <v>53</v>
      </c>
      <c r="U82" s="9" t="s">
        <v>54</v>
      </c>
      <c r="V82" s="9" t="s">
        <v>61</v>
      </c>
      <c r="W82" s="9"/>
      <c r="X82" s="9"/>
      <c r="Y82" s="13">
        <v>134.9</v>
      </c>
      <c r="Z82" s="13">
        <v>1</v>
      </c>
      <c r="AA82" s="9"/>
      <c r="AB82" s="9"/>
      <c r="AC82" s="9"/>
      <c r="AD82" s="9"/>
      <c r="AE82" s="9"/>
      <c r="AF82" s="9"/>
      <c r="AG82" s="9"/>
      <c r="AH82" s="9"/>
      <c r="AI82" s="9">
        <v>1</v>
      </c>
      <c r="AJ82" s="9">
        <v>16</v>
      </c>
      <c r="AK82" s="14">
        <f t="shared" si="0"/>
        <v>6.25E-2</v>
      </c>
      <c r="AL82" s="9"/>
      <c r="AM82" s="9"/>
      <c r="AN82" s="9"/>
      <c r="AO82" s="6"/>
      <c r="AP82" s="9"/>
      <c r="AQ82" s="9"/>
      <c r="AR82" s="9"/>
      <c r="AS82" s="9"/>
      <c r="AT82" s="9"/>
      <c r="AU82" s="9"/>
      <c r="AV82" s="9"/>
      <c r="AW82" s="9"/>
      <c r="AX82" s="9"/>
      <c r="AY82" s="9"/>
      <c r="AZ82" s="9"/>
      <c r="BA82" s="9"/>
      <c r="BB82" s="9"/>
      <c r="BC82" s="9"/>
      <c r="BD82" s="9"/>
      <c r="BE82" s="9"/>
      <c r="BF82" s="9"/>
      <c r="BG82" s="9"/>
      <c r="BH82" s="9"/>
    </row>
    <row r="83" spans="1:60" ht="12.5" hidden="1">
      <c r="A83" s="6" t="s">
        <v>415</v>
      </c>
      <c r="B83" s="16">
        <v>45616</v>
      </c>
      <c r="C83" s="8">
        <v>45619</v>
      </c>
      <c r="D83" s="9" t="s">
        <v>41</v>
      </c>
      <c r="E83" s="9" t="s">
        <v>416</v>
      </c>
      <c r="F83" s="9"/>
      <c r="G83" s="9" t="s">
        <v>43</v>
      </c>
      <c r="H83" s="10">
        <v>13.06</v>
      </c>
      <c r="I83" s="9" t="s">
        <v>44</v>
      </c>
      <c r="J83" s="9" t="s">
        <v>45</v>
      </c>
      <c r="K83" s="9" t="s">
        <v>417</v>
      </c>
      <c r="L83" s="11" t="s">
        <v>47</v>
      </c>
      <c r="M83" s="9" t="s">
        <v>48</v>
      </c>
      <c r="N83" s="9" t="s">
        <v>48</v>
      </c>
      <c r="O83" s="12" t="s">
        <v>418</v>
      </c>
      <c r="P83" s="6" t="s">
        <v>419</v>
      </c>
      <c r="Q83" s="9" t="s">
        <v>420</v>
      </c>
      <c r="R83" s="13">
        <v>1</v>
      </c>
      <c r="S83" s="9" t="s">
        <v>421</v>
      </c>
      <c r="T83" s="9" t="s">
        <v>53</v>
      </c>
      <c r="U83" s="9" t="s">
        <v>54</v>
      </c>
      <c r="V83" s="9" t="s">
        <v>55</v>
      </c>
      <c r="W83" s="9"/>
      <c r="X83" s="9"/>
      <c r="Y83" s="13">
        <v>146.19</v>
      </c>
      <c r="Z83" s="13">
        <v>1</v>
      </c>
      <c r="AA83" s="9"/>
      <c r="AB83" s="9"/>
      <c r="AC83" s="9"/>
      <c r="AD83" s="9"/>
      <c r="AE83" s="9"/>
      <c r="AF83" s="13">
        <v>146.19</v>
      </c>
      <c r="AG83" s="9"/>
      <c r="AH83" s="9"/>
      <c r="AI83" s="9">
        <v>1</v>
      </c>
      <c r="AJ83" s="9">
        <v>6</v>
      </c>
      <c r="AK83" s="14">
        <f t="shared" si="0"/>
        <v>0.16666666666666666</v>
      </c>
      <c r="AL83" s="9"/>
      <c r="AM83" s="9"/>
      <c r="AN83" s="9"/>
      <c r="AO83" s="6"/>
      <c r="AP83" s="9"/>
      <c r="AQ83" s="9"/>
      <c r="AR83" s="9"/>
      <c r="AS83" s="9"/>
      <c r="AT83" s="9"/>
      <c r="AU83" s="9"/>
      <c r="AV83" s="9"/>
      <c r="AW83" s="9"/>
      <c r="AX83" s="9"/>
      <c r="AY83" s="9"/>
      <c r="AZ83" s="9"/>
      <c r="BA83" s="9"/>
      <c r="BB83" s="9"/>
      <c r="BC83" s="9"/>
      <c r="BD83" s="9"/>
      <c r="BE83" s="9"/>
      <c r="BF83" s="9"/>
      <c r="BG83" s="9"/>
      <c r="BH83" s="9"/>
    </row>
    <row r="84" spans="1:60" ht="12.5" hidden="1">
      <c r="A84" s="6" t="s">
        <v>422</v>
      </c>
      <c r="B84" s="16">
        <v>45617</v>
      </c>
      <c r="C84" s="8">
        <v>45621</v>
      </c>
      <c r="D84" s="9" t="s">
        <v>41</v>
      </c>
      <c r="E84" s="9" t="s">
        <v>423</v>
      </c>
      <c r="F84" s="9"/>
      <c r="G84" s="9" t="s">
        <v>43</v>
      </c>
      <c r="H84" s="10">
        <v>13.51</v>
      </c>
      <c r="I84" s="9" t="s">
        <v>44</v>
      </c>
      <c r="J84" s="9" t="s">
        <v>45</v>
      </c>
      <c r="K84" s="9" t="s">
        <v>424</v>
      </c>
      <c r="L84" s="11" t="s">
        <v>47</v>
      </c>
      <c r="M84" s="9" t="s">
        <v>48</v>
      </c>
      <c r="N84" s="9" t="s">
        <v>48</v>
      </c>
      <c r="O84" s="12" t="s">
        <v>425</v>
      </c>
      <c r="P84" s="6" t="s">
        <v>426</v>
      </c>
      <c r="Q84" s="9" t="s">
        <v>427</v>
      </c>
      <c r="R84" s="13">
        <v>1</v>
      </c>
      <c r="S84" s="9" t="s">
        <v>52</v>
      </c>
      <c r="T84" s="9" t="s">
        <v>53</v>
      </c>
      <c r="U84" s="9" t="s">
        <v>54</v>
      </c>
      <c r="V84" s="9" t="s">
        <v>55</v>
      </c>
      <c r="W84" s="9"/>
      <c r="X84" s="9"/>
      <c r="Y84" s="13">
        <v>147.22999999999999</v>
      </c>
      <c r="Z84" s="13">
        <v>1</v>
      </c>
      <c r="AA84" s="9"/>
      <c r="AB84" s="9"/>
      <c r="AC84" s="9"/>
      <c r="AD84" s="9"/>
      <c r="AE84" s="9"/>
      <c r="AF84" s="13">
        <v>147.22999999999999</v>
      </c>
      <c r="AG84" s="9"/>
      <c r="AH84" s="9"/>
      <c r="AI84" s="9">
        <v>1</v>
      </c>
      <c r="AJ84" s="9">
        <v>7</v>
      </c>
      <c r="AK84" s="14">
        <f t="shared" si="0"/>
        <v>0.14285714285714285</v>
      </c>
      <c r="AL84" s="9"/>
      <c r="AM84" s="9"/>
      <c r="AN84" s="9"/>
      <c r="AO84" s="6"/>
      <c r="AP84" s="9"/>
      <c r="AQ84" s="9"/>
      <c r="AR84" s="9"/>
      <c r="AS84" s="9"/>
      <c r="AT84" s="9"/>
      <c r="AU84" s="9"/>
      <c r="AV84" s="9"/>
      <c r="AW84" s="9"/>
      <c r="AX84" s="9"/>
      <c r="AY84" s="9"/>
      <c r="AZ84" s="9"/>
      <c r="BA84" s="9"/>
      <c r="BB84" s="9"/>
      <c r="BC84" s="9"/>
      <c r="BD84" s="9"/>
      <c r="BE84" s="9"/>
      <c r="BF84" s="9"/>
      <c r="BG84" s="9"/>
      <c r="BH84" s="9"/>
    </row>
    <row r="85" spans="1:60" ht="12.5" hidden="1">
      <c r="A85" s="6" t="s">
        <v>428</v>
      </c>
      <c r="B85" s="7">
        <v>45598</v>
      </c>
      <c r="C85" s="8">
        <v>45602</v>
      </c>
      <c r="D85" s="9" t="s">
        <v>41</v>
      </c>
      <c r="E85" s="9" t="s">
        <v>429</v>
      </c>
      <c r="F85" s="9"/>
      <c r="G85" s="9" t="s">
        <v>43</v>
      </c>
      <c r="H85" s="10">
        <v>16.8</v>
      </c>
      <c r="I85" s="9" t="s">
        <v>44</v>
      </c>
      <c r="J85" s="9" t="s">
        <v>45</v>
      </c>
      <c r="K85" s="9" t="s">
        <v>430</v>
      </c>
      <c r="L85" s="11" t="s">
        <v>58</v>
      </c>
      <c r="M85" s="9" t="s">
        <v>48</v>
      </c>
      <c r="N85" s="9" t="s">
        <v>48</v>
      </c>
      <c r="O85" s="12" t="s">
        <v>431</v>
      </c>
      <c r="P85" s="6" t="s">
        <v>432</v>
      </c>
      <c r="Q85" s="9" t="s">
        <v>433</v>
      </c>
      <c r="R85" s="13">
        <v>1</v>
      </c>
      <c r="S85" s="9" t="s">
        <v>68</v>
      </c>
      <c r="T85" s="9" t="s">
        <v>53</v>
      </c>
      <c r="U85" s="9" t="s">
        <v>54</v>
      </c>
      <c r="V85" s="9" t="s">
        <v>55</v>
      </c>
      <c r="W85" s="9"/>
      <c r="X85" s="9"/>
      <c r="Y85" s="13">
        <v>123.55</v>
      </c>
      <c r="Z85" s="13">
        <v>1</v>
      </c>
      <c r="AA85" s="9"/>
      <c r="AB85" s="9"/>
      <c r="AC85" s="9"/>
      <c r="AD85" s="9"/>
      <c r="AE85" s="9"/>
      <c r="AF85" s="13">
        <v>106.75</v>
      </c>
      <c r="AG85" s="9"/>
      <c r="AH85" s="9"/>
      <c r="AI85" s="9">
        <v>1</v>
      </c>
      <c r="AJ85" s="9">
        <v>2</v>
      </c>
      <c r="AK85" s="14">
        <f t="shared" si="0"/>
        <v>0.5</v>
      </c>
      <c r="AL85" s="9"/>
      <c r="AM85" s="9"/>
      <c r="AN85" s="9"/>
      <c r="AO85" s="6"/>
      <c r="AP85" s="9"/>
      <c r="AQ85" s="9"/>
      <c r="AR85" s="9"/>
      <c r="AS85" s="9"/>
      <c r="AT85" s="9"/>
      <c r="AU85" s="9"/>
      <c r="AV85" s="9"/>
      <c r="AW85" s="9"/>
      <c r="AX85" s="9"/>
      <c r="AY85" s="9"/>
      <c r="AZ85" s="9"/>
      <c r="BA85" s="9"/>
      <c r="BB85" s="9"/>
      <c r="BC85" s="9"/>
      <c r="BD85" s="9"/>
      <c r="BE85" s="9"/>
      <c r="BF85" s="9"/>
      <c r="BG85" s="9"/>
      <c r="BH85" s="9"/>
    </row>
    <row r="86" spans="1:60" ht="12.5" hidden="1">
      <c r="A86" s="6" t="s">
        <v>434</v>
      </c>
      <c r="B86" s="16">
        <v>45591</v>
      </c>
      <c r="C86" s="8">
        <v>45616</v>
      </c>
      <c r="D86" s="9" t="s">
        <v>41</v>
      </c>
      <c r="E86" s="9" t="s">
        <v>435</v>
      </c>
      <c r="F86" s="9"/>
      <c r="G86" s="9" t="s">
        <v>43</v>
      </c>
      <c r="H86" s="10">
        <v>16.8</v>
      </c>
      <c r="I86" s="9" t="s">
        <v>44</v>
      </c>
      <c r="J86" s="9" t="s">
        <v>45</v>
      </c>
      <c r="K86" s="9" t="s">
        <v>436</v>
      </c>
      <c r="L86" s="11" t="s">
        <v>58</v>
      </c>
      <c r="M86" s="9" t="s">
        <v>48</v>
      </c>
      <c r="N86" s="9" t="s">
        <v>48</v>
      </c>
      <c r="O86" s="12" t="s">
        <v>437</v>
      </c>
      <c r="P86" s="6" t="s">
        <v>438</v>
      </c>
      <c r="Q86" s="9" t="s">
        <v>439</v>
      </c>
      <c r="R86" s="13">
        <v>1</v>
      </c>
      <c r="S86" s="9" t="s">
        <v>75</v>
      </c>
      <c r="T86" s="9" t="s">
        <v>53</v>
      </c>
      <c r="U86" s="9" t="s">
        <v>54</v>
      </c>
      <c r="V86" s="9" t="s">
        <v>61</v>
      </c>
      <c r="W86" s="9"/>
      <c r="X86" s="9"/>
      <c r="Y86" s="13">
        <v>122.98</v>
      </c>
      <c r="Z86" s="13">
        <v>1</v>
      </c>
      <c r="AA86" s="9"/>
      <c r="AB86" s="9"/>
      <c r="AC86" s="9"/>
      <c r="AD86" s="9"/>
      <c r="AE86" s="9"/>
      <c r="AF86" s="13">
        <v>101.63</v>
      </c>
      <c r="AG86" s="9"/>
      <c r="AH86" s="9"/>
      <c r="AI86" s="9">
        <v>1</v>
      </c>
      <c r="AJ86" s="9">
        <v>9</v>
      </c>
      <c r="AK86" s="14">
        <f t="shared" si="0"/>
        <v>0.1111111111111111</v>
      </c>
      <c r="AL86" s="9"/>
      <c r="AM86" s="9"/>
      <c r="AN86" s="9"/>
      <c r="AO86" s="6"/>
      <c r="AP86" s="9"/>
      <c r="AQ86" s="9"/>
      <c r="AR86" s="9"/>
      <c r="AS86" s="9"/>
      <c r="AT86" s="9"/>
      <c r="AU86" s="9"/>
      <c r="AV86" s="9"/>
      <c r="AW86" s="9"/>
      <c r="AX86" s="9"/>
      <c r="AY86" s="9"/>
      <c r="AZ86" s="9"/>
      <c r="BA86" s="9"/>
      <c r="BB86" s="9"/>
      <c r="BC86" s="9"/>
      <c r="BD86" s="9"/>
      <c r="BE86" s="9"/>
      <c r="BF86" s="9"/>
      <c r="BG86" s="9"/>
      <c r="BH86" s="9"/>
    </row>
    <row r="87" spans="1:60" ht="12.5" hidden="1">
      <c r="A87" s="6" t="s">
        <v>440</v>
      </c>
      <c r="B87" s="16">
        <v>45608</v>
      </c>
      <c r="C87" s="8">
        <v>45610</v>
      </c>
      <c r="D87" s="9" t="s">
        <v>41</v>
      </c>
      <c r="E87" s="9" t="s">
        <v>441</v>
      </c>
      <c r="F87" s="9"/>
      <c r="G87" s="9" t="s">
        <v>43</v>
      </c>
      <c r="H87" s="10">
        <v>10.69</v>
      </c>
      <c r="I87" s="9" t="s">
        <v>44</v>
      </c>
      <c r="J87" s="9" t="s">
        <v>45</v>
      </c>
      <c r="K87" s="9" t="s">
        <v>442</v>
      </c>
      <c r="L87" s="11" t="s">
        <v>47</v>
      </c>
      <c r="M87" s="9" t="s">
        <v>48</v>
      </c>
      <c r="N87" s="9" t="s">
        <v>48</v>
      </c>
      <c r="O87" s="12" t="s">
        <v>443</v>
      </c>
      <c r="P87" s="6" t="s">
        <v>444</v>
      </c>
      <c r="Q87" s="9" t="s">
        <v>445</v>
      </c>
      <c r="R87" s="13">
        <v>1</v>
      </c>
      <c r="S87" s="9" t="s">
        <v>421</v>
      </c>
      <c r="T87" s="9" t="s">
        <v>53</v>
      </c>
      <c r="U87" s="9" t="s">
        <v>54</v>
      </c>
      <c r="V87" s="9" t="s">
        <v>55</v>
      </c>
      <c r="W87" s="9"/>
      <c r="X87" s="9"/>
      <c r="Y87" s="13">
        <v>121.91</v>
      </c>
      <c r="Z87" s="13">
        <v>1</v>
      </c>
      <c r="AA87" s="9"/>
      <c r="AB87" s="9"/>
      <c r="AC87" s="9"/>
      <c r="AD87" s="9"/>
      <c r="AE87" s="9"/>
      <c r="AF87" s="13">
        <v>121.91</v>
      </c>
      <c r="AG87" s="9"/>
      <c r="AH87" s="9"/>
      <c r="AI87" s="9">
        <v>3</v>
      </c>
      <c r="AJ87" s="9">
        <v>17</v>
      </c>
      <c r="AK87" s="14">
        <f t="shared" si="0"/>
        <v>0.17647058823529413</v>
      </c>
      <c r="AL87" s="9"/>
      <c r="AM87" s="9"/>
      <c r="AN87" s="9"/>
      <c r="AO87" s="6"/>
      <c r="AP87" s="9"/>
      <c r="AQ87" s="9"/>
      <c r="AR87" s="9"/>
      <c r="AS87" s="9"/>
      <c r="AT87" s="9"/>
      <c r="AU87" s="9"/>
      <c r="AV87" s="9"/>
      <c r="AW87" s="9"/>
      <c r="AX87" s="9"/>
      <c r="AY87" s="9"/>
      <c r="AZ87" s="9"/>
      <c r="BA87" s="9"/>
      <c r="BB87" s="9"/>
      <c r="BC87" s="9"/>
      <c r="BD87" s="9"/>
      <c r="BE87" s="9"/>
      <c r="BF87" s="9"/>
      <c r="BG87" s="9"/>
      <c r="BH87" s="9"/>
    </row>
    <row r="88" spans="1:60" ht="12.5" hidden="1">
      <c r="A88" s="6" t="s">
        <v>446</v>
      </c>
      <c r="B88" s="7">
        <v>45603</v>
      </c>
      <c r="C88" s="8">
        <v>45615</v>
      </c>
      <c r="D88" s="9" t="s">
        <v>41</v>
      </c>
      <c r="E88" s="9" t="s">
        <v>447</v>
      </c>
      <c r="F88" s="9"/>
      <c r="G88" s="9" t="s">
        <v>43</v>
      </c>
      <c r="H88" s="10">
        <v>10.69</v>
      </c>
      <c r="I88" s="9" t="s">
        <v>44</v>
      </c>
      <c r="J88" s="9" t="s">
        <v>45</v>
      </c>
      <c r="K88" s="9" t="s">
        <v>448</v>
      </c>
      <c r="L88" s="11" t="s">
        <v>58</v>
      </c>
      <c r="M88" s="9" t="s">
        <v>48</v>
      </c>
      <c r="N88" s="9" t="s">
        <v>48</v>
      </c>
      <c r="O88" s="12" t="s">
        <v>443</v>
      </c>
      <c r="P88" s="6" t="s">
        <v>444</v>
      </c>
      <c r="Q88" s="9" t="s">
        <v>445</v>
      </c>
      <c r="R88" s="13">
        <v>1</v>
      </c>
      <c r="S88" s="9" t="s">
        <v>59</v>
      </c>
      <c r="T88" s="9" t="s">
        <v>53</v>
      </c>
      <c r="U88" s="9" t="s">
        <v>60</v>
      </c>
      <c r="V88" s="9" t="s">
        <v>55</v>
      </c>
      <c r="W88" s="9"/>
      <c r="X88" s="9"/>
      <c r="Y88" s="13">
        <v>120.51</v>
      </c>
      <c r="Z88" s="13">
        <v>1</v>
      </c>
      <c r="AA88" s="9"/>
      <c r="AB88" s="9"/>
      <c r="AC88" s="9"/>
      <c r="AD88" s="9"/>
      <c r="AE88" s="9"/>
      <c r="AF88" s="13">
        <v>109.82</v>
      </c>
      <c r="AG88" s="9"/>
      <c r="AH88" s="9"/>
      <c r="AI88" s="9"/>
      <c r="AJ88" s="9"/>
      <c r="AK88" s="14" t="e">
        <f t="shared" si="0"/>
        <v>#DIV/0!</v>
      </c>
      <c r="AL88" s="9"/>
      <c r="AM88" s="9"/>
      <c r="AN88" s="9"/>
      <c r="AO88" s="6"/>
      <c r="AP88" s="9"/>
      <c r="AQ88" s="9"/>
      <c r="AR88" s="9"/>
      <c r="AS88" s="9"/>
      <c r="AT88" s="9"/>
      <c r="AU88" s="9"/>
      <c r="AV88" s="9"/>
      <c r="AW88" s="9"/>
      <c r="AX88" s="9"/>
      <c r="AY88" s="9"/>
      <c r="AZ88" s="9"/>
      <c r="BA88" s="9"/>
      <c r="BB88" s="9"/>
      <c r="BC88" s="9"/>
      <c r="BD88" s="9"/>
      <c r="BE88" s="9"/>
      <c r="BF88" s="9"/>
      <c r="BG88" s="9"/>
      <c r="BH88" s="9"/>
    </row>
    <row r="89" spans="1:60" ht="12.5" hidden="1">
      <c r="A89" s="6" t="s">
        <v>449</v>
      </c>
      <c r="B89" s="16">
        <v>45593</v>
      </c>
      <c r="C89" s="8">
        <v>45614</v>
      </c>
      <c r="D89" s="9" t="s">
        <v>41</v>
      </c>
      <c r="E89" s="9" t="s">
        <v>450</v>
      </c>
      <c r="F89" s="9"/>
      <c r="G89" s="9" t="s">
        <v>43</v>
      </c>
      <c r="H89" s="10">
        <v>10.69</v>
      </c>
      <c r="I89" s="9" t="s">
        <v>44</v>
      </c>
      <c r="J89" s="9" t="s">
        <v>45</v>
      </c>
      <c r="K89" s="9" t="s">
        <v>451</v>
      </c>
      <c r="L89" s="11" t="s">
        <v>58</v>
      </c>
      <c r="M89" s="9" t="s">
        <v>48</v>
      </c>
      <c r="N89" s="9" t="s">
        <v>48</v>
      </c>
      <c r="O89" s="12" t="s">
        <v>443</v>
      </c>
      <c r="P89" s="6" t="s">
        <v>444</v>
      </c>
      <c r="Q89" s="9" t="s">
        <v>445</v>
      </c>
      <c r="R89" s="13">
        <v>1</v>
      </c>
      <c r="S89" s="9" t="s">
        <v>452</v>
      </c>
      <c r="T89" s="9" t="s">
        <v>53</v>
      </c>
      <c r="U89" s="9" t="s">
        <v>60</v>
      </c>
      <c r="V89" s="9" t="s">
        <v>55</v>
      </c>
      <c r="W89" s="9"/>
      <c r="X89" s="9"/>
      <c r="Y89" s="13">
        <v>120.77</v>
      </c>
      <c r="Z89" s="13">
        <v>1</v>
      </c>
      <c r="AA89" s="9"/>
      <c r="AB89" s="9"/>
      <c r="AC89" s="9"/>
      <c r="AD89" s="9"/>
      <c r="AE89" s="9"/>
      <c r="AF89" s="13">
        <v>110.08</v>
      </c>
      <c r="AG89" s="9"/>
      <c r="AH89" s="9"/>
      <c r="AI89" s="9"/>
      <c r="AJ89" s="9"/>
      <c r="AK89" s="14" t="e">
        <f t="shared" si="0"/>
        <v>#DIV/0!</v>
      </c>
      <c r="AL89" s="9"/>
      <c r="AM89" s="9"/>
      <c r="AN89" s="9"/>
      <c r="AO89" s="6"/>
      <c r="AP89" s="9"/>
      <c r="AQ89" s="9"/>
      <c r="AR89" s="9"/>
      <c r="AS89" s="9"/>
      <c r="AT89" s="9"/>
      <c r="AU89" s="9"/>
      <c r="AV89" s="9"/>
      <c r="AW89" s="9"/>
      <c r="AX89" s="9"/>
      <c r="AY89" s="9"/>
      <c r="AZ89" s="9"/>
      <c r="BA89" s="9"/>
      <c r="BB89" s="9"/>
      <c r="BC89" s="9"/>
      <c r="BD89" s="9"/>
      <c r="BE89" s="9"/>
      <c r="BF89" s="9"/>
      <c r="BG89" s="9"/>
      <c r="BH89" s="9"/>
    </row>
    <row r="90" spans="1:60" ht="12.5" hidden="1">
      <c r="A90" s="6" t="s">
        <v>453</v>
      </c>
      <c r="B90" s="7">
        <v>45598</v>
      </c>
      <c r="C90" s="8">
        <v>45617</v>
      </c>
      <c r="D90" s="9" t="s">
        <v>41</v>
      </c>
      <c r="E90" s="9" t="s">
        <v>454</v>
      </c>
      <c r="F90" s="9"/>
      <c r="G90" s="9" t="s">
        <v>137</v>
      </c>
      <c r="H90" s="10">
        <v>0</v>
      </c>
      <c r="I90" s="9"/>
      <c r="J90" s="9"/>
      <c r="K90" s="9"/>
      <c r="L90" s="11" t="s">
        <v>58</v>
      </c>
      <c r="M90" s="9" t="s">
        <v>48</v>
      </c>
      <c r="N90" s="9" t="s">
        <v>48</v>
      </c>
      <c r="O90" s="12" t="s">
        <v>455</v>
      </c>
      <c r="P90" s="6" t="s">
        <v>456</v>
      </c>
      <c r="Q90" s="9" t="s">
        <v>457</v>
      </c>
      <c r="R90" s="13">
        <v>1</v>
      </c>
      <c r="S90" s="9" t="s">
        <v>75</v>
      </c>
      <c r="T90" s="9" t="s">
        <v>53</v>
      </c>
      <c r="U90" s="9" t="s">
        <v>54</v>
      </c>
      <c r="V90" s="9" t="s">
        <v>61</v>
      </c>
      <c r="W90" s="9"/>
      <c r="X90" s="9"/>
      <c r="Y90" s="13">
        <v>69.87</v>
      </c>
      <c r="Z90" s="13">
        <v>1</v>
      </c>
      <c r="AA90" s="9"/>
      <c r="AB90" s="9"/>
      <c r="AC90" s="9"/>
      <c r="AD90" s="9"/>
      <c r="AE90" s="9"/>
      <c r="AF90" s="9"/>
      <c r="AG90" s="9"/>
      <c r="AH90" s="9"/>
      <c r="AI90" s="9">
        <v>2</v>
      </c>
      <c r="AJ90" s="9">
        <v>20</v>
      </c>
      <c r="AK90" s="14">
        <f t="shared" si="0"/>
        <v>0.1</v>
      </c>
      <c r="AL90" s="9"/>
      <c r="AM90" s="9"/>
      <c r="AN90" s="9"/>
      <c r="AO90" s="6"/>
      <c r="AP90" s="9"/>
      <c r="AQ90" s="9"/>
      <c r="AR90" s="9"/>
      <c r="AS90" s="9"/>
      <c r="AT90" s="9"/>
      <c r="AU90" s="9"/>
      <c r="AV90" s="9"/>
      <c r="AW90" s="9"/>
      <c r="AX90" s="9"/>
      <c r="AY90" s="9"/>
      <c r="AZ90" s="9"/>
      <c r="BA90" s="9"/>
      <c r="BB90" s="9"/>
      <c r="BC90" s="9"/>
      <c r="BD90" s="9"/>
      <c r="BE90" s="9"/>
      <c r="BF90" s="9"/>
      <c r="BG90" s="9"/>
      <c r="BH90" s="9"/>
    </row>
    <row r="91" spans="1:60" ht="12.5" hidden="1">
      <c r="A91" s="6" t="s">
        <v>458</v>
      </c>
      <c r="B91" s="16">
        <v>45614</v>
      </c>
      <c r="C91" s="8">
        <v>45616</v>
      </c>
      <c r="D91" s="9" t="s">
        <v>41</v>
      </c>
      <c r="E91" s="9" t="s">
        <v>459</v>
      </c>
      <c r="F91" s="9"/>
      <c r="G91" s="9" t="s">
        <v>137</v>
      </c>
      <c r="H91" s="10">
        <v>0</v>
      </c>
      <c r="I91" s="9"/>
      <c r="J91" s="9"/>
      <c r="K91" s="9"/>
      <c r="L91" s="11" t="s">
        <v>58</v>
      </c>
      <c r="M91" s="9" t="s">
        <v>48</v>
      </c>
      <c r="N91" s="9" t="s">
        <v>48</v>
      </c>
      <c r="O91" s="12" t="s">
        <v>455</v>
      </c>
      <c r="P91" s="6" t="s">
        <v>456</v>
      </c>
      <c r="Q91" s="9" t="s">
        <v>457</v>
      </c>
      <c r="R91" s="13">
        <v>1</v>
      </c>
      <c r="S91" s="9" t="s">
        <v>68</v>
      </c>
      <c r="T91" s="9" t="s">
        <v>53</v>
      </c>
      <c r="U91" s="9" t="s">
        <v>54</v>
      </c>
      <c r="V91" s="9" t="s">
        <v>61</v>
      </c>
      <c r="W91" s="9"/>
      <c r="X91" s="9"/>
      <c r="Y91" s="13">
        <v>72.12</v>
      </c>
      <c r="Z91" s="13">
        <v>1</v>
      </c>
      <c r="AA91" s="9"/>
      <c r="AB91" s="9"/>
      <c r="AC91" s="9"/>
      <c r="AD91" s="9"/>
      <c r="AE91" s="9"/>
      <c r="AF91" s="9"/>
      <c r="AG91" s="9"/>
      <c r="AH91" s="9"/>
      <c r="AI91" s="9"/>
      <c r="AJ91" s="9"/>
      <c r="AK91" s="14" t="e">
        <f t="shared" si="0"/>
        <v>#DIV/0!</v>
      </c>
      <c r="AL91" s="9"/>
      <c r="AM91" s="9"/>
      <c r="AN91" s="9"/>
      <c r="AO91" s="6"/>
      <c r="AP91" s="9"/>
      <c r="AQ91" s="9"/>
      <c r="AR91" s="9"/>
      <c r="AS91" s="9"/>
      <c r="AT91" s="9"/>
      <c r="AU91" s="9"/>
      <c r="AV91" s="9"/>
      <c r="AW91" s="9"/>
      <c r="AX91" s="9"/>
      <c r="AY91" s="9"/>
      <c r="AZ91" s="9"/>
      <c r="BA91" s="9"/>
      <c r="BB91" s="9"/>
      <c r="BC91" s="9"/>
      <c r="BD91" s="9"/>
      <c r="BE91" s="9"/>
      <c r="BF91" s="9"/>
      <c r="BG91" s="9"/>
      <c r="BH91" s="9"/>
    </row>
    <row r="92" spans="1:60" ht="12.5" hidden="1">
      <c r="A92" s="6" t="s">
        <v>460</v>
      </c>
      <c r="B92" s="16">
        <v>45593</v>
      </c>
      <c r="C92" s="8">
        <v>45598</v>
      </c>
      <c r="D92" s="9" t="s">
        <v>41</v>
      </c>
      <c r="E92" s="9" t="s">
        <v>461</v>
      </c>
      <c r="F92" s="9"/>
      <c r="G92" s="9" t="s">
        <v>43</v>
      </c>
      <c r="H92" s="10">
        <v>10.01</v>
      </c>
      <c r="I92" s="9" t="s">
        <v>44</v>
      </c>
      <c r="J92" s="9" t="s">
        <v>45</v>
      </c>
      <c r="K92" s="9" t="s">
        <v>462</v>
      </c>
      <c r="L92" s="11" t="s">
        <v>47</v>
      </c>
      <c r="M92" s="9" t="s">
        <v>48</v>
      </c>
      <c r="N92" s="9" t="s">
        <v>48</v>
      </c>
      <c r="O92" s="12" t="s">
        <v>463</v>
      </c>
      <c r="P92" s="6" t="s">
        <v>464</v>
      </c>
      <c r="Q92" s="9" t="s">
        <v>465</v>
      </c>
      <c r="R92" s="13">
        <v>1</v>
      </c>
      <c r="S92" s="9" t="s">
        <v>99</v>
      </c>
      <c r="T92" s="9" t="s">
        <v>53</v>
      </c>
      <c r="U92" s="9" t="s">
        <v>54</v>
      </c>
      <c r="V92" s="9" t="s">
        <v>61</v>
      </c>
      <c r="W92" s="9"/>
      <c r="X92" s="9"/>
      <c r="Y92" s="13">
        <v>71.23</v>
      </c>
      <c r="Z92" s="13">
        <v>1</v>
      </c>
      <c r="AA92" s="9"/>
      <c r="AB92" s="9"/>
      <c r="AC92" s="9"/>
      <c r="AD92" s="9"/>
      <c r="AE92" s="9"/>
      <c r="AF92" s="9"/>
      <c r="AG92" s="9"/>
      <c r="AH92" s="9"/>
      <c r="AI92" s="9">
        <v>1</v>
      </c>
      <c r="AJ92" s="9">
        <v>16</v>
      </c>
      <c r="AK92" s="14">
        <f t="shared" si="0"/>
        <v>6.25E-2</v>
      </c>
      <c r="AL92" s="9"/>
      <c r="AM92" s="9"/>
      <c r="AN92" s="9"/>
      <c r="AO92" s="6"/>
      <c r="AP92" s="9"/>
      <c r="AQ92" s="9"/>
      <c r="AR92" s="9"/>
      <c r="AS92" s="9"/>
      <c r="AT92" s="9"/>
      <c r="AU92" s="9"/>
      <c r="AV92" s="9"/>
      <c r="AW92" s="9"/>
      <c r="AX92" s="9"/>
      <c r="AY92" s="9"/>
      <c r="AZ92" s="9"/>
      <c r="BA92" s="9"/>
      <c r="BB92" s="9"/>
      <c r="BC92" s="9"/>
      <c r="BD92" s="9"/>
      <c r="BE92" s="9"/>
      <c r="BF92" s="9"/>
      <c r="BG92" s="9"/>
      <c r="BH92" s="9"/>
    </row>
    <row r="93" spans="1:60" ht="12.5" hidden="1">
      <c r="A93" s="6" t="s">
        <v>466</v>
      </c>
      <c r="B93" s="16">
        <v>45595</v>
      </c>
      <c r="C93" s="8">
        <v>45604</v>
      </c>
      <c r="D93" s="9" t="s">
        <v>41</v>
      </c>
      <c r="E93" s="9" t="s">
        <v>467</v>
      </c>
      <c r="F93" s="9"/>
      <c r="G93" s="9" t="s">
        <v>43</v>
      </c>
      <c r="H93" s="10">
        <v>16.46</v>
      </c>
      <c r="I93" s="9" t="s">
        <v>44</v>
      </c>
      <c r="J93" s="9" t="s">
        <v>45</v>
      </c>
      <c r="K93" s="9" t="s">
        <v>468</v>
      </c>
      <c r="L93" s="11" t="s">
        <v>47</v>
      </c>
      <c r="M93" s="9" t="s">
        <v>48</v>
      </c>
      <c r="N93" s="9" t="s">
        <v>48</v>
      </c>
      <c r="O93" s="12" t="s">
        <v>469</v>
      </c>
      <c r="P93" s="6" t="s">
        <v>470</v>
      </c>
      <c r="Q93" s="9" t="s">
        <v>471</v>
      </c>
      <c r="R93" s="13">
        <v>1</v>
      </c>
      <c r="S93" s="9" t="s">
        <v>99</v>
      </c>
      <c r="T93" s="9" t="s">
        <v>53</v>
      </c>
      <c r="U93" s="9" t="s">
        <v>54</v>
      </c>
      <c r="V93" s="9" t="s">
        <v>61</v>
      </c>
      <c r="W93" s="9"/>
      <c r="X93" s="9"/>
      <c r="Y93" s="13">
        <v>110.85</v>
      </c>
      <c r="Z93" s="13">
        <v>1</v>
      </c>
      <c r="AA93" s="9"/>
      <c r="AB93" s="9"/>
      <c r="AC93" s="9"/>
      <c r="AD93" s="9"/>
      <c r="AE93" s="9"/>
      <c r="AF93" s="9"/>
      <c r="AG93" s="9"/>
      <c r="AH93" s="9"/>
      <c r="AI93" s="9">
        <v>5</v>
      </c>
      <c r="AJ93" s="9">
        <v>12</v>
      </c>
      <c r="AK93" s="14">
        <f t="shared" si="0"/>
        <v>0.41666666666666669</v>
      </c>
      <c r="AL93" s="9"/>
      <c r="AM93" s="9"/>
      <c r="AN93" s="9"/>
      <c r="AO93" s="6"/>
      <c r="AP93" s="9"/>
      <c r="AQ93" s="9"/>
      <c r="AR93" s="9"/>
      <c r="AS93" s="9"/>
      <c r="AT93" s="9"/>
      <c r="AU93" s="9"/>
      <c r="AV93" s="9"/>
      <c r="AW93" s="9"/>
      <c r="AX93" s="9"/>
      <c r="AY93" s="9"/>
      <c r="AZ93" s="9"/>
      <c r="BA93" s="9"/>
      <c r="BB93" s="9"/>
      <c r="BC93" s="9"/>
      <c r="BD93" s="9"/>
      <c r="BE93" s="9"/>
      <c r="BF93" s="9"/>
      <c r="BG93" s="9"/>
      <c r="BH93" s="9"/>
    </row>
    <row r="94" spans="1:60" ht="12.5" hidden="1">
      <c r="A94" s="6" t="s">
        <v>472</v>
      </c>
      <c r="B94" s="7">
        <v>45600</v>
      </c>
      <c r="C94" s="8">
        <v>45603</v>
      </c>
      <c r="D94" s="9" t="s">
        <v>41</v>
      </c>
      <c r="E94" s="9" t="s">
        <v>473</v>
      </c>
      <c r="F94" s="9"/>
      <c r="G94" s="9" t="s">
        <v>43</v>
      </c>
      <c r="H94" s="10">
        <v>16.46</v>
      </c>
      <c r="I94" s="9" t="s">
        <v>44</v>
      </c>
      <c r="J94" s="9" t="s">
        <v>45</v>
      </c>
      <c r="K94" s="9" t="s">
        <v>474</v>
      </c>
      <c r="L94" s="11" t="s">
        <v>58</v>
      </c>
      <c r="M94" s="9" t="s">
        <v>48</v>
      </c>
      <c r="N94" s="9" t="s">
        <v>48</v>
      </c>
      <c r="O94" s="12" t="s">
        <v>469</v>
      </c>
      <c r="P94" s="6" t="s">
        <v>470</v>
      </c>
      <c r="Q94" s="9" t="s">
        <v>471</v>
      </c>
      <c r="R94" s="13">
        <v>1</v>
      </c>
      <c r="S94" s="9" t="s">
        <v>75</v>
      </c>
      <c r="T94" s="9" t="s">
        <v>53</v>
      </c>
      <c r="U94" s="9" t="s">
        <v>54</v>
      </c>
      <c r="V94" s="9" t="s">
        <v>61</v>
      </c>
      <c r="W94" s="9"/>
      <c r="X94" s="9"/>
      <c r="Y94" s="13">
        <v>109.07</v>
      </c>
      <c r="Z94" s="13">
        <v>1</v>
      </c>
      <c r="AA94" s="9"/>
      <c r="AB94" s="9"/>
      <c r="AC94" s="9"/>
      <c r="AD94" s="9"/>
      <c r="AE94" s="9"/>
      <c r="AF94" s="9"/>
      <c r="AG94" s="9"/>
      <c r="AH94" s="9"/>
      <c r="AI94" s="9"/>
      <c r="AJ94" s="9"/>
      <c r="AK94" s="14" t="e">
        <f t="shared" si="0"/>
        <v>#DIV/0!</v>
      </c>
      <c r="AL94" s="9"/>
      <c r="AM94" s="9"/>
      <c r="AN94" s="9"/>
      <c r="AO94" s="6"/>
      <c r="AP94" s="9"/>
      <c r="AQ94" s="9"/>
      <c r="AR94" s="9"/>
      <c r="AS94" s="9"/>
      <c r="AT94" s="9"/>
      <c r="AU94" s="9"/>
      <c r="AV94" s="9"/>
      <c r="AW94" s="9"/>
      <c r="AX94" s="9"/>
      <c r="AY94" s="9"/>
      <c r="AZ94" s="9"/>
      <c r="BA94" s="9"/>
      <c r="BB94" s="9"/>
      <c r="BC94" s="9"/>
      <c r="BD94" s="9"/>
      <c r="BE94" s="9"/>
      <c r="BF94" s="9"/>
      <c r="BG94" s="9"/>
      <c r="BH94" s="9"/>
    </row>
    <row r="95" spans="1:60" ht="12.5" hidden="1">
      <c r="A95" s="6" t="s">
        <v>475</v>
      </c>
      <c r="B95" s="7">
        <v>45598</v>
      </c>
      <c r="C95" s="8">
        <v>45602</v>
      </c>
      <c r="D95" s="9" t="s">
        <v>41</v>
      </c>
      <c r="E95" s="9" t="s">
        <v>476</v>
      </c>
      <c r="F95" s="9"/>
      <c r="G95" s="9" t="s">
        <v>43</v>
      </c>
      <c r="H95" s="10">
        <v>16.46</v>
      </c>
      <c r="I95" s="9" t="s">
        <v>44</v>
      </c>
      <c r="J95" s="9" t="s">
        <v>45</v>
      </c>
      <c r="K95" s="9" t="s">
        <v>477</v>
      </c>
      <c r="L95" s="11" t="s">
        <v>47</v>
      </c>
      <c r="M95" s="9" t="s">
        <v>48</v>
      </c>
      <c r="N95" s="9" t="s">
        <v>48</v>
      </c>
      <c r="O95" s="12" t="s">
        <v>469</v>
      </c>
      <c r="P95" s="6" t="s">
        <v>470</v>
      </c>
      <c r="Q95" s="9" t="s">
        <v>471</v>
      </c>
      <c r="R95" s="13">
        <v>1</v>
      </c>
      <c r="S95" s="9" t="s">
        <v>82</v>
      </c>
      <c r="T95" s="9" t="s">
        <v>53</v>
      </c>
      <c r="U95" s="9" t="s">
        <v>54</v>
      </c>
      <c r="V95" s="9" t="s">
        <v>55</v>
      </c>
      <c r="W95" s="9"/>
      <c r="X95" s="9"/>
      <c r="Y95" s="13">
        <v>112.08</v>
      </c>
      <c r="Z95" s="13">
        <v>1</v>
      </c>
      <c r="AA95" s="9"/>
      <c r="AB95" s="9"/>
      <c r="AC95" s="9"/>
      <c r="AD95" s="9"/>
      <c r="AE95" s="9"/>
      <c r="AF95" s="13">
        <v>112.08</v>
      </c>
      <c r="AG95" s="9"/>
      <c r="AH95" s="9"/>
      <c r="AI95" s="9"/>
      <c r="AJ95" s="9"/>
      <c r="AK95" s="14" t="e">
        <f t="shared" si="0"/>
        <v>#DIV/0!</v>
      </c>
      <c r="AL95" s="9"/>
      <c r="AM95" s="9"/>
      <c r="AN95" s="9"/>
      <c r="AO95" s="6"/>
      <c r="AP95" s="9"/>
      <c r="AQ95" s="9"/>
      <c r="AR95" s="9"/>
      <c r="AS95" s="9"/>
      <c r="AT95" s="9"/>
      <c r="AU95" s="9"/>
      <c r="AV95" s="9"/>
      <c r="AW95" s="9"/>
      <c r="AX95" s="9"/>
      <c r="AY95" s="9"/>
      <c r="AZ95" s="9"/>
      <c r="BA95" s="9"/>
      <c r="BB95" s="9"/>
      <c r="BC95" s="9"/>
      <c r="BD95" s="9"/>
      <c r="BE95" s="9"/>
      <c r="BF95" s="9"/>
      <c r="BG95" s="9"/>
      <c r="BH95" s="9"/>
    </row>
    <row r="96" spans="1:60" ht="12.5" hidden="1">
      <c r="A96" s="6" t="s">
        <v>478</v>
      </c>
      <c r="B96" s="7">
        <v>45603</v>
      </c>
      <c r="C96" s="8">
        <v>45620</v>
      </c>
      <c r="D96" s="9" t="s">
        <v>41</v>
      </c>
      <c r="E96" s="9" t="s">
        <v>479</v>
      </c>
      <c r="F96" s="9"/>
      <c r="G96" s="9" t="s">
        <v>43</v>
      </c>
      <c r="H96" s="10">
        <v>16.46</v>
      </c>
      <c r="I96" s="9" t="s">
        <v>44</v>
      </c>
      <c r="J96" s="9" t="s">
        <v>45</v>
      </c>
      <c r="K96" s="9" t="s">
        <v>480</v>
      </c>
      <c r="L96" s="11" t="s">
        <v>47</v>
      </c>
      <c r="M96" s="9" t="s">
        <v>48</v>
      </c>
      <c r="N96" s="9" t="s">
        <v>48</v>
      </c>
      <c r="O96" s="12" t="s">
        <v>469</v>
      </c>
      <c r="P96" s="6" t="s">
        <v>470</v>
      </c>
      <c r="Q96" s="9" t="s">
        <v>471</v>
      </c>
      <c r="R96" s="13">
        <v>1</v>
      </c>
      <c r="S96" s="9" t="s">
        <v>99</v>
      </c>
      <c r="T96" s="9" t="s">
        <v>53</v>
      </c>
      <c r="U96" s="9" t="s">
        <v>54</v>
      </c>
      <c r="V96" s="9" t="s">
        <v>61</v>
      </c>
      <c r="W96" s="9"/>
      <c r="X96" s="9"/>
      <c r="Y96" s="13">
        <v>102.89</v>
      </c>
      <c r="Z96" s="13">
        <v>1</v>
      </c>
      <c r="AA96" s="9"/>
      <c r="AB96" s="9"/>
      <c r="AC96" s="9"/>
      <c r="AD96" s="9"/>
      <c r="AE96" s="9"/>
      <c r="AF96" s="9"/>
      <c r="AG96" s="9"/>
      <c r="AH96" s="9"/>
      <c r="AI96" s="9"/>
      <c r="AJ96" s="9"/>
      <c r="AK96" s="14" t="e">
        <f t="shared" si="0"/>
        <v>#DIV/0!</v>
      </c>
      <c r="AL96" s="9"/>
      <c r="AM96" s="9"/>
      <c r="AN96" s="9"/>
      <c r="AO96" s="6"/>
      <c r="AP96" s="9"/>
      <c r="AQ96" s="9"/>
      <c r="AR96" s="9"/>
      <c r="AS96" s="9"/>
      <c r="AT96" s="9"/>
      <c r="AU96" s="9"/>
      <c r="AV96" s="9"/>
      <c r="AW96" s="9"/>
      <c r="AX96" s="9"/>
      <c r="AY96" s="9"/>
      <c r="AZ96" s="9"/>
      <c r="BA96" s="9"/>
      <c r="BB96" s="9"/>
      <c r="BC96" s="9"/>
      <c r="BD96" s="9"/>
      <c r="BE96" s="9"/>
      <c r="BF96" s="9"/>
      <c r="BG96" s="9"/>
      <c r="BH96" s="9"/>
    </row>
    <row r="97" spans="1:60" ht="12.5" hidden="1">
      <c r="A97" s="6" t="s">
        <v>481</v>
      </c>
      <c r="B97" s="16">
        <v>45608</v>
      </c>
      <c r="C97" s="8">
        <v>45612</v>
      </c>
      <c r="D97" s="9" t="s">
        <v>41</v>
      </c>
      <c r="E97" s="9" t="s">
        <v>482</v>
      </c>
      <c r="F97" s="9"/>
      <c r="G97" s="9" t="s">
        <v>43</v>
      </c>
      <c r="H97" s="10">
        <v>16.46</v>
      </c>
      <c r="I97" s="9" t="s">
        <v>44</v>
      </c>
      <c r="J97" s="9" t="s">
        <v>45</v>
      </c>
      <c r="K97" s="9" t="s">
        <v>483</v>
      </c>
      <c r="L97" s="11" t="s">
        <v>58</v>
      </c>
      <c r="M97" s="9" t="s">
        <v>48</v>
      </c>
      <c r="N97" s="9" t="s">
        <v>48</v>
      </c>
      <c r="O97" s="12" t="s">
        <v>469</v>
      </c>
      <c r="P97" s="6" t="s">
        <v>470</v>
      </c>
      <c r="Q97" s="9" t="s">
        <v>471</v>
      </c>
      <c r="R97" s="13">
        <v>1</v>
      </c>
      <c r="S97" s="9" t="s">
        <v>68</v>
      </c>
      <c r="T97" s="9" t="s">
        <v>53</v>
      </c>
      <c r="U97" s="9" t="s">
        <v>54</v>
      </c>
      <c r="V97" s="9" t="s">
        <v>61</v>
      </c>
      <c r="W97" s="9"/>
      <c r="X97" s="9"/>
      <c r="Y97" s="13">
        <v>109.32</v>
      </c>
      <c r="Z97" s="13">
        <v>1</v>
      </c>
      <c r="AA97" s="9"/>
      <c r="AB97" s="9"/>
      <c r="AC97" s="9"/>
      <c r="AD97" s="9"/>
      <c r="AE97" s="9"/>
      <c r="AF97" s="9"/>
      <c r="AG97" s="9"/>
      <c r="AH97" s="9"/>
      <c r="AI97" s="9"/>
      <c r="AJ97" s="9"/>
      <c r="AK97" s="14" t="e">
        <f t="shared" si="0"/>
        <v>#DIV/0!</v>
      </c>
      <c r="AL97" s="9"/>
      <c r="AM97" s="9"/>
      <c r="AN97" s="9"/>
      <c r="AO97" s="6"/>
      <c r="AP97" s="9"/>
      <c r="AQ97" s="9"/>
      <c r="AR97" s="9"/>
      <c r="AS97" s="9"/>
      <c r="AT97" s="9"/>
      <c r="AU97" s="9"/>
      <c r="AV97" s="9"/>
      <c r="AW97" s="9"/>
      <c r="AX97" s="9"/>
      <c r="AY97" s="9"/>
      <c r="AZ97" s="9"/>
      <c r="BA97" s="9"/>
      <c r="BB97" s="9"/>
      <c r="BC97" s="9"/>
      <c r="BD97" s="9"/>
      <c r="BE97" s="9"/>
      <c r="BF97" s="9"/>
      <c r="BG97" s="9"/>
      <c r="BH97" s="9"/>
    </row>
    <row r="98" spans="1:60" ht="12.5" hidden="1">
      <c r="A98" s="6" t="s">
        <v>484</v>
      </c>
      <c r="B98" s="16">
        <v>45405</v>
      </c>
      <c r="C98" s="8">
        <v>45603</v>
      </c>
      <c r="D98" s="9" t="s">
        <v>485</v>
      </c>
      <c r="E98" s="9"/>
      <c r="F98" s="9"/>
      <c r="G98" s="9"/>
      <c r="H98" s="15"/>
      <c r="I98" s="9"/>
      <c r="J98" s="9"/>
      <c r="K98" s="9"/>
      <c r="L98" s="11" t="s">
        <v>58</v>
      </c>
      <c r="M98" s="9" t="s">
        <v>48</v>
      </c>
      <c r="N98" s="9" t="s">
        <v>48</v>
      </c>
      <c r="O98" s="12" t="s">
        <v>486</v>
      </c>
      <c r="P98" s="6" t="s">
        <v>487</v>
      </c>
      <c r="Q98" s="9" t="s">
        <v>488</v>
      </c>
      <c r="R98" s="13">
        <v>1</v>
      </c>
      <c r="S98" s="9" t="s">
        <v>59</v>
      </c>
      <c r="T98" s="9" t="s">
        <v>48</v>
      </c>
      <c r="U98" s="9" t="s">
        <v>60</v>
      </c>
      <c r="V98" s="9" t="s">
        <v>61</v>
      </c>
      <c r="W98" s="9"/>
      <c r="X98" s="9"/>
      <c r="Y98" s="13">
        <v>114.42</v>
      </c>
      <c r="Z98" s="9"/>
      <c r="AA98" s="9"/>
      <c r="AB98" s="9"/>
      <c r="AC98" s="9"/>
      <c r="AD98" s="9"/>
      <c r="AE98" s="9"/>
      <c r="AF98" s="9"/>
      <c r="AG98" s="9"/>
      <c r="AH98" s="9"/>
      <c r="AI98" s="9">
        <v>3</v>
      </c>
      <c r="AJ98" s="9">
        <v>7</v>
      </c>
      <c r="AK98" s="14">
        <f t="shared" si="0"/>
        <v>0.42857142857142855</v>
      </c>
      <c r="AL98" s="9"/>
      <c r="AM98" s="9"/>
      <c r="AN98" s="9"/>
      <c r="AO98" s="6"/>
      <c r="AP98" s="9"/>
      <c r="AQ98" s="9"/>
      <c r="AR98" s="9"/>
      <c r="AS98" s="9"/>
      <c r="AT98" s="9"/>
      <c r="AU98" s="9"/>
      <c r="AV98" s="9"/>
      <c r="AW98" s="9"/>
      <c r="AX98" s="9"/>
      <c r="AY98" s="9"/>
      <c r="AZ98" s="9"/>
      <c r="BA98" s="9"/>
      <c r="BB98" s="9"/>
      <c r="BC98" s="9"/>
      <c r="BD98" s="9"/>
      <c r="BE98" s="9"/>
      <c r="BF98" s="9"/>
      <c r="BG98" s="9"/>
      <c r="BH98" s="9"/>
    </row>
    <row r="99" spans="1:60" ht="12.5" hidden="1">
      <c r="A99" s="6" t="s">
        <v>489</v>
      </c>
      <c r="B99" s="16">
        <v>45610</v>
      </c>
      <c r="C99" s="8">
        <v>45623</v>
      </c>
      <c r="D99" s="9" t="s">
        <v>41</v>
      </c>
      <c r="E99" s="9" t="s">
        <v>490</v>
      </c>
      <c r="F99" s="9"/>
      <c r="G99" s="9" t="s">
        <v>43</v>
      </c>
      <c r="H99" s="10">
        <v>12.63</v>
      </c>
      <c r="I99" s="9" t="s">
        <v>44</v>
      </c>
      <c r="J99" s="9" t="s">
        <v>45</v>
      </c>
      <c r="K99" s="9" t="s">
        <v>491</v>
      </c>
      <c r="L99" s="11" t="s">
        <v>47</v>
      </c>
      <c r="M99" s="9" t="s">
        <v>48</v>
      </c>
      <c r="N99" s="9" t="s">
        <v>48</v>
      </c>
      <c r="O99" s="12" t="s">
        <v>486</v>
      </c>
      <c r="P99" s="6" t="s">
        <v>487</v>
      </c>
      <c r="Q99" s="9" t="s">
        <v>488</v>
      </c>
      <c r="R99" s="13">
        <v>1</v>
      </c>
      <c r="S99" s="9" t="s">
        <v>99</v>
      </c>
      <c r="T99" s="9" t="s">
        <v>53</v>
      </c>
      <c r="U99" s="9" t="s">
        <v>54</v>
      </c>
      <c r="V99" s="9" t="s">
        <v>55</v>
      </c>
      <c r="W99" s="9"/>
      <c r="X99" s="9"/>
      <c r="Y99" s="13">
        <v>96.96</v>
      </c>
      <c r="Z99" s="13">
        <v>1</v>
      </c>
      <c r="AA99" s="9"/>
      <c r="AB99" s="9"/>
      <c r="AC99" s="9"/>
      <c r="AD99" s="9"/>
      <c r="AE99" s="9"/>
      <c r="AF99" s="13">
        <v>96.96</v>
      </c>
      <c r="AG99" s="9"/>
      <c r="AH99" s="9"/>
      <c r="AI99" s="9"/>
      <c r="AJ99" s="9"/>
      <c r="AK99" s="14" t="e">
        <f t="shared" si="0"/>
        <v>#DIV/0!</v>
      </c>
      <c r="AL99" s="9"/>
      <c r="AM99" s="9"/>
      <c r="AN99" s="9"/>
      <c r="AO99" s="6"/>
      <c r="AP99" s="9"/>
      <c r="AQ99" s="9"/>
      <c r="AR99" s="9"/>
      <c r="AS99" s="9"/>
      <c r="AT99" s="9"/>
      <c r="AU99" s="9"/>
      <c r="AV99" s="9"/>
      <c r="AW99" s="9"/>
      <c r="AX99" s="9"/>
      <c r="AY99" s="9"/>
      <c r="AZ99" s="9"/>
      <c r="BA99" s="9"/>
      <c r="BB99" s="9"/>
      <c r="BC99" s="9"/>
      <c r="BD99" s="9"/>
      <c r="BE99" s="9"/>
      <c r="BF99" s="9"/>
      <c r="BG99" s="9"/>
      <c r="BH99" s="9"/>
    </row>
    <row r="100" spans="1:60" ht="12.5" hidden="1">
      <c r="A100" s="6" t="s">
        <v>492</v>
      </c>
      <c r="B100" s="16">
        <v>45618</v>
      </c>
      <c r="C100" s="8">
        <v>45620</v>
      </c>
      <c r="D100" s="9" t="s">
        <v>41</v>
      </c>
      <c r="E100" s="9" t="s">
        <v>493</v>
      </c>
      <c r="F100" s="9"/>
      <c r="G100" s="9" t="s">
        <v>43</v>
      </c>
      <c r="H100" s="10">
        <v>12.63</v>
      </c>
      <c r="I100" s="9" t="s">
        <v>44</v>
      </c>
      <c r="J100" s="9" t="s">
        <v>45</v>
      </c>
      <c r="K100" s="9" t="s">
        <v>494</v>
      </c>
      <c r="L100" s="11" t="s">
        <v>47</v>
      </c>
      <c r="M100" s="9" t="s">
        <v>48</v>
      </c>
      <c r="N100" s="9" t="s">
        <v>48</v>
      </c>
      <c r="O100" s="12" t="s">
        <v>486</v>
      </c>
      <c r="P100" s="6" t="s">
        <v>487</v>
      </c>
      <c r="Q100" s="9" t="s">
        <v>488</v>
      </c>
      <c r="R100" s="13">
        <v>1</v>
      </c>
      <c r="S100" s="9" t="s">
        <v>92</v>
      </c>
      <c r="T100" s="9" t="s">
        <v>53</v>
      </c>
      <c r="U100" s="9" t="s">
        <v>54</v>
      </c>
      <c r="V100" s="9" t="s">
        <v>55</v>
      </c>
      <c r="W100" s="9"/>
      <c r="X100" s="9"/>
      <c r="Y100" s="13">
        <v>115.38</v>
      </c>
      <c r="Z100" s="13">
        <v>1</v>
      </c>
      <c r="AA100" s="9"/>
      <c r="AB100" s="9"/>
      <c r="AC100" s="9"/>
      <c r="AD100" s="9"/>
      <c r="AE100" s="9"/>
      <c r="AF100" s="13">
        <v>115.38</v>
      </c>
      <c r="AG100" s="9"/>
      <c r="AH100" s="9"/>
      <c r="AI100" s="9"/>
      <c r="AJ100" s="9"/>
      <c r="AK100" s="14" t="e">
        <f t="shared" si="0"/>
        <v>#DIV/0!</v>
      </c>
      <c r="AL100" s="9"/>
      <c r="AM100" s="9"/>
      <c r="AN100" s="9"/>
      <c r="AO100" s="6"/>
      <c r="AP100" s="9"/>
      <c r="AQ100" s="9"/>
      <c r="AR100" s="9"/>
      <c r="AS100" s="9"/>
      <c r="AT100" s="9"/>
      <c r="AU100" s="9"/>
      <c r="AV100" s="9"/>
      <c r="AW100" s="9"/>
      <c r="AX100" s="9"/>
      <c r="AY100" s="9"/>
      <c r="AZ100" s="9"/>
      <c r="BA100" s="9"/>
      <c r="BB100" s="9"/>
      <c r="BC100" s="9"/>
      <c r="BD100" s="9"/>
      <c r="BE100" s="9"/>
      <c r="BF100" s="9"/>
      <c r="BG100" s="9"/>
      <c r="BH100" s="9"/>
    </row>
    <row r="101" spans="1:60" ht="12.5" hidden="1">
      <c r="A101" s="6" t="s">
        <v>495</v>
      </c>
      <c r="B101" s="16">
        <v>45586</v>
      </c>
      <c r="C101" s="8">
        <v>45601</v>
      </c>
      <c r="D101" s="9" t="s">
        <v>41</v>
      </c>
      <c r="E101" s="9" t="s">
        <v>496</v>
      </c>
      <c r="F101" s="9"/>
      <c r="G101" s="9" t="s">
        <v>43</v>
      </c>
      <c r="H101" s="10">
        <v>13.9</v>
      </c>
      <c r="I101" s="9" t="s">
        <v>44</v>
      </c>
      <c r="J101" s="9" t="s">
        <v>45</v>
      </c>
      <c r="K101" s="9" t="s">
        <v>497</v>
      </c>
      <c r="L101" s="11" t="s">
        <v>58</v>
      </c>
      <c r="M101" s="9" t="s">
        <v>48</v>
      </c>
      <c r="N101" s="9" t="s">
        <v>48</v>
      </c>
      <c r="O101" s="12" t="s">
        <v>498</v>
      </c>
      <c r="P101" s="6" t="s">
        <v>499</v>
      </c>
      <c r="Q101" s="9" t="s">
        <v>500</v>
      </c>
      <c r="R101" s="13">
        <v>1</v>
      </c>
      <c r="S101" s="9" t="s">
        <v>75</v>
      </c>
      <c r="T101" s="9" t="s">
        <v>53</v>
      </c>
      <c r="U101" s="9" t="s">
        <v>54</v>
      </c>
      <c r="V101" s="9" t="s">
        <v>240</v>
      </c>
      <c r="W101" s="9"/>
      <c r="X101" s="9"/>
      <c r="Y101" s="13">
        <v>126.25</v>
      </c>
      <c r="Z101" s="13">
        <v>1</v>
      </c>
      <c r="AA101" s="9"/>
      <c r="AB101" s="9"/>
      <c r="AC101" s="9"/>
      <c r="AD101" s="9"/>
      <c r="AE101" s="9"/>
      <c r="AF101" s="13">
        <v>90.62</v>
      </c>
      <c r="AG101" s="9"/>
      <c r="AH101" s="9"/>
      <c r="AI101" s="9">
        <v>1</v>
      </c>
      <c r="AJ101" s="9">
        <v>5</v>
      </c>
      <c r="AK101" s="14">
        <f t="shared" si="0"/>
        <v>0.2</v>
      </c>
      <c r="AL101" s="9"/>
      <c r="AM101" s="9"/>
      <c r="AN101" s="9"/>
      <c r="AO101" s="6"/>
      <c r="AP101" s="9"/>
      <c r="AQ101" s="9"/>
      <c r="AR101" s="9"/>
      <c r="AS101" s="9"/>
      <c r="AT101" s="9"/>
      <c r="AU101" s="9"/>
      <c r="AV101" s="9"/>
      <c r="AW101" s="9"/>
      <c r="AX101" s="9"/>
      <c r="AY101" s="9"/>
      <c r="AZ101" s="9"/>
      <c r="BA101" s="9"/>
      <c r="BB101" s="9"/>
      <c r="BC101" s="9"/>
      <c r="BD101" s="9"/>
      <c r="BE101" s="9"/>
      <c r="BF101" s="9"/>
      <c r="BG101" s="9"/>
      <c r="BH101" s="9"/>
    </row>
    <row r="102" spans="1:60" ht="12.5" hidden="1">
      <c r="A102" s="6" t="s">
        <v>501</v>
      </c>
      <c r="B102" s="16">
        <v>45606</v>
      </c>
      <c r="C102" s="8">
        <v>45609</v>
      </c>
      <c r="D102" s="9" t="s">
        <v>41</v>
      </c>
      <c r="E102" s="9" t="s">
        <v>502</v>
      </c>
      <c r="F102" s="9"/>
      <c r="G102" s="9" t="s">
        <v>137</v>
      </c>
      <c r="H102" s="10">
        <v>0</v>
      </c>
      <c r="I102" s="9"/>
      <c r="J102" s="9"/>
      <c r="K102" s="9"/>
      <c r="L102" s="11" t="s">
        <v>47</v>
      </c>
      <c r="M102" s="9" t="s">
        <v>48</v>
      </c>
      <c r="N102" s="9" t="s">
        <v>48</v>
      </c>
      <c r="O102" s="12" t="s">
        <v>503</v>
      </c>
      <c r="P102" s="6" t="s">
        <v>504</v>
      </c>
      <c r="Q102" s="9" t="s">
        <v>505</v>
      </c>
      <c r="R102" s="13">
        <v>1</v>
      </c>
      <c r="S102" s="9" t="s">
        <v>52</v>
      </c>
      <c r="T102" s="9" t="s">
        <v>53</v>
      </c>
      <c r="U102" s="9" t="s">
        <v>54</v>
      </c>
      <c r="V102" s="9" t="s">
        <v>61</v>
      </c>
      <c r="W102" s="9"/>
      <c r="X102" s="9"/>
      <c r="Y102" s="13">
        <v>145.79</v>
      </c>
      <c r="Z102" s="13">
        <v>1</v>
      </c>
      <c r="AA102" s="9"/>
      <c r="AB102" s="9"/>
      <c r="AC102" s="9"/>
      <c r="AD102" s="9"/>
      <c r="AE102" s="9"/>
      <c r="AF102" s="9"/>
      <c r="AG102" s="9"/>
      <c r="AH102" s="9"/>
      <c r="AI102" s="9">
        <v>2</v>
      </c>
      <c r="AJ102" s="9">
        <v>4</v>
      </c>
      <c r="AK102" s="14">
        <f t="shared" si="0"/>
        <v>0.5</v>
      </c>
      <c r="AL102" s="9"/>
      <c r="AM102" s="9"/>
      <c r="AN102" s="9"/>
      <c r="AO102" s="6"/>
      <c r="AP102" s="9"/>
      <c r="AQ102" s="9"/>
      <c r="AR102" s="9"/>
      <c r="AS102" s="9"/>
      <c r="AT102" s="9"/>
      <c r="AU102" s="9"/>
      <c r="AV102" s="9"/>
      <c r="AW102" s="9"/>
      <c r="AX102" s="9"/>
      <c r="AY102" s="9"/>
      <c r="AZ102" s="9"/>
      <c r="BA102" s="9"/>
      <c r="BB102" s="9"/>
      <c r="BC102" s="9"/>
      <c r="BD102" s="9"/>
      <c r="BE102" s="9"/>
      <c r="BF102" s="9"/>
      <c r="BG102" s="9"/>
      <c r="BH102" s="9"/>
    </row>
    <row r="103" spans="1:60" ht="12.5" hidden="1">
      <c r="A103" s="6" t="s">
        <v>506</v>
      </c>
      <c r="B103" s="16">
        <v>45593</v>
      </c>
      <c r="C103" s="8">
        <v>45599</v>
      </c>
      <c r="D103" s="9" t="s">
        <v>41</v>
      </c>
      <c r="E103" s="9" t="s">
        <v>507</v>
      </c>
      <c r="F103" s="9"/>
      <c r="G103" s="9" t="s">
        <v>137</v>
      </c>
      <c r="H103" s="10">
        <v>0</v>
      </c>
      <c r="I103" s="9"/>
      <c r="J103" s="9"/>
      <c r="K103" s="9"/>
      <c r="L103" s="11" t="s">
        <v>58</v>
      </c>
      <c r="M103" s="9" t="s">
        <v>48</v>
      </c>
      <c r="N103" s="9" t="s">
        <v>48</v>
      </c>
      <c r="O103" s="12" t="s">
        <v>503</v>
      </c>
      <c r="P103" s="6" t="s">
        <v>504</v>
      </c>
      <c r="Q103" s="9" t="s">
        <v>505</v>
      </c>
      <c r="R103" s="13">
        <v>1</v>
      </c>
      <c r="S103" s="9" t="s">
        <v>75</v>
      </c>
      <c r="T103" s="9" t="s">
        <v>53</v>
      </c>
      <c r="U103" s="9" t="s">
        <v>54</v>
      </c>
      <c r="V103" s="9" t="s">
        <v>61</v>
      </c>
      <c r="W103" s="9"/>
      <c r="X103" s="9"/>
      <c r="Y103" s="13">
        <v>144.63</v>
      </c>
      <c r="Z103" s="13">
        <v>1</v>
      </c>
      <c r="AA103" s="9"/>
      <c r="AB103" s="9"/>
      <c r="AC103" s="9"/>
      <c r="AD103" s="9"/>
      <c r="AE103" s="9"/>
      <c r="AF103" s="13">
        <v>124.68</v>
      </c>
      <c r="AG103" s="9"/>
      <c r="AH103" s="9"/>
      <c r="AI103" s="9"/>
      <c r="AJ103" s="9"/>
      <c r="AK103" s="14" t="e">
        <f t="shared" si="0"/>
        <v>#DIV/0!</v>
      </c>
      <c r="AL103" s="9"/>
      <c r="AM103" s="9"/>
      <c r="AN103" s="9"/>
      <c r="AO103" s="6"/>
      <c r="AP103" s="9"/>
      <c r="AQ103" s="9"/>
      <c r="AR103" s="9"/>
      <c r="AS103" s="9"/>
      <c r="AT103" s="9"/>
      <c r="AU103" s="9"/>
      <c r="AV103" s="9"/>
      <c r="AW103" s="9"/>
      <c r="AX103" s="9"/>
      <c r="AY103" s="9"/>
      <c r="AZ103" s="9"/>
      <c r="BA103" s="9"/>
      <c r="BB103" s="9"/>
      <c r="BC103" s="9"/>
      <c r="BD103" s="9"/>
      <c r="BE103" s="9"/>
      <c r="BF103" s="9"/>
      <c r="BG103" s="9"/>
      <c r="BH103" s="9"/>
    </row>
    <row r="104" spans="1:60" ht="12.5" hidden="1">
      <c r="A104" s="6" t="s">
        <v>508</v>
      </c>
      <c r="B104" s="16">
        <v>45620</v>
      </c>
      <c r="C104" s="8">
        <v>45626</v>
      </c>
      <c r="D104" s="9" t="s">
        <v>41</v>
      </c>
      <c r="E104" s="9" t="s">
        <v>509</v>
      </c>
      <c r="F104" s="9"/>
      <c r="G104" s="9" t="s">
        <v>43</v>
      </c>
      <c r="H104" s="17">
        <v>68.09</v>
      </c>
      <c r="I104" s="9" t="s">
        <v>44</v>
      </c>
      <c r="J104" s="9" t="s">
        <v>45</v>
      </c>
      <c r="K104" s="9" t="s">
        <v>510</v>
      </c>
      <c r="L104" s="11" t="s">
        <v>47</v>
      </c>
      <c r="M104" s="9" t="s">
        <v>48</v>
      </c>
      <c r="N104" s="9" t="s">
        <v>48</v>
      </c>
      <c r="O104" s="12" t="s">
        <v>511</v>
      </c>
      <c r="P104" s="6" t="s">
        <v>512</v>
      </c>
      <c r="Q104" s="9" t="s">
        <v>513</v>
      </c>
      <c r="R104" s="13">
        <v>1</v>
      </c>
      <c r="S104" s="9" t="s">
        <v>99</v>
      </c>
      <c r="T104" s="9" t="s">
        <v>53</v>
      </c>
      <c r="U104" s="9" t="s">
        <v>54</v>
      </c>
      <c r="V104" s="9" t="s">
        <v>61</v>
      </c>
      <c r="W104" s="9"/>
      <c r="X104" s="9"/>
      <c r="Y104" s="13">
        <v>72.930000000000007</v>
      </c>
      <c r="Z104" s="13">
        <v>1</v>
      </c>
      <c r="AA104" s="9"/>
      <c r="AB104" s="9"/>
      <c r="AC104" s="9"/>
      <c r="AD104" s="9"/>
      <c r="AE104" s="9"/>
      <c r="AF104" s="9"/>
      <c r="AG104" s="9"/>
      <c r="AH104" s="9"/>
      <c r="AI104" s="9">
        <v>1</v>
      </c>
      <c r="AJ104" s="9">
        <v>36</v>
      </c>
      <c r="AK104" s="14">
        <f t="shared" si="0"/>
        <v>2.7777777777777776E-2</v>
      </c>
      <c r="AL104" s="9"/>
      <c r="AM104" s="9"/>
      <c r="AN104" s="9"/>
      <c r="AO104" s="6"/>
      <c r="AP104" s="9"/>
      <c r="AQ104" s="9"/>
      <c r="AR104" s="9"/>
      <c r="AS104" s="9"/>
      <c r="AT104" s="9"/>
      <c r="AU104" s="9"/>
      <c r="AV104" s="9"/>
      <c r="AW104" s="9"/>
      <c r="AX104" s="9"/>
      <c r="AY104" s="9"/>
      <c r="AZ104" s="9"/>
      <c r="BA104" s="9"/>
      <c r="BB104" s="9"/>
      <c r="BC104" s="9"/>
      <c r="BD104" s="9"/>
      <c r="BE104" s="9"/>
      <c r="BF104" s="9"/>
      <c r="BG104" s="9"/>
      <c r="BH104" s="9"/>
    </row>
    <row r="105" spans="1:60" ht="12.5" hidden="1">
      <c r="A105" s="6" t="s">
        <v>514</v>
      </c>
      <c r="B105" s="16">
        <v>45607</v>
      </c>
      <c r="C105" s="8">
        <v>45611</v>
      </c>
      <c r="D105" s="9" t="s">
        <v>41</v>
      </c>
      <c r="E105" s="9" t="s">
        <v>515</v>
      </c>
      <c r="F105" s="9"/>
      <c r="G105" s="9" t="s">
        <v>43</v>
      </c>
      <c r="H105" s="10">
        <v>10.69</v>
      </c>
      <c r="I105" s="9" t="s">
        <v>44</v>
      </c>
      <c r="J105" s="9" t="s">
        <v>45</v>
      </c>
      <c r="K105" s="9" t="s">
        <v>516</v>
      </c>
      <c r="L105" s="11" t="s">
        <v>47</v>
      </c>
      <c r="M105" s="9" t="s">
        <v>48</v>
      </c>
      <c r="N105" s="9" t="s">
        <v>48</v>
      </c>
      <c r="O105" s="12" t="s">
        <v>517</v>
      </c>
      <c r="P105" s="6" t="s">
        <v>518</v>
      </c>
      <c r="Q105" s="9" t="s">
        <v>519</v>
      </c>
      <c r="R105" s="13">
        <v>1</v>
      </c>
      <c r="S105" s="9" t="s">
        <v>99</v>
      </c>
      <c r="T105" s="9" t="s">
        <v>53</v>
      </c>
      <c r="U105" s="9" t="s">
        <v>54</v>
      </c>
      <c r="V105" s="9" t="s">
        <v>61</v>
      </c>
      <c r="W105" s="9"/>
      <c r="X105" s="9"/>
      <c r="Y105" s="13">
        <v>72.7</v>
      </c>
      <c r="Z105" s="13">
        <v>1</v>
      </c>
      <c r="AA105" s="9"/>
      <c r="AB105" s="9"/>
      <c r="AC105" s="9"/>
      <c r="AD105" s="9"/>
      <c r="AE105" s="9"/>
      <c r="AF105" s="9"/>
      <c r="AG105" s="9"/>
      <c r="AH105" s="9"/>
      <c r="AI105" s="13">
        <v>2</v>
      </c>
      <c r="AJ105" s="13">
        <v>14</v>
      </c>
      <c r="AK105" s="14">
        <f t="shared" si="0"/>
        <v>0.14285714285714285</v>
      </c>
      <c r="AL105" s="9"/>
      <c r="AM105" s="9"/>
      <c r="AN105" s="9"/>
      <c r="AO105" s="6"/>
      <c r="AP105" s="9"/>
      <c r="AQ105" s="9"/>
      <c r="AR105" s="9"/>
      <c r="AS105" s="9"/>
      <c r="AT105" s="9"/>
      <c r="AU105" s="9"/>
      <c r="AV105" s="9"/>
      <c r="AW105" s="9"/>
      <c r="AX105" s="9"/>
      <c r="AY105" s="9"/>
      <c r="AZ105" s="9"/>
      <c r="BA105" s="9"/>
      <c r="BB105" s="9"/>
      <c r="BC105" s="9"/>
      <c r="BD105" s="9"/>
      <c r="BE105" s="9"/>
      <c r="BF105" s="9"/>
      <c r="BG105" s="9"/>
    </row>
    <row r="106" spans="1:60" ht="12.5" hidden="1">
      <c r="A106" s="6" t="s">
        <v>520</v>
      </c>
      <c r="B106" s="16">
        <v>45592</v>
      </c>
      <c r="C106" s="8">
        <v>45602</v>
      </c>
      <c r="D106" s="9" t="s">
        <v>41</v>
      </c>
      <c r="E106" s="9" t="s">
        <v>521</v>
      </c>
      <c r="F106" s="9"/>
      <c r="G106" s="9" t="s">
        <v>43</v>
      </c>
      <c r="H106" s="10">
        <v>10.69</v>
      </c>
      <c r="I106" s="9" t="s">
        <v>44</v>
      </c>
      <c r="J106" s="9" t="s">
        <v>45</v>
      </c>
      <c r="K106" s="9" t="s">
        <v>522</v>
      </c>
      <c r="L106" s="11" t="s">
        <v>58</v>
      </c>
      <c r="M106" s="9" t="s">
        <v>48</v>
      </c>
      <c r="N106" s="9" t="s">
        <v>48</v>
      </c>
      <c r="O106" s="12" t="s">
        <v>517</v>
      </c>
      <c r="P106" s="6" t="s">
        <v>518</v>
      </c>
      <c r="Q106" s="9" t="s">
        <v>519</v>
      </c>
      <c r="R106" s="13">
        <v>1</v>
      </c>
      <c r="S106" s="9" t="s">
        <v>75</v>
      </c>
      <c r="T106" s="9" t="s">
        <v>53</v>
      </c>
      <c r="U106" s="9" t="s">
        <v>54</v>
      </c>
      <c r="V106" s="9" t="s">
        <v>61</v>
      </c>
      <c r="W106" s="9"/>
      <c r="X106" s="9"/>
      <c r="Y106" s="13">
        <v>71.790000000000006</v>
      </c>
      <c r="Z106" s="13">
        <v>1</v>
      </c>
      <c r="AA106" s="9"/>
      <c r="AB106" s="9"/>
      <c r="AC106" s="9"/>
      <c r="AD106" s="9"/>
      <c r="AE106" s="9"/>
      <c r="AF106" s="9"/>
      <c r="AG106" s="9"/>
      <c r="AH106" s="9"/>
      <c r="AI106" s="9"/>
      <c r="AJ106" s="9"/>
      <c r="AK106" s="14" t="e">
        <f t="shared" si="0"/>
        <v>#DIV/0!</v>
      </c>
      <c r="AL106" s="9"/>
      <c r="AM106" s="9"/>
      <c r="AN106" s="9"/>
      <c r="AO106" s="6"/>
      <c r="AP106" s="9"/>
      <c r="AQ106" s="9"/>
      <c r="AR106" s="9"/>
      <c r="AS106" s="9"/>
      <c r="AT106" s="9"/>
      <c r="AU106" s="9"/>
      <c r="AV106" s="9"/>
      <c r="AW106" s="9"/>
      <c r="AX106" s="9"/>
      <c r="AY106" s="9"/>
      <c r="AZ106" s="9"/>
      <c r="BA106" s="9"/>
      <c r="BB106" s="9"/>
      <c r="BC106" s="9"/>
      <c r="BD106" s="9"/>
      <c r="BE106" s="9"/>
      <c r="BF106" s="9"/>
      <c r="BG106" s="9"/>
      <c r="BH106" s="9"/>
    </row>
    <row r="107" spans="1:60" ht="12.5" hidden="1">
      <c r="A107" s="6" t="s">
        <v>523</v>
      </c>
      <c r="B107" s="16">
        <v>45594</v>
      </c>
      <c r="C107" s="8">
        <v>45607</v>
      </c>
      <c r="D107" s="9" t="s">
        <v>41</v>
      </c>
      <c r="E107" s="9" t="s">
        <v>524</v>
      </c>
      <c r="F107" s="9"/>
      <c r="G107" s="9" t="s">
        <v>43</v>
      </c>
      <c r="H107" s="10">
        <v>12.17</v>
      </c>
      <c r="I107" s="9" t="s">
        <v>44</v>
      </c>
      <c r="J107" s="9" t="s">
        <v>45</v>
      </c>
      <c r="K107" s="9" t="s">
        <v>525</v>
      </c>
      <c r="L107" s="11" t="s">
        <v>47</v>
      </c>
      <c r="M107" s="9" t="s">
        <v>48</v>
      </c>
      <c r="N107" s="9" t="s">
        <v>48</v>
      </c>
      <c r="O107" s="12" t="s">
        <v>526</v>
      </c>
      <c r="P107" s="6" t="s">
        <v>527</v>
      </c>
      <c r="Q107" s="9" t="s">
        <v>528</v>
      </c>
      <c r="R107" s="13">
        <v>1</v>
      </c>
      <c r="S107" s="9" t="s">
        <v>52</v>
      </c>
      <c r="T107" s="9" t="s">
        <v>53</v>
      </c>
      <c r="U107" s="9" t="s">
        <v>54</v>
      </c>
      <c r="V107" s="9" t="s">
        <v>55</v>
      </c>
      <c r="W107" s="9"/>
      <c r="X107" s="9"/>
      <c r="Y107" s="13">
        <v>64.88</v>
      </c>
      <c r="Z107" s="13">
        <v>1</v>
      </c>
      <c r="AA107" s="9"/>
      <c r="AB107" s="9"/>
      <c r="AC107" s="9"/>
      <c r="AD107" s="9"/>
      <c r="AE107" s="9"/>
      <c r="AF107" s="13">
        <v>64.88</v>
      </c>
      <c r="AG107" s="9"/>
      <c r="AH107" s="9"/>
      <c r="AI107" s="9">
        <v>1</v>
      </c>
      <c r="AJ107" s="9">
        <v>46</v>
      </c>
      <c r="AK107" s="14">
        <f t="shared" si="0"/>
        <v>2.1739130434782608E-2</v>
      </c>
      <c r="AL107" s="9"/>
      <c r="AM107" s="9"/>
      <c r="AN107" s="9"/>
      <c r="AO107" s="6"/>
      <c r="AP107" s="9"/>
      <c r="AQ107" s="9"/>
      <c r="AR107" s="9"/>
      <c r="AS107" s="9"/>
      <c r="AT107" s="9"/>
      <c r="AU107" s="9"/>
      <c r="AV107" s="9"/>
      <c r="AW107" s="9"/>
      <c r="AX107" s="9"/>
      <c r="AY107" s="9"/>
      <c r="AZ107" s="9"/>
      <c r="BA107" s="9"/>
      <c r="BB107" s="9"/>
      <c r="BC107" s="9"/>
      <c r="BD107" s="9"/>
      <c r="BE107" s="9"/>
      <c r="BF107" s="9"/>
      <c r="BG107" s="9"/>
      <c r="BH107" s="9"/>
    </row>
    <row r="108" spans="1:60" ht="12.5" hidden="1">
      <c r="A108" s="6" t="s">
        <v>529</v>
      </c>
      <c r="B108" s="7">
        <v>45598</v>
      </c>
      <c r="C108" s="8">
        <v>45606</v>
      </c>
      <c r="D108" s="9" t="s">
        <v>41</v>
      </c>
      <c r="E108" s="9"/>
      <c r="F108" s="9"/>
      <c r="G108" s="9" t="s">
        <v>137</v>
      </c>
      <c r="H108" s="10">
        <v>0</v>
      </c>
      <c r="I108" s="9"/>
      <c r="J108" s="9"/>
      <c r="K108" s="9"/>
      <c r="L108" s="11" t="s">
        <v>58</v>
      </c>
      <c r="M108" s="9" t="s">
        <v>48</v>
      </c>
      <c r="N108" s="9" t="s">
        <v>48</v>
      </c>
      <c r="O108" s="12" t="s">
        <v>530</v>
      </c>
      <c r="P108" s="6" t="s">
        <v>531</v>
      </c>
      <c r="Q108" s="9" t="s">
        <v>532</v>
      </c>
      <c r="R108" s="13">
        <v>1</v>
      </c>
      <c r="S108" s="9" t="s">
        <v>68</v>
      </c>
      <c r="T108" s="9" t="s">
        <v>53</v>
      </c>
      <c r="U108" s="9" t="s">
        <v>54</v>
      </c>
      <c r="V108" s="9" t="s">
        <v>141</v>
      </c>
      <c r="W108" s="9"/>
      <c r="X108" s="9"/>
      <c r="Y108" s="13">
        <v>48.77</v>
      </c>
      <c r="Z108" s="13">
        <v>1</v>
      </c>
      <c r="AA108" s="9"/>
      <c r="AB108" s="9"/>
      <c r="AC108" s="9"/>
      <c r="AD108" s="9"/>
      <c r="AE108" s="9"/>
      <c r="AF108" s="13">
        <v>48.77</v>
      </c>
      <c r="AG108" s="9"/>
      <c r="AH108" s="9"/>
      <c r="AI108" s="9">
        <v>1</v>
      </c>
      <c r="AJ108" s="9">
        <v>6</v>
      </c>
      <c r="AK108" s="14">
        <f t="shared" si="0"/>
        <v>0.16666666666666666</v>
      </c>
      <c r="AL108" s="9"/>
      <c r="AM108" s="9"/>
      <c r="AN108" s="9"/>
      <c r="AO108" s="6"/>
      <c r="AP108" s="9"/>
      <c r="AQ108" s="9"/>
      <c r="AR108" s="9"/>
      <c r="AS108" s="9"/>
      <c r="AT108" s="9"/>
      <c r="AU108" s="9"/>
      <c r="AV108" s="9"/>
      <c r="AW108" s="9"/>
      <c r="AX108" s="9"/>
      <c r="AY108" s="9"/>
      <c r="AZ108" s="9"/>
      <c r="BA108" s="9"/>
      <c r="BB108" s="9"/>
      <c r="BC108" s="9"/>
      <c r="BD108" s="9"/>
      <c r="BE108" s="9"/>
      <c r="BF108" s="9"/>
      <c r="BG108" s="9"/>
      <c r="BH108" s="9"/>
    </row>
    <row r="109" spans="1:60" ht="12.5" hidden="1">
      <c r="A109" s="6" t="s">
        <v>533</v>
      </c>
      <c r="B109" s="16">
        <v>45592</v>
      </c>
      <c r="C109" s="8">
        <v>45598</v>
      </c>
      <c r="D109" s="9" t="s">
        <v>41</v>
      </c>
      <c r="E109" s="9" t="s">
        <v>534</v>
      </c>
      <c r="F109" s="9"/>
      <c r="G109" s="9" t="s">
        <v>43</v>
      </c>
      <c r="H109" s="10">
        <v>10.71</v>
      </c>
      <c r="I109" s="9" t="s">
        <v>44</v>
      </c>
      <c r="J109" s="9" t="s">
        <v>45</v>
      </c>
      <c r="K109" s="9" t="s">
        <v>535</v>
      </c>
      <c r="L109" s="11" t="s">
        <v>47</v>
      </c>
      <c r="M109" s="9" t="s">
        <v>48</v>
      </c>
      <c r="N109" s="9" t="s">
        <v>48</v>
      </c>
      <c r="O109" s="12" t="s">
        <v>536</v>
      </c>
      <c r="P109" s="6" t="s">
        <v>537</v>
      </c>
      <c r="Q109" s="9" t="s">
        <v>538</v>
      </c>
      <c r="R109" s="13">
        <v>1</v>
      </c>
      <c r="S109" s="9" t="s">
        <v>99</v>
      </c>
      <c r="T109" s="9" t="s">
        <v>53</v>
      </c>
      <c r="U109" s="9" t="s">
        <v>54</v>
      </c>
      <c r="V109" s="9" t="s">
        <v>55</v>
      </c>
      <c r="W109" s="9"/>
      <c r="X109" s="9"/>
      <c r="Y109" s="13">
        <v>84.85</v>
      </c>
      <c r="Z109" s="13">
        <v>1</v>
      </c>
      <c r="AA109" s="9"/>
      <c r="AB109" s="9"/>
      <c r="AC109" s="9"/>
      <c r="AD109" s="9"/>
      <c r="AE109" s="9"/>
      <c r="AF109" s="13">
        <v>84.85</v>
      </c>
      <c r="AG109" s="9"/>
      <c r="AH109" s="9"/>
      <c r="AI109" s="9">
        <v>2</v>
      </c>
      <c r="AJ109" s="9">
        <v>13</v>
      </c>
      <c r="AK109" s="14">
        <f t="shared" si="0"/>
        <v>0.15384615384615385</v>
      </c>
      <c r="AL109" s="9"/>
      <c r="AM109" s="9"/>
      <c r="AN109" s="9"/>
      <c r="AO109" s="6"/>
      <c r="AP109" s="9"/>
      <c r="AQ109" s="9"/>
      <c r="AR109" s="9"/>
      <c r="AS109" s="9"/>
      <c r="AT109" s="9"/>
      <c r="AU109" s="9"/>
      <c r="AV109" s="9"/>
      <c r="AW109" s="9"/>
      <c r="AX109" s="9"/>
      <c r="AY109" s="9"/>
      <c r="AZ109" s="9"/>
      <c r="BA109" s="9"/>
      <c r="BB109" s="9"/>
      <c r="BC109" s="9"/>
      <c r="BD109" s="9"/>
      <c r="BE109" s="9"/>
      <c r="BF109" s="9"/>
      <c r="BG109" s="9"/>
      <c r="BH109" s="9"/>
    </row>
    <row r="110" spans="1:60" ht="12.5" hidden="1">
      <c r="A110" s="6" t="s">
        <v>539</v>
      </c>
      <c r="B110" s="7">
        <v>45605</v>
      </c>
      <c r="C110" s="8">
        <v>45615</v>
      </c>
      <c r="D110" s="9" t="s">
        <v>41</v>
      </c>
      <c r="E110" s="9" t="s">
        <v>540</v>
      </c>
      <c r="F110" s="9"/>
      <c r="G110" s="9" t="s">
        <v>43</v>
      </c>
      <c r="H110" s="10">
        <v>10.69</v>
      </c>
      <c r="I110" s="9" t="s">
        <v>44</v>
      </c>
      <c r="J110" s="9" t="s">
        <v>45</v>
      </c>
      <c r="K110" s="9" t="s">
        <v>541</v>
      </c>
      <c r="L110" s="11" t="s">
        <v>58</v>
      </c>
      <c r="M110" s="9" t="s">
        <v>48</v>
      </c>
      <c r="N110" s="9" t="s">
        <v>48</v>
      </c>
      <c r="O110" s="12" t="s">
        <v>536</v>
      </c>
      <c r="P110" s="6" t="s">
        <v>537</v>
      </c>
      <c r="Q110" s="9" t="s">
        <v>538</v>
      </c>
      <c r="R110" s="13">
        <v>1</v>
      </c>
      <c r="S110" s="9" t="s">
        <v>68</v>
      </c>
      <c r="T110" s="9" t="s">
        <v>53</v>
      </c>
      <c r="U110" s="9" t="s">
        <v>54</v>
      </c>
      <c r="V110" s="9" t="s">
        <v>61</v>
      </c>
      <c r="W110" s="9"/>
      <c r="X110" s="9"/>
      <c r="Y110" s="13">
        <v>84.57</v>
      </c>
      <c r="Z110" s="13">
        <v>1</v>
      </c>
      <c r="AA110" s="9"/>
      <c r="AB110" s="9"/>
      <c r="AC110" s="9"/>
      <c r="AD110" s="9"/>
      <c r="AE110" s="9"/>
      <c r="AF110" s="9"/>
      <c r="AG110" s="9"/>
      <c r="AH110" s="9"/>
      <c r="AI110" s="9"/>
      <c r="AJ110" s="9"/>
      <c r="AK110" s="14" t="e">
        <f t="shared" si="0"/>
        <v>#DIV/0!</v>
      </c>
      <c r="AL110" s="9"/>
      <c r="AM110" s="9"/>
      <c r="AN110" s="9"/>
      <c r="AO110" s="6"/>
      <c r="AP110" s="9"/>
      <c r="AQ110" s="9"/>
      <c r="AR110" s="9"/>
      <c r="AS110" s="9"/>
      <c r="AT110" s="9"/>
      <c r="AU110" s="9"/>
      <c r="AV110" s="9"/>
      <c r="AW110" s="9"/>
      <c r="AX110" s="9"/>
      <c r="AY110" s="9"/>
      <c r="AZ110" s="9"/>
      <c r="BA110" s="9"/>
      <c r="BB110" s="9"/>
      <c r="BC110" s="9"/>
      <c r="BD110" s="9"/>
      <c r="BE110" s="9"/>
      <c r="BF110" s="9"/>
      <c r="BG110" s="9"/>
      <c r="BH110" s="9"/>
    </row>
    <row r="111" spans="1:60" ht="12.5" hidden="1">
      <c r="A111" s="6" t="s">
        <v>542</v>
      </c>
      <c r="B111" s="16">
        <v>45609</v>
      </c>
      <c r="C111" s="8">
        <v>45615</v>
      </c>
      <c r="D111" s="9" t="s">
        <v>41</v>
      </c>
      <c r="E111" s="9" t="s">
        <v>543</v>
      </c>
      <c r="F111" s="9"/>
      <c r="G111" s="9" t="s">
        <v>43</v>
      </c>
      <c r="H111" s="10">
        <v>10.26</v>
      </c>
      <c r="I111" s="9" t="s">
        <v>44</v>
      </c>
      <c r="J111" s="9" t="s">
        <v>45</v>
      </c>
      <c r="K111" s="9" t="s">
        <v>544</v>
      </c>
      <c r="L111" s="11" t="s">
        <v>47</v>
      </c>
      <c r="M111" s="9" t="s">
        <v>48</v>
      </c>
      <c r="N111" s="9" t="s">
        <v>48</v>
      </c>
      <c r="O111" s="12" t="s">
        <v>545</v>
      </c>
      <c r="P111" s="6" t="s">
        <v>546</v>
      </c>
      <c r="Q111" s="9" t="s">
        <v>547</v>
      </c>
      <c r="R111" s="13">
        <v>1</v>
      </c>
      <c r="S111" s="9" t="s">
        <v>92</v>
      </c>
      <c r="T111" s="9" t="s">
        <v>53</v>
      </c>
      <c r="U111" s="9" t="s">
        <v>54</v>
      </c>
      <c r="V111" s="9" t="s">
        <v>240</v>
      </c>
      <c r="W111" s="9"/>
      <c r="X111" s="9"/>
      <c r="Y111" s="13">
        <v>69.53</v>
      </c>
      <c r="Z111" s="13">
        <v>1</v>
      </c>
      <c r="AA111" s="9"/>
      <c r="AB111" s="9"/>
      <c r="AC111" s="9"/>
      <c r="AD111" s="9"/>
      <c r="AE111" s="9"/>
      <c r="AF111" s="13">
        <v>69.53</v>
      </c>
      <c r="AG111" s="9"/>
      <c r="AH111" s="9"/>
      <c r="AI111" s="9">
        <v>1</v>
      </c>
      <c r="AJ111" s="9">
        <v>1</v>
      </c>
      <c r="AK111" s="14">
        <f t="shared" si="0"/>
        <v>1</v>
      </c>
      <c r="AL111" s="9"/>
      <c r="AM111" s="9"/>
      <c r="AN111" s="9"/>
      <c r="AO111" s="6"/>
      <c r="AP111" s="9"/>
      <c r="AQ111" s="9"/>
      <c r="AR111" s="9"/>
      <c r="AS111" s="9"/>
      <c r="AT111" s="9"/>
      <c r="AU111" s="9"/>
      <c r="AV111" s="9"/>
      <c r="AW111" s="9"/>
      <c r="AX111" s="9"/>
      <c r="AY111" s="9"/>
      <c r="AZ111" s="9"/>
      <c r="BA111" s="9"/>
      <c r="BB111" s="9"/>
      <c r="BC111" s="9"/>
      <c r="BD111" s="9"/>
      <c r="BE111" s="9"/>
      <c r="BF111" s="9"/>
      <c r="BG111" s="9"/>
      <c r="BH111" s="9"/>
    </row>
    <row r="112" spans="1:60" ht="12.5" hidden="1">
      <c r="A112" s="6" t="s">
        <v>548</v>
      </c>
      <c r="B112" s="16">
        <v>45616</v>
      </c>
      <c r="C112" s="8">
        <v>45618</v>
      </c>
      <c r="D112" s="9" t="s">
        <v>41</v>
      </c>
      <c r="E112" s="9" t="s">
        <v>549</v>
      </c>
      <c r="F112" s="9"/>
      <c r="G112" s="9" t="s">
        <v>43</v>
      </c>
      <c r="H112" s="10">
        <v>19.77</v>
      </c>
      <c r="I112" s="9" t="s">
        <v>44</v>
      </c>
      <c r="J112" s="9" t="s">
        <v>45</v>
      </c>
      <c r="K112" s="9" t="s">
        <v>550</v>
      </c>
      <c r="L112" s="11" t="s">
        <v>58</v>
      </c>
      <c r="M112" s="9" t="s">
        <v>48</v>
      </c>
      <c r="N112" s="9" t="s">
        <v>48</v>
      </c>
      <c r="O112" s="12" t="s">
        <v>551</v>
      </c>
      <c r="P112" s="6" t="s">
        <v>552</v>
      </c>
      <c r="Q112" s="9" t="s">
        <v>553</v>
      </c>
      <c r="R112" s="13">
        <v>1</v>
      </c>
      <c r="S112" s="9" t="s">
        <v>75</v>
      </c>
      <c r="T112" s="9" t="s">
        <v>53</v>
      </c>
      <c r="U112" s="9" t="s">
        <v>54</v>
      </c>
      <c r="V112" s="9" t="s">
        <v>61</v>
      </c>
      <c r="W112" s="9"/>
      <c r="X112" s="9"/>
      <c r="Y112" s="13">
        <v>100.6</v>
      </c>
      <c r="Z112" s="13">
        <v>1</v>
      </c>
      <c r="AA112" s="9"/>
      <c r="AB112" s="9"/>
      <c r="AC112" s="9"/>
      <c r="AD112" s="9"/>
      <c r="AE112" s="9"/>
      <c r="AF112" s="9"/>
      <c r="AG112" s="9"/>
      <c r="AH112" s="9"/>
      <c r="AI112" s="9">
        <v>1</v>
      </c>
      <c r="AJ112" s="9">
        <v>2</v>
      </c>
      <c r="AK112" s="14">
        <f t="shared" si="0"/>
        <v>0.5</v>
      </c>
      <c r="AL112" s="9"/>
      <c r="AM112" s="9"/>
      <c r="AN112" s="9"/>
      <c r="AO112" s="6"/>
      <c r="AP112" s="9"/>
      <c r="AQ112" s="9"/>
      <c r="AR112" s="9"/>
      <c r="AS112" s="9"/>
      <c r="AT112" s="9"/>
      <c r="AU112" s="9"/>
      <c r="AV112" s="9"/>
      <c r="AW112" s="9"/>
      <c r="AX112" s="9"/>
      <c r="AY112" s="9"/>
      <c r="AZ112" s="9"/>
      <c r="BA112" s="9"/>
      <c r="BB112" s="9"/>
      <c r="BC112" s="9"/>
      <c r="BD112" s="9"/>
      <c r="BE112" s="9"/>
      <c r="BF112" s="9"/>
      <c r="BG112" s="9"/>
      <c r="BH112" s="9"/>
    </row>
    <row r="113" spans="1:60" ht="12.5" hidden="1">
      <c r="A113" s="6" t="s">
        <v>554</v>
      </c>
      <c r="B113" s="16">
        <v>45582</v>
      </c>
      <c r="C113" s="8">
        <v>45600</v>
      </c>
      <c r="D113" s="9" t="s">
        <v>41</v>
      </c>
      <c r="E113" s="9" t="s">
        <v>555</v>
      </c>
      <c r="F113" s="9"/>
      <c r="G113" s="9" t="s">
        <v>43</v>
      </c>
      <c r="H113" s="10">
        <v>14.76</v>
      </c>
      <c r="I113" s="9" t="s">
        <v>44</v>
      </c>
      <c r="J113" s="9" t="s">
        <v>45</v>
      </c>
      <c r="K113" s="9" t="s">
        <v>556</v>
      </c>
      <c r="L113" s="11" t="s">
        <v>47</v>
      </c>
      <c r="M113" s="9" t="s">
        <v>48</v>
      </c>
      <c r="N113" s="9" t="s">
        <v>48</v>
      </c>
      <c r="O113" s="12" t="s">
        <v>557</v>
      </c>
      <c r="P113" s="6" t="s">
        <v>558</v>
      </c>
      <c r="Q113" s="9" t="s">
        <v>559</v>
      </c>
      <c r="R113" s="13">
        <v>1</v>
      </c>
      <c r="S113" s="9" t="s">
        <v>82</v>
      </c>
      <c r="T113" s="9" t="s">
        <v>53</v>
      </c>
      <c r="U113" s="9" t="s">
        <v>54</v>
      </c>
      <c r="V113" s="9" t="s">
        <v>560</v>
      </c>
      <c r="W113" s="9"/>
      <c r="X113" s="9"/>
      <c r="Y113" s="13">
        <v>100.09</v>
      </c>
      <c r="Z113" s="13">
        <v>1</v>
      </c>
      <c r="AA113" s="9"/>
      <c r="AB113" s="9"/>
      <c r="AC113" s="9"/>
      <c r="AD113" s="9"/>
      <c r="AE113" s="9"/>
      <c r="AF113" s="9"/>
      <c r="AG113" s="9"/>
      <c r="AH113" s="9"/>
      <c r="AI113" s="9">
        <v>1</v>
      </c>
      <c r="AJ113" s="9">
        <v>5</v>
      </c>
      <c r="AK113" s="14">
        <f t="shared" si="0"/>
        <v>0.2</v>
      </c>
      <c r="AL113" s="9"/>
      <c r="AM113" s="9"/>
      <c r="AN113" s="9" t="s">
        <v>561</v>
      </c>
      <c r="AO113" s="6" t="s">
        <v>562</v>
      </c>
      <c r="AP113" s="9"/>
      <c r="AQ113" s="9"/>
      <c r="AR113" s="9"/>
      <c r="AS113" s="9"/>
      <c r="AT113" s="9"/>
      <c r="AU113" s="9"/>
      <c r="AV113" s="9"/>
      <c r="AW113" s="9"/>
      <c r="AX113" s="9"/>
      <c r="AY113" s="9"/>
      <c r="AZ113" s="9"/>
      <c r="BA113" s="9"/>
      <c r="BB113" s="9"/>
      <c r="BC113" s="9"/>
      <c r="BD113" s="9"/>
      <c r="BE113" s="9"/>
      <c r="BF113" s="9"/>
      <c r="BG113" s="9"/>
      <c r="BH113" s="9"/>
    </row>
    <row r="114" spans="1:60" ht="12.5" hidden="1">
      <c r="A114" s="6" t="s">
        <v>563</v>
      </c>
      <c r="B114" s="16">
        <v>45608</v>
      </c>
      <c r="C114" s="8">
        <v>45615</v>
      </c>
      <c r="D114" s="9" t="s">
        <v>41</v>
      </c>
      <c r="E114" s="9" t="s">
        <v>564</v>
      </c>
      <c r="F114" s="9"/>
      <c r="G114" s="9" t="s">
        <v>43</v>
      </c>
      <c r="H114" s="10">
        <v>11.31</v>
      </c>
      <c r="I114" s="9" t="s">
        <v>44</v>
      </c>
      <c r="J114" s="9" t="s">
        <v>45</v>
      </c>
      <c r="K114" s="9" t="s">
        <v>565</v>
      </c>
      <c r="L114" s="11" t="s">
        <v>47</v>
      </c>
      <c r="M114" s="9" t="s">
        <v>48</v>
      </c>
      <c r="N114" s="9" t="s">
        <v>48</v>
      </c>
      <c r="O114" s="12" t="s">
        <v>566</v>
      </c>
      <c r="P114" s="6" t="s">
        <v>567</v>
      </c>
      <c r="Q114" s="9" t="s">
        <v>568</v>
      </c>
      <c r="R114" s="13">
        <v>1</v>
      </c>
      <c r="S114" s="9" t="s">
        <v>92</v>
      </c>
      <c r="T114" s="9" t="s">
        <v>53</v>
      </c>
      <c r="U114" s="9" t="s">
        <v>54</v>
      </c>
      <c r="V114" s="9" t="s">
        <v>61</v>
      </c>
      <c r="W114" s="9"/>
      <c r="X114" s="9"/>
      <c r="Y114" s="13">
        <v>133.53</v>
      </c>
      <c r="Z114" s="13">
        <v>1</v>
      </c>
      <c r="AA114" s="9"/>
      <c r="AB114" s="9"/>
      <c r="AC114" s="9"/>
      <c r="AD114" s="9"/>
      <c r="AE114" s="9"/>
      <c r="AF114" s="13">
        <v>133.53</v>
      </c>
      <c r="AG114" s="9"/>
      <c r="AH114" s="9"/>
      <c r="AI114" s="9">
        <v>1</v>
      </c>
      <c r="AJ114" s="9">
        <v>3</v>
      </c>
      <c r="AK114" s="14">
        <f t="shared" si="0"/>
        <v>0.33333333333333331</v>
      </c>
      <c r="AL114" s="9"/>
      <c r="AM114" s="9"/>
      <c r="AN114" s="9"/>
      <c r="AO114" s="6"/>
      <c r="AP114" s="9"/>
      <c r="AQ114" s="9"/>
      <c r="AR114" s="9"/>
      <c r="AS114" s="9"/>
      <c r="AT114" s="9"/>
      <c r="AU114" s="9"/>
      <c r="AV114" s="9"/>
      <c r="AW114" s="9"/>
      <c r="AX114" s="9"/>
      <c r="AY114" s="9"/>
      <c r="AZ114" s="9"/>
      <c r="BA114" s="9"/>
      <c r="BB114" s="9"/>
      <c r="BC114" s="9"/>
      <c r="BD114" s="9"/>
      <c r="BE114" s="9"/>
      <c r="BF114" s="9"/>
      <c r="BG114" s="9"/>
      <c r="BH114" s="9"/>
    </row>
    <row r="115" spans="1:60" ht="12.5" hidden="1">
      <c r="A115" s="6" t="s">
        <v>569</v>
      </c>
      <c r="B115" s="16">
        <v>45591</v>
      </c>
      <c r="C115" s="8">
        <v>45605</v>
      </c>
      <c r="D115" s="9" t="s">
        <v>41</v>
      </c>
      <c r="E115" s="9" t="s">
        <v>570</v>
      </c>
      <c r="F115" s="9"/>
      <c r="G115" s="9" t="s">
        <v>43</v>
      </c>
      <c r="H115" s="10">
        <v>10.26</v>
      </c>
      <c r="I115" s="9" t="s">
        <v>44</v>
      </c>
      <c r="J115" s="9" t="s">
        <v>45</v>
      </c>
      <c r="K115" s="9" t="s">
        <v>571</v>
      </c>
      <c r="L115" s="11" t="s">
        <v>58</v>
      </c>
      <c r="M115" s="9" t="s">
        <v>48</v>
      </c>
      <c r="N115" s="9" t="s">
        <v>48</v>
      </c>
      <c r="O115" s="12" t="s">
        <v>572</v>
      </c>
      <c r="P115" s="6" t="s">
        <v>573</v>
      </c>
      <c r="Q115" s="9" t="s">
        <v>574</v>
      </c>
      <c r="R115" s="13">
        <v>1</v>
      </c>
      <c r="S115" s="9" t="s">
        <v>75</v>
      </c>
      <c r="T115" s="9" t="s">
        <v>53</v>
      </c>
      <c r="U115" s="9" t="s">
        <v>54</v>
      </c>
      <c r="V115" s="9" t="s">
        <v>55</v>
      </c>
      <c r="W115" s="9"/>
      <c r="X115" s="9"/>
      <c r="Y115" s="13">
        <v>96.05</v>
      </c>
      <c r="Z115" s="13">
        <v>1</v>
      </c>
      <c r="AA115" s="9"/>
      <c r="AB115" s="9"/>
      <c r="AC115" s="9"/>
      <c r="AD115" s="9"/>
      <c r="AE115" s="9"/>
      <c r="AF115" s="13">
        <v>85.79</v>
      </c>
      <c r="AG115" s="9"/>
      <c r="AH115" s="9"/>
      <c r="AI115" s="9">
        <v>2</v>
      </c>
      <c r="AJ115" s="9">
        <v>3</v>
      </c>
      <c r="AK115" s="14">
        <f t="shared" si="0"/>
        <v>0.66666666666666663</v>
      </c>
      <c r="AL115" s="9"/>
      <c r="AM115" s="9"/>
      <c r="AN115" s="9"/>
      <c r="AO115" s="6"/>
      <c r="AP115" s="9"/>
      <c r="AQ115" s="9"/>
      <c r="AR115" s="9"/>
      <c r="AS115" s="9"/>
      <c r="AT115" s="9"/>
      <c r="AU115" s="9"/>
      <c r="AV115" s="9"/>
      <c r="AW115" s="9"/>
      <c r="AX115" s="9"/>
      <c r="AY115" s="9"/>
      <c r="AZ115" s="9"/>
      <c r="BA115" s="9"/>
      <c r="BB115" s="9"/>
      <c r="BC115" s="9"/>
      <c r="BD115" s="9"/>
      <c r="BE115" s="9"/>
      <c r="BF115" s="9"/>
      <c r="BG115" s="9"/>
      <c r="BH115" s="9"/>
    </row>
    <row r="116" spans="1:60" ht="12.5" hidden="1">
      <c r="A116" s="6" t="s">
        <v>575</v>
      </c>
      <c r="B116" s="16">
        <v>45606</v>
      </c>
      <c r="C116" s="8">
        <v>45612</v>
      </c>
      <c r="D116" s="9" t="s">
        <v>41</v>
      </c>
      <c r="E116" s="9" t="s">
        <v>576</v>
      </c>
      <c r="F116" s="9"/>
      <c r="G116" s="9" t="s">
        <v>43</v>
      </c>
      <c r="H116" s="10">
        <v>10.26</v>
      </c>
      <c r="I116" s="9" t="s">
        <v>44</v>
      </c>
      <c r="J116" s="9" t="s">
        <v>45</v>
      </c>
      <c r="K116" s="9" t="s">
        <v>577</v>
      </c>
      <c r="L116" s="11" t="s">
        <v>47</v>
      </c>
      <c r="M116" s="9" t="s">
        <v>48</v>
      </c>
      <c r="N116" s="9" t="s">
        <v>48</v>
      </c>
      <c r="O116" s="12" t="s">
        <v>572</v>
      </c>
      <c r="P116" s="6" t="s">
        <v>573</v>
      </c>
      <c r="Q116" s="9" t="s">
        <v>574</v>
      </c>
      <c r="R116" s="13">
        <v>1</v>
      </c>
      <c r="S116" s="9" t="s">
        <v>99</v>
      </c>
      <c r="T116" s="9" t="s">
        <v>53</v>
      </c>
      <c r="U116" s="9" t="s">
        <v>54</v>
      </c>
      <c r="V116" s="9" t="s">
        <v>55</v>
      </c>
      <c r="W116" s="9"/>
      <c r="X116" s="9"/>
      <c r="Y116" s="13">
        <v>94.83</v>
      </c>
      <c r="Z116" s="13">
        <v>1</v>
      </c>
      <c r="AA116" s="9"/>
      <c r="AB116" s="9"/>
      <c r="AC116" s="9"/>
      <c r="AD116" s="9"/>
      <c r="AE116" s="9"/>
      <c r="AF116" s="13">
        <v>94.83</v>
      </c>
      <c r="AG116" s="9"/>
      <c r="AH116" s="9"/>
      <c r="AI116" s="9"/>
      <c r="AJ116" s="9"/>
      <c r="AK116" s="14" t="e">
        <f t="shared" si="0"/>
        <v>#DIV/0!</v>
      </c>
      <c r="AL116" s="9"/>
      <c r="AM116" s="9"/>
      <c r="AN116" s="9"/>
      <c r="AO116" s="6"/>
      <c r="AP116" s="9"/>
      <c r="AQ116" s="9"/>
      <c r="AR116" s="9"/>
      <c r="AS116" s="9"/>
      <c r="AT116" s="9"/>
      <c r="AU116" s="9"/>
      <c r="AV116" s="9"/>
      <c r="AW116" s="9"/>
      <c r="AX116" s="9"/>
      <c r="AY116" s="9"/>
      <c r="AZ116" s="9"/>
      <c r="BA116" s="9"/>
      <c r="BB116" s="9"/>
      <c r="BC116" s="9"/>
      <c r="BD116" s="9"/>
      <c r="BE116" s="9"/>
      <c r="BF116" s="9"/>
      <c r="BG116" s="9"/>
      <c r="BH116" s="9"/>
    </row>
    <row r="117" spans="1:60" ht="12.5" hidden="1">
      <c r="A117" s="6" t="s">
        <v>578</v>
      </c>
      <c r="B117" s="16">
        <v>45622</v>
      </c>
      <c r="C117" s="8">
        <v>45625</v>
      </c>
      <c r="D117" s="9" t="s">
        <v>41</v>
      </c>
      <c r="E117" s="9" t="s">
        <v>579</v>
      </c>
      <c r="F117" s="9"/>
      <c r="G117" s="9" t="s">
        <v>43</v>
      </c>
      <c r="H117" s="10">
        <v>10.26</v>
      </c>
      <c r="I117" s="9" t="s">
        <v>44</v>
      </c>
      <c r="J117" s="9" t="s">
        <v>45</v>
      </c>
      <c r="K117" s="9" t="s">
        <v>580</v>
      </c>
      <c r="L117" s="11" t="s">
        <v>58</v>
      </c>
      <c r="M117" s="9" t="s">
        <v>48</v>
      </c>
      <c r="N117" s="9" t="s">
        <v>48</v>
      </c>
      <c r="O117" s="12" t="s">
        <v>581</v>
      </c>
      <c r="P117" s="6" t="s">
        <v>582</v>
      </c>
      <c r="Q117" s="9" t="s">
        <v>583</v>
      </c>
      <c r="R117" s="13">
        <v>1</v>
      </c>
      <c r="S117" s="9" t="s">
        <v>75</v>
      </c>
      <c r="T117" s="9" t="s">
        <v>53</v>
      </c>
      <c r="U117" s="9" t="s">
        <v>54</v>
      </c>
      <c r="V117" s="9" t="s">
        <v>61</v>
      </c>
      <c r="W117" s="9"/>
      <c r="X117" s="9"/>
      <c r="Y117" s="13">
        <v>85.93</v>
      </c>
      <c r="Z117" s="13">
        <v>1</v>
      </c>
      <c r="AA117" s="9"/>
      <c r="AB117" s="9"/>
      <c r="AC117" s="9"/>
      <c r="AD117" s="9"/>
      <c r="AE117" s="9"/>
      <c r="AF117" s="9"/>
      <c r="AG117" s="9"/>
      <c r="AH117" s="9"/>
      <c r="AI117" s="9">
        <v>1</v>
      </c>
      <c r="AJ117" s="9">
        <v>4</v>
      </c>
      <c r="AK117" s="14">
        <f t="shared" si="0"/>
        <v>0.25</v>
      </c>
      <c r="AL117" s="9"/>
      <c r="AM117" s="9"/>
      <c r="AN117" s="9"/>
      <c r="AO117" s="6"/>
      <c r="AP117" s="9"/>
      <c r="AQ117" s="9"/>
      <c r="AR117" s="9"/>
      <c r="AS117" s="9"/>
      <c r="AT117" s="9"/>
      <c r="AU117" s="9"/>
      <c r="AV117" s="9"/>
      <c r="AW117" s="9"/>
      <c r="AX117" s="9"/>
      <c r="AY117" s="9"/>
      <c r="AZ117" s="9"/>
      <c r="BA117" s="9"/>
      <c r="BB117" s="9"/>
      <c r="BC117" s="9"/>
      <c r="BD117" s="9"/>
      <c r="BE117" s="9"/>
      <c r="BF117" s="9"/>
      <c r="BG117" s="9"/>
      <c r="BH117" s="9"/>
    </row>
    <row r="118" spans="1:60" ht="12.5" hidden="1">
      <c r="A118" s="6" t="s">
        <v>584</v>
      </c>
      <c r="B118" s="16">
        <v>45596</v>
      </c>
      <c r="C118" s="8">
        <v>45601</v>
      </c>
      <c r="D118" s="9" t="s">
        <v>41</v>
      </c>
      <c r="E118" s="9" t="s">
        <v>585</v>
      </c>
      <c r="F118" s="9"/>
      <c r="G118" s="9" t="s">
        <v>43</v>
      </c>
      <c r="H118" s="10">
        <v>16.18</v>
      </c>
      <c r="I118" s="9" t="s">
        <v>44</v>
      </c>
      <c r="J118" s="9" t="s">
        <v>45</v>
      </c>
      <c r="K118" s="9" t="s">
        <v>586</v>
      </c>
      <c r="L118" s="11" t="s">
        <v>47</v>
      </c>
      <c r="M118" s="9" t="s">
        <v>48</v>
      </c>
      <c r="N118" s="9" t="s">
        <v>48</v>
      </c>
      <c r="O118" s="12" t="s">
        <v>587</v>
      </c>
      <c r="P118" s="6" t="s">
        <v>588</v>
      </c>
      <c r="Q118" s="9" t="s">
        <v>589</v>
      </c>
      <c r="R118" s="13">
        <v>1</v>
      </c>
      <c r="S118" s="9" t="s">
        <v>52</v>
      </c>
      <c r="T118" s="9" t="s">
        <v>53</v>
      </c>
      <c r="U118" s="9" t="s">
        <v>54</v>
      </c>
      <c r="V118" s="9" t="s">
        <v>55</v>
      </c>
      <c r="W118" s="9"/>
      <c r="X118" s="9"/>
      <c r="Y118" s="13">
        <v>122.19</v>
      </c>
      <c r="Z118" s="13">
        <v>1</v>
      </c>
      <c r="AA118" s="9"/>
      <c r="AB118" s="9"/>
      <c r="AC118" s="9"/>
      <c r="AD118" s="9"/>
      <c r="AE118" s="9"/>
      <c r="AF118" s="13">
        <v>122.19</v>
      </c>
      <c r="AG118" s="9"/>
      <c r="AH118" s="9"/>
      <c r="AI118" s="9">
        <v>1</v>
      </c>
      <c r="AJ118" s="9">
        <v>3</v>
      </c>
      <c r="AK118" s="14">
        <f t="shared" si="0"/>
        <v>0.33333333333333331</v>
      </c>
      <c r="AL118" s="9"/>
      <c r="AM118" s="9"/>
      <c r="AN118" s="9"/>
      <c r="AO118" s="6"/>
      <c r="AP118" s="9"/>
      <c r="AQ118" s="9"/>
      <c r="AR118" s="9"/>
      <c r="AS118" s="9"/>
      <c r="AT118" s="9"/>
      <c r="AU118" s="9"/>
      <c r="AV118" s="9"/>
      <c r="AW118" s="9"/>
      <c r="AX118" s="9"/>
      <c r="AY118" s="9"/>
      <c r="AZ118" s="9"/>
      <c r="BA118" s="9"/>
      <c r="BB118" s="9"/>
      <c r="BC118" s="9"/>
      <c r="BD118" s="9"/>
      <c r="BE118" s="9"/>
      <c r="BF118" s="9"/>
      <c r="BG118" s="9"/>
      <c r="BH118" s="9"/>
    </row>
    <row r="119" spans="1:60" ht="12.5" hidden="1">
      <c r="A119" s="6" t="s">
        <v>590</v>
      </c>
      <c r="B119" s="7">
        <v>45600</v>
      </c>
      <c r="C119" s="8">
        <v>45606</v>
      </c>
      <c r="D119" s="9" t="s">
        <v>41</v>
      </c>
      <c r="E119" s="9" t="s">
        <v>591</v>
      </c>
      <c r="F119" s="9"/>
      <c r="G119" s="9" t="s">
        <v>43</v>
      </c>
      <c r="H119" s="10">
        <v>13.9</v>
      </c>
      <c r="I119" s="9" t="s">
        <v>44</v>
      </c>
      <c r="J119" s="9" t="s">
        <v>45</v>
      </c>
      <c r="K119" s="9" t="s">
        <v>592</v>
      </c>
      <c r="L119" s="11" t="s">
        <v>47</v>
      </c>
      <c r="M119" s="9" t="s">
        <v>48</v>
      </c>
      <c r="N119" s="9" t="s">
        <v>48</v>
      </c>
      <c r="O119" s="12" t="s">
        <v>593</v>
      </c>
      <c r="P119" s="6" t="s">
        <v>594</v>
      </c>
      <c r="Q119" s="9" t="s">
        <v>595</v>
      </c>
      <c r="R119" s="13">
        <v>1</v>
      </c>
      <c r="S119" s="9" t="s">
        <v>92</v>
      </c>
      <c r="T119" s="9" t="s">
        <v>53</v>
      </c>
      <c r="U119" s="9" t="s">
        <v>54</v>
      </c>
      <c r="V119" s="9" t="s">
        <v>55</v>
      </c>
      <c r="W119" s="9"/>
      <c r="X119" s="9"/>
      <c r="Y119" s="13">
        <v>102.28</v>
      </c>
      <c r="Z119" s="13">
        <v>1</v>
      </c>
      <c r="AA119" s="9"/>
      <c r="AB119" s="9"/>
      <c r="AC119" s="9"/>
      <c r="AD119" s="9"/>
      <c r="AE119" s="9"/>
      <c r="AF119" s="13">
        <v>102.28</v>
      </c>
      <c r="AG119" s="9"/>
      <c r="AH119" s="9"/>
      <c r="AI119" s="9">
        <v>1</v>
      </c>
      <c r="AJ119" s="9">
        <v>4</v>
      </c>
      <c r="AK119" s="14">
        <f t="shared" si="0"/>
        <v>0.25</v>
      </c>
      <c r="AL119" s="9"/>
      <c r="AM119" s="9"/>
      <c r="AN119" s="9"/>
      <c r="AO119" s="6"/>
      <c r="AP119" s="9"/>
      <c r="AQ119" s="9"/>
      <c r="AR119" s="9"/>
      <c r="AS119" s="9"/>
      <c r="AT119" s="9"/>
      <c r="AU119" s="9"/>
      <c r="AV119" s="9"/>
      <c r="AW119" s="9"/>
      <c r="AX119" s="9"/>
      <c r="AY119" s="9"/>
      <c r="AZ119" s="9"/>
      <c r="BA119" s="9"/>
      <c r="BB119" s="9"/>
      <c r="BC119" s="9"/>
      <c r="BD119" s="9"/>
      <c r="BE119" s="9"/>
      <c r="BF119" s="9"/>
      <c r="BG119" s="9"/>
      <c r="BH119" s="9"/>
    </row>
    <row r="120" spans="1:60" ht="12.5" hidden="1">
      <c r="A120" s="6" t="s">
        <v>596</v>
      </c>
      <c r="B120" s="7">
        <v>45603</v>
      </c>
      <c r="C120" s="8">
        <v>45615</v>
      </c>
      <c r="D120" s="9" t="s">
        <v>41</v>
      </c>
      <c r="E120" s="9" t="s">
        <v>597</v>
      </c>
      <c r="F120" s="9"/>
      <c r="G120" s="9" t="s">
        <v>43</v>
      </c>
      <c r="H120" s="10">
        <v>7.4</v>
      </c>
      <c r="I120" s="9" t="s">
        <v>44</v>
      </c>
      <c r="J120" s="9" t="s">
        <v>45</v>
      </c>
      <c r="K120" s="9" t="s">
        <v>598</v>
      </c>
      <c r="L120" s="11" t="s">
        <v>58</v>
      </c>
      <c r="M120" s="9" t="s">
        <v>48</v>
      </c>
      <c r="N120" s="9" t="s">
        <v>48</v>
      </c>
      <c r="O120" s="12" t="s">
        <v>599</v>
      </c>
      <c r="P120" s="6" t="s">
        <v>600</v>
      </c>
      <c r="Q120" s="9" t="s">
        <v>601</v>
      </c>
      <c r="R120" s="13">
        <v>1</v>
      </c>
      <c r="S120" s="9" t="s">
        <v>75</v>
      </c>
      <c r="T120" s="9" t="s">
        <v>53</v>
      </c>
      <c r="U120" s="9" t="s">
        <v>54</v>
      </c>
      <c r="V120" s="9" t="s">
        <v>55</v>
      </c>
      <c r="W120" s="9"/>
      <c r="X120" s="9"/>
      <c r="Y120" s="13">
        <v>127.73</v>
      </c>
      <c r="Z120" s="13">
        <v>1</v>
      </c>
      <c r="AA120" s="9"/>
      <c r="AB120" s="9"/>
      <c r="AC120" s="9"/>
      <c r="AD120" s="9"/>
      <c r="AE120" s="9"/>
      <c r="AF120" s="13">
        <v>120.33</v>
      </c>
      <c r="AG120" s="9"/>
      <c r="AH120" s="9"/>
      <c r="AI120" s="9">
        <v>1</v>
      </c>
      <c r="AJ120" s="9">
        <v>1</v>
      </c>
      <c r="AK120" s="14">
        <f t="shared" si="0"/>
        <v>1</v>
      </c>
      <c r="AL120" s="9"/>
      <c r="AM120" s="9"/>
      <c r="AN120" s="9"/>
      <c r="AO120" s="6"/>
      <c r="AP120" s="9"/>
      <c r="AQ120" s="9"/>
      <c r="AR120" s="9"/>
      <c r="AS120" s="9"/>
      <c r="AT120" s="9"/>
      <c r="AU120" s="9"/>
      <c r="AV120" s="9"/>
      <c r="AW120" s="9"/>
      <c r="AX120" s="9"/>
      <c r="AY120" s="9"/>
      <c r="AZ120" s="9"/>
      <c r="BA120" s="9"/>
      <c r="BB120" s="9"/>
      <c r="BC120" s="9"/>
      <c r="BD120" s="9"/>
      <c r="BE120" s="9"/>
      <c r="BF120" s="9"/>
      <c r="BG120" s="9"/>
      <c r="BH120" s="9"/>
    </row>
    <row r="121" spans="1:60" ht="12.5" hidden="1">
      <c r="A121" s="6" t="s">
        <v>602</v>
      </c>
      <c r="B121" s="7">
        <v>45603</v>
      </c>
      <c r="C121" s="8">
        <v>45609</v>
      </c>
      <c r="D121" s="9" t="s">
        <v>41</v>
      </c>
      <c r="E121" s="9" t="s">
        <v>603</v>
      </c>
      <c r="F121" s="9"/>
      <c r="G121" s="9" t="s">
        <v>43</v>
      </c>
      <c r="H121" s="10">
        <v>10.26</v>
      </c>
      <c r="I121" s="9" t="s">
        <v>44</v>
      </c>
      <c r="J121" s="9" t="s">
        <v>45</v>
      </c>
      <c r="K121" s="9" t="s">
        <v>604</v>
      </c>
      <c r="L121" s="11" t="s">
        <v>47</v>
      </c>
      <c r="M121" s="9" t="s">
        <v>48</v>
      </c>
      <c r="N121" s="9" t="s">
        <v>48</v>
      </c>
      <c r="O121" s="12" t="s">
        <v>605</v>
      </c>
      <c r="P121" s="6" t="s">
        <v>606</v>
      </c>
      <c r="Q121" s="9" t="s">
        <v>607</v>
      </c>
      <c r="R121" s="13">
        <v>1</v>
      </c>
      <c r="S121" s="9" t="s">
        <v>52</v>
      </c>
      <c r="T121" s="9" t="s">
        <v>53</v>
      </c>
      <c r="U121" s="9" t="s">
        <v>54</v>
      </c>
      <c r="V121" s="9" t="s">
        <v>61</v>
      </c>
      <c r="W121" s="9"/>
      <c r="X121" s="9"/>
      <c r="Y121" s="13">
        <v>176.64</v>
      </c>
      <c r="Z121" s="13">
        <v>1</v>
      </c>
      <c r="AA121" s="9"/>
      <c r="AB121" s="9"/>
      <c r="AC121" s="9"/>
      <c r="AD121" s="9"/>
      <c r="AE121" s="9"/>
      <c r="AF121" s="9"/>
      <c r="AG121" s="9"/>
      <c r="AH121" s="9"/>
      <c r="AI121" s="9">
        <v>1</v>
      </c>
      <c r="AJ121" s="9">
        <v>1</v>
      </c>
      <c r="AK121" s="14">
        <f t="shared" si="0"/>
        <v>1</v>
      </c>
      <c r="AL121" s="9"/>
      <c r="AM121" s="9"/>
      <c r="AN121" s="9"/>
      <c r="AO121" s="6"/>
      <c r="AP121" s="9"/>
      <c r="AQ121" s="9"/>
      <c r="AR121" s="9"/>
      <c r="AS121" s="9"/>
      <c r="AT121" s="9"/>
      <c r="AU121" s="9"/>
      <c r="AV121" s="9"/>
      <c r="AW121" s="9"/>
      <c r="AX121" s="9"/>
      <c r="AY121" s="9"/>
      <c r="AZ121" s="9"/>
      <c r="BA121" s="9"/>
      <c r="BB121" s="9"/>
      <c r="BC121" s="9"/>
      <c r="BD121" s="9"/>
      <c r="BE121" s="9"/>
      <c r="BF121" s="9"/>
      <c r="BG121" s="9"/>
      <c r="BH121" s="9"/>
    </row>
    <row r="122" spans="1:60" ht="12.5" hidden="1">
      <c r="A122" s="6" t="s">
        <v>608</v>
      </c>
      <c r="B122" s="16">
        <v>45582</v>
      </c>
      <c r="C122" s="8">
        <v>45601</v>
      </c>
      <c r="D122" s="9" t="s">
        <v>41</v>
      </c>
      <c r="E122" s="9" t="s">
        <v>609</v>
      </c>
      <c r="F122" s="9"/>
      <c r="G122" s="9" t="s">
        <v>43</v>
      </c>
      <c r="H122" s="10">
        <v>13.9</v>
      </c>
      <c r="I122" s="9" t="s">
        <v>44</v>
      </c>
      <c r="J122" s="9" t="s">
        <v>45</v>
      </c>
      <c r="K122" s="9" t="s">
        <v>610</v>
      </c>
      <c r="L122" s="11" t="s">
        <v>58</v>
      </c>
      <c r="M122" s="9" t="s">
        <v>48</v>
      </c>
      <c r="N122" s="9" t="s">
        <v>48</v>
      </c>
      <c r="O122" s="12" t="s">
        <v>611</v>
      </c>
      <c r="P122" s="6" t="s">
        <v>612</v>
      </c>
      <c r="Q122" s="9" t="s">
        <v>613</v>
      </c>
      <c r="R122" s="13">
        <v>1</v>
      </c>
      <c r="S122" s="9" t="s">
        <v>75</v>
      </c>
      <c r="T122" s="9" t="s">
        <v>53</v>
      </c>
      <c r="U122" s="9" t="s">
        <v>54</v>
      </c>
      <c r="V122" s="9" t="s">
        <v>61</v>
      </c>
      <c r="W122" s="9"/>
      <c r="X122" s="9"/>
      <c r="Y122" s="13">
        <v>78.83</v>
      </c>
      <c r="Z122" s="13">
        <v>1</v>
      </c>
      <c r="AA122" s="9"/>
      <c r="AB122" s="9"/>
      <c r="AC122" s="9"/>
      <c r="AD122" s="9"/>
      <c r="AE122" s="9"/>
      <c r="AF122" s="9"/>
      <c r="AG122" s="9"/>
      <c r="AH122" s="9"/>
      <c r="AI122" s="9">
        <v>1</v>
      </c>
      <c r="AJ122" s="9">
        <v>5</v>
      </c>
      <c r="AK122" s="14">
        <f t="shared" si="0"/>
        <v>0.2</v>
      </c>
      <c r="AL122" s="9"/>
      <c r="AM122" s="9"/>
      <c r="AN122" s="9"/>
      <c r="AO122" s="6"/>
      <c r="AP122" s="9"/>
      <c r="AQ122" s="9"/>
      <c r="AR122" s="9"/>
      <c r="AS122" s="9"/>
      <c r="AT122" s="9"/>
      <c r="AU122" s="9"/>
      <c r="AV122" s="9"/>
      <c r="AW122" s="9"/>
      <c r="AX122" s="9"/>
      <c r="AY122" s="9"/>
      <c r="AZ122" s="9"/>
      <c r="BA122" s="9"/>
      <c r="BB122" s="9"/>
      <c r="BC122" s="9"/>
      <c r="BD122" s="9"/>
      <c r="BE122" s="9"/>
      <c r="BF122" s="9"/>
      <c r="BG122" s="9"/>
      <c r="BH122" s="9"/>
    </row>
    <row r="123" spans="1:60" ht="12.5" hidden="1">
      <c r="A123" s="6" t="s">
        <v>614</v>
      </c>
      <c r="B123" s="16">
        <v>45592</v>
      </c>
      <c r="C123" s="8">
        <v>45598</v>
      </c>
      <c r="D123" s="9" t="s">
        <v>41</v>
      </c>
      <c r="E123" s="9" t="s">
        <v>615</v>
      </c>
      <c r="F123" s="9"/>
      <c r="G123" s="9" t="s">
        <v>43</v>
      </c>
      <c r="H123" s="10">
        <v>13.93</v>
      </c>
      <c r="I123" s="9" t="s">
        <v>44</v>
      </c>
      <c r="J123" s="9" t="s">
        <v>45</v>
      </c>
      <c r="K123" s="9" t="s">
        <v>616</v>
      </c>
      <c r="L123" s="11" t="s">
        <v>47</v>
      </c>
      <c r="M123" s="9" t="s">
        <v>48</v>
      </c>
      <c r="N123" s="9" t="s">
        <v>48</v>
      </c>
      <c r="O123" s="12" t="s">
        <v>617</v>
      </c>
      <c r="P123" s="6" t="s">
        <v>618</v>
      </c>
      <c r="Q123" s="9" t="s">
        <v>619</v>
      </c>
      <c r="R123" s="13">
        <v>1</v>
      </c>
      <c r="S123" s="9" t="s">
        <v>99</v>
      </c>
      <c r="T123" s="9" t="s">
        <v>53</v>
      </c>
      <c r="U123" s="9" t="s">
        <v>54</v>
      </c>
      <c r="V123" s="9" t="s">
        <v>55</v>
      </c>
      <c r="W123" s="9"/>
      <c r="X123" s="9"/>
      <c r="Y123" s="13">
        <v>96.99</v>
      </c>
      <c r="Z123" s="13">
        <v>1</v>
      </c>
      <c r="AA123" s="9"/>
      <c r="AB123" s="9"/>
      <c r="AC123" s="9"/>
      <c r="AD123" s="9"/>
      <c r="AE123" s="9"/>
      <c r="AF123" s="13">
        <v>96.99</v>
      </c>
      <c r="AG123" s="9"/>
      <c r="AH123" s="9"/>
      <c r="AI123" s="9">
        <v>2</v>
      </c>
      <c r="AJ123" s="9">
        <v>13</v>
      </c>
      <c r="AK123" s="14">
        <f t="shared" si="0"/>
        <v>0.15384615384615385</v>
      </c>
      <c r="AL123" s="9"/>
      <c r="AM123" s="9"/>
      <c r="AN123" s="9"/>
      <c r="AO123" s="6"/>
      <c r="AP123" s="9"/>
      <c r="AQ123" s="9"/>
      <c r="AR123" s="9"/>
      <c r="AS123" s="9"/>
      <c r="AT123" s="9"/>
      <c r="AU123" s="9"/>
      <c r="AV123" s="9"/>
      <c r="AW123" s="9"/>
      <c r="AX123" s="9"/>
      <c r="AY123" s="9"/>
      <c r="AZ123" s="9"/>
      <c r="BA123" s="9"/>
      <c r="BB123" s="9"/>
      <c r="BC123" s="9"/>
      <c r="BD123" s="9"/>
      <c r="BE123" s="9"/>
      <c r="BF123" s="9"/>
      <c r="BG123" s="9"/>
      <c r="BH123" s="9"/>
    </row>
    <row r="124" spans="1:60" ht="12.5" hidden="1">
      <c r="A124" s="6" t="s">
        <v>620</v>
      </c>
      <c r="B124" s="7">
        <v>45601</v>
      </c>
      <c r="C124" s="8">
        <v>45623</v>
      </c>
      <c r="D124" s="9" t="s">
        <v>41</v>
      </c>
      <c r="E124" s="9" t="s">
        <v>621</v>
      </c>
      <c r="F124" s="9"/>
      <c r="G124" s="9" t="s">
        <v>43</v>
      </c>
      <c r="H124" s="10">
        <v>13.9</v>
      </c>
      <c r="I124" s="9" t="s">
        <v>44</v>
      </c>
      <c r="J124" s="9" t="s">
        <v>45</v>
      </c>
      <c r="K124" s="9" t="s">
        <v>622</v>
      </c>
      <c r="L124" s="11" t="s">
        <v>47</v>
      </c>
      <c r="M124" s="9" t="s">
        <v>48</v>
      </c>
      <c r="N124" s="9" t="s">
        <v>48</v>
      </c>
      <c r="O124" s="12" t="s">
        <v>617</v>
      </c>
      <c r="P124" s="6" t="s">
        <v>618</v>
      </c>
      <c r="Q124" s="9" t="s">
        <v>619</v>
      </c>
      <c r="R124" s="13">
        <v>1</v>
      </c>
      <c r="S124" s="9" t="s">
        <v>99</v>
      </c>
      <c r="T124" s="9" t="s">
        <v>53</v>
      </c>
      <c r="U124" s="9" t="s">
        <v>54</v>
      </c>
      <c r="V124" s="9" t="s">
        <v>55</v>
      </c>
      <c r="W124" s="9"/>
      <c r="X124" s="9"/>
      <c r="Y124" s="13">
        <v>96.97</v>
      </c>
      <c r="Z124" s="13">
        <v>1</v>
      </c>
      <c r="AA124" s="9"/>
      <c r="AB124" s="9"/>
      <c r="AC124" s="9"/>
      <c r="AD124" s="9"/>
      <c r="AE124" s="9"/>
      <c r="AF124" s="13">
        <v>96.97</v>
      </c>
      <c r="AG124" s="9"/>
      <c r="AH124" s="9"/>
      <c r="AI124" s="9"/>
      <c r="AJ124" s="9"/>
      <c r="AK124" s="14" t="e">
        <f t="shared" si="0"/>
        <v>#DIV/0!</v>
      </c>
      <c r="AL124" s="9"/>
      <c r="AM124" s="9"/>
      <c r="AN124" s="9"/>
      <c r="AO124" s="6"/>
      <c r="AP124" s="9"/>
      <c r="AQ124" s="9"/>
      <c r="AR124" s="9"/>
      <c r="AS124" s="9"/>
      <c r="AT124" s="9"/>
      <c r="AU124" s="9"/>
      <c r="AV124" s="9"/>
      <c r="AW124" s="9"/>
      <c r="AX124" s="9"/>
      <c r="AY124" s="9"/>
      <c r="AZ124" s="9"/>
      <c r="BA124" s="9"/>
      <c r="BB124" s="9"/>
      <c r="BC124" s="9"/>
      <c r="BD124" s="9"/>
      <c r="BE124" s="9"/>
      <c r="BF124" s="9"/>
      <c r="BG124" s="9"/>
      <c r="BH124" s="9"/>
    </row>
    <row r="125" spans="1:60" ht="12.5" hidden="1">
      <c r="A125" s="6" t="s">
        <v>623</v>
      </c>
      <c r="B125" s="16">
        <v>45594</v>
      </c>
      <c r="C125" s="8">
        <v>45597</v>
      </c>
      <c r="D125" s="9" t="s">
        <v>41</v>
      </c>
      <c r="E125" s="9" t="s">
        <v>624</v>
      </c>
      <c r="F125" s="9"/>
      <c r="G125" s="9" t="s">
        <v>43</v>
      </c>
      <c r="H125" s="10">
        <v>11.34</v>
      </c>
      <c r="I125" s="9" t="s">
        <v>44</v>
      </c>
      <c r="J125" s="9" t="s">
        <v>45</v>
      </c>
      <c r="K125" s="9" t="s">
        <v>625</v>
      </c>
      <c r="L125" s="11" t="s">
        <v>58</v>
      </c>
      <c r="M125" s="9" t="s">
        <v>48</v>
      </c>
      <c r="N125" s="9" t="s">
        <v>48</v>
      </c>
      <c r="O125" s="12" t="s">
        <v>626</v>
      </c>
      <c r="P125" s="6" t="s">
        <v>627</v>
      </c>
      <c r="Q125" s="9" t="s">
        <v>628</v>
      </c>
      <c r="R125" s="13">
        <v>1</v>
      </c>
      <c r="S125" s="9" t="s">
        <v>68</v>
      </c>
      <c r="T125" s="9" t="s">
        <v>53</v>
      </c>
      <c r="U125" s="9" t="s">
        <v>54</v>
      </c>
      <c r="V125" s="9" t="s">
        <v>55</v>
      </c>
      <c r="W125" s="9"/>
      <c r="X125" s="9"/>
      <c r="Y125" s="13">
        <v>64.16</v>
      </c>
      <c r="Z125" s="13">
        <v>1</v>
      </c>
      <c r="AA125" s="9"/>
      <c r="AB125" s="9"/>
      <c r="AC125" s="9"/>
      <c r="AD125" s="9"/>
      <c r="AE125" s="9"/>
      <c r="AF125" s="13">
        <v>52.82</v>
      </c>
      <c r="AG125" s="9"/>
      <c r="AH125" s="9"/>
      <c r="AI125" s="9">
        <v>1</v>
      </c>
      <c r="AJ125" s="9"/>
      <c r="AK125" s="14" t="e">
        <f t="shared" si="0"/>
        <v>#DIV/0!</v>
      </c>
      <c r="AL125" s="9"/>
      <c r="AM125" s="9"/>
      <c r="AN125" s="9"/>
      <c r="AO125" s="6"/>
      <c r="AP125" s="9"/>
      <c r="AQ125" s="9"/>
      <c r="AR125" s="9"/>
      <c r="AS125" s="9"/>
      <c r="AT125" s="9"/>
      <c r="AU125" s="9"/>
      <c r="AV125" s="9"/>
      <c r="AW125" s="9"/>
      <c r="AX125" s="9"/>
      <c r="AY125" s="9"/>
      <c r="AZ125" s="9"/>
      <c r="BA125" s="9"/>
      <c r="BB125" s="9"/>
      <c r="BC125" s="9"/>
      <c r="BD125" s="9"/>
      <c r="BE125" s="9"/>
      <c r="BF125" s="9"/>
      <c r="BG125" s="9"/>
      <c r="BH125" s="9"/>
    </row>
    <row r="126" spans="1:60" ht="12.5" hidden="1">
      <c r="A126" s="6" t="s">
        <v>629</v>
      </c>
      <c r="B126" s="16">
        <v>45609</v>
      </c>
      <c r="C126" s="8">
        <v>45615</v>
      </c>
      <c r="D126" s="9" t="s">
        <v>41</v>
      </c>
      <c r="E126" s="9" t="s">
        <v>630</v>
      </c>
      <c r="F126" s="9"/>
      <c r="G126" s="9" t="s">
        <v>43</v>
      </c>
      <c r="H126" s="10">
        <v>13.06</v>
      </c>
      <c r="I126" s="9" t="s">
        <v>44</v>
      </c>
      <c r="J126" s="9" t="s">
        <v>45</v>
      </c>
      <c r="K126" s="9" t="s">
        <v>631</v>
      </c>
      <c r="L126" s="11" t="s">
        <v>47</v>
      </c>
      <c r="M126" s="9" t="s">
        <v>48</v>
      </c>
      <c r="N126" s="9" t="s">
        <v>48</v>
      </c>
      <c r="O126" s="12" t="s">
        <v>632</v>
      </c>
      <c r="P126" s="6" t="s">
        <v>633</v>
      </c>
      <c r="Q126" s="9" t="s">
        <v>634</v>
      </c>
      <c r="R126" s="13">
        <v>1</v>
      </c>
      <c r="S126" s="9" t="s">
        <v>52</v>
      </c>
      <c r="T126" s="9" t="s">
        <v>53</v>
      </c>
      <c r="U126" s="9" t="s">
        <v>54</v>
      </c>
      <c r="V126" s="9" t="s">
        <v>240</v>
      </c>
      <c r="W126" s="9"/>
      <c r="X126" s="9"/>
      <c r="Y126" s="13">
        <v>66.48</v>
      </c>
      <c r="Z126" s="13">
        <v>1</v>
      </c>
      <c r="AA126" s="9"/>
      <c r="AB126" s="9"/>
      <c r="AC126" s="9"/>
      <c r="AD126" s="9"/>
      <c r="AE126" s="9"/>
      <c r="AF126" s="13">
        <v>66.48</v>
      </c>
      <c r="AG126" s="9"/>
      <c r="AH126" s="9"/>
      <c r="AI126" s="9">
        <v>1</v>
      </c>
      <c r="AJ126" s="9">
        <v>8</v>
      </c>
      <c r="AK126" s="14">
        <f t="shared" si="0"/>
        <v>0.125</v>
      </c>
      <c r="AL126" s="9"/>
      <c r="AM126" s="9"/>
      <c r="AN126" s="9"/>
      <c r="AO126" s="6"/>
      <c r="AP126" s="9"/>
      <c r="AQ126" s="9"/>
      <c r="AR126" s="9"/>
      <c r="AS126" s="9"/>
      <c r="AT126" s="9"/>
      <c r="AU126" s="9"/>
      <c r="AV126" s="9"/>
      <c r="AW126" s="9"/>
      <c r="AX126" s="9"/>
      <c r="AY126" s="9"/>
      <c r="AZ126" s="9"/>
      <c r="BA126" s="9"/>
      <c r="BB126" s="9"/>
      <c r="BC126" s="9"/>
      <c r="BD126" s="9"/>
      <c r="BE126" s="9"/>
      <c r="BF126" s="9"/>
      <c r="BG126" s="9"/>
      <c r="BH126" s="9"/>
    </row>
    <row r="127" spans="1:60" ht="12.5" hidden="1">
      <c r="A127" s="6" t="s">
        <v>635</v>
      </c>
      <c r="B127" s="16">
        <v>45616</v>
      </c>
      <c r="C127" s="8">
        <v>45621</v>
      </c>
      <c r="D127" s="9" t="s">
        <v>41</v>
      </c>
      <c r="E127" s="9" t="s">
        <v>636</v>
      </c>
      <c r="F127" s="9"/>
      <c r="G127" s="9" t="s">
        <v>43</v>
      </c>
      <c r="H127" s="10">
        <v>11.31</v>
      </c>
      <c r="I127" s="9" t="s">
        <v>44</v>
      </c>
      <c r="J127" s="9" t="s">
        <v>45</v>
      </c>
      <c r="K127" s="9" t="s">
        <v>637</v>
      </c>
      <c r="L127" s="11" t="s">
        <v>47</v>
      </c>
      <c r="M127" s="9" t="s">
        <v>48</v>
      </c>
      <c r="N127" s="9" t="s">
        <v>48</v>
      </c>
      <c r="O127" s="12" t="s">
        <v>638</v>
      </c>
      <c r="P127" s="6" t="s">
        <v>639</v>
      </c>
      <c r="Q127" s="9" t="s">
        <v>640</v>
      </c>
      <c r="R127" s="13">
        <v>1</v>
      </c>
      <c r="S127" s="9" t="s">
        <v>156</v>
      </c>
      <c r="T127" s="9" t="s">
        <v>53</v>
      </c>
      <c r="U127" s="9" t="s">
        <v>54</v>
      </c>
      <c r="V127" s="9" t="s">
        <v>55</v>
      </c>
      <c r="W127" s="9"/>
      <c r="X127" s="9"/>
      <c r="Y127" s="13">
        <v>74.08</v>
      </c>
      <c r="Z127" s="13">
        <v>1</v>
      </c>
      <c r="AA127" s="9"/>
      <c r="AB127" s="9"/>
      <c r="AC127" s="9"/>
      <c r="AD127" s="9"/>
      <c r="AE127" s="9"/>
      <c r="AF127" s="13">
        <v>74.08</v>
      </c>
      <c r="AG127" s="9"/>
      <c r="AH127" s="9"/>
      <c r="AI127" s="9">
        <v>2</v>
      </c>
      <c r="AJ127" s="9">
        <v>12</v>
      </c>
      <c r="AK127" s="14">
        <f t="shared" si="0"/>
        <v>0.16666666666666666</v>
      </c>
      <c r="AL127" s="9"/>
      <c r="AM127" s="9"/>
      <c r="AN127" s="9"/>
      <c r="AO127" s="6"/>
      <c r="AP127" s="9"/>
      <c r="AQ127" s="9"/>
      <c r="AR127" s="9"/>
      <c r="AS127" s="9"/>
      <c r="AT127" s="9"/>
      <c r="AU127" s="9"/>
      <c r="AV127" s="9"/>
      <c r="AW127" s="9"/>
      <c r="AX127" s="9"/>
      <c r="AY127" s="9"/>
      <c r="AZ127" s="9"/>
      <c r="BA127" s="9"/>
      <c r="BB127" s="9"/>
      <c r="BC127" s="9"/>
      <c r="BD127" s="9"/>
      <c r="BE127" s="9"/>
      <c r="BF127" s="9"/>
      <c r="BG127" s="9"/>
      <c r="BH127" s="9"/>
    </row>
    <row r="128" spans="1:60" ht="12.5" hidden="1">
      <c r="A128" s="6" t="s">
        <v>641</v>
      </c>
      <c r="B128" s="16">
        <v>45615</v>
      </c>
      <c r="C128" s="8">
        <v>45617</v>
      </c>
      <c r="D128" s="9" t="s">
        <v>41</v>
      </c>
      <c r="E128" s="9" t="s">
        <v>642</v>
      </c>
      <c r="F128" s="9"/>
      <c r="G128" s="9" t="s">
        <v>43</v>
      </c>
      <c r="H128" s="10">
        <v>11.31</v>
      </c>
      <c r="I128" s="9" t="s">
        <v>44</v>
      </c>
      <c r="J128" s="9" t="s">
        <v>45</v>
      </c>
      <c r="K128" s="9" t="s">
        <v>643</v>
      </c>
      <c r="L128" s="11" t="s">
        <v>58</v>
      </c>
      <c r="M128" s="9" t="s">
        <v>48</v>
      </c>
      <c r="N128" s="9" t="s">
        <v>48</v>
      </c>
      <c r="O128" s="12" t="s">
        <v>638</v>
      </c>
      <c r="P128" s="6" t="s">
        <v>639</v>
      </c>
      <c r="Q128" s="9" t="s">
        <v>640</v>
      </c>
      <c r="R128" s="13">
        <v>1</v>
      </c>
      <c r="S128" s="9" t="s">
        <v>75</v>
      </c>
      <c r="T128" s="9" t="s">
        <v>53</v>
      </c>
      <c r="U128" s="9" t="s">
        <v>54</v>
      </c>
      <c r="V128" s="9" t="s">
        <v>55</v>
      </c>
      <c r="W128" s="9"/>
      <c r="X128" s="9"/>
      <c r="Y128" s="13">
        <v>74.08</v>
      </c>
      <c r="Z128" s="13">
        <v>1</v>
      </c>
      <c r="AA128" s="9"/>
      <c r="AB128" s="9"/>
      <c r="AC128" s="9"/>
      <c r="AD128" s="9"/>
      <c r="AE128" s="9"/>
      <c r="AF128" s="13">
        <v>62.77</v>
      </c>
      <c r="AG128" s="9"/>
      <c r="AH128" s="9"/>
      <c r="AI128" s="9"/>
      <c r="AJ128" s="9"/>
      <c r="AK128" s="14" t="e">
        <f t="shared" si="0"/>
        <v>#DIV/0!</v>
      </c>
      <c r="AL128" s="9"/>
      <c r="AM128" s="9"/>
      <c r="AN128" s="9"/>
      <c r="AO128" s="6"/>
      <c r="AP128" s="9"/>
      <c r="AQ128" s="9"/>
      <c r="AR128" s="9"/>
      <c r="AS128" s="9"/>
      <c r="AT128" s="9"/>
      <c r="AU128" s="9"/>
      <c r="AV128" s="9"/>
      <c r="AW128" s="9"/>
      <c r="AX128" s="9"/>
      <c r="AY128" s="9"/>
      <c r="AZ128" s="9"/>
      <c r="BA128" s="9"/>
      <c r="BB128" s="9"/>
      <c r="BC128" s="9"/>
      <c r="BD128" s="9"/>
      <c r="BE128" s="9"/>
      <c r="BF128" s="9"/>
      <c r="BG128" s="9"/>
      <c r="BH128" s="9"/>
    </row>
    <row r="129" spans="1:60" ht="12.5" hidden="1">
      <c r="A129" s="6" t="s">
        <v>644</v>
      </c>
      <c r="B129" s="16">
        <v>45582</v>
      </c>
      <c r="C129" s="8">
        <v>45598</v>
      </c>
      <c r="D129" s="9" t="s">
        <v>41</v>
      </c>
      <c r="E129" s="9" t="s">
        <v>645</v>
      </c>
      <c r="F129" s="9"/>
      <c r="G129" s="9" t="s">
        <v>43</v>
      </c>
      <c r="H129" s="10">
        <v>10.01</v>
      </c>
      <c r="I129" s="9" t="s">
        <v>44</v>
      </c>
      <c r="J129" s="9" t="s">
        <v>45</v>
      </c>
      <c r="K129" s="9" t="s">
        <v>646</v>
      </c>
      <c r="L129" s="11" t="s">
        <v>58</v>
      </c>
      <c r="M129" s="9" t="s">
        <v>48</v>
      </c>
      <c r="N129" s="9" t="s">
        <v>48</v>
      </c>
      <c r="O129" s="12" t="s">
        <v>647</v>
      </c>
      <c r="P129" s="6" t="s">
        <v>648</v>
      </c>
      <c r="Q129" s="9" t="s">
        <v>649</v>
      </c>
      <c r="R129" s="13">
        <v>1</v>
      </c>
      <c r="S129" s="9" t="s">
        <v>75</v>
      </c>
      <c r="T129" s="9" t="s">
        <v>53</v>
      </c>
      <c r="U129" s="9" t="s">
        <v>54</v>
      </c>
      <c r="V129" s="9" t="s">
        <v>55</v>
      </c>
      <c r="W129" s="9"/>
      <c r="X129" s="9"/>
      <c r="Y129" s="13">
        <v>76.64</v>
      </c>
      <c r="Z129" s="13">
        <v>1</v>
      </c>
      <c r="AA129" s="9"/>
      <c r="AB129" s="9"/>
      <c r="AC129" s="9"/>
      <c r="AD129" s="9"/>
      <c r="AE129" s="9"/>
      <c r="AF129" s="13">
        <v>66.63</v>
      </c>
      <c r="AG129" s="9"/>
      <c r="AH129" s="9"/>
      <c r="AI129" s="9">
        <v>2</v>
      </c>
      <c r="AJ129" s="9">
        <v>1</v>
      </c>
      <c r="AK129" s="14">
        <f t="shared" si="0"/>
        <v>2</v>
      </c>
      <c r="AL129" s="9"/>
      <c r="AM129" s="9"/>
      <c r="AN129" s="9"/>
      <c r="AO129" s="6"/>
      <c r="AP129" s="9"/>
      <c r="AQ129" s="9"/>
      <c r="AR129" s="9"/>
      <c r="AS129" s="9"/>
      <c r="AT129" s="9"/>
      <c r="AU129" s="9"/>
      <c r="AV129" s="9"/>
      <c r="AW129" s="9"/>
      <c r="AX129" s="9"/>
      <c r="AY129" s="9"/>
      <c r="AZ129" s="9"/>
      <c r="BA129" s="9"/>
      <c r="BB129" s="9"/>
      <c r="BC129" s="9"/>
      <c r="BD129" s="9"/>
      <c r="BE129" s="9"/>
      <c r="BF129" s="9"/>
      <c r="BG129" s="9"/>
      <c r="BH129" s="9"/>
    </row>
    <row r="130" spans="1:60" ht="12.5" hidden="1">
      <c r="A130" s="6" t="s">
        <v>650</v>
      </c>
      <c r="B130" s="7">
        <v>45598</v>
      </c>
      <c r="C130" s="8">
        <v>45621</v>
      </c>
      <c r="D130" s="9" t="s">
        <v>41</v>
      </c>
      <c r="E130" s="9" t="s">
        <v>651</v>
      </c>
      <c r="F130" s="9"/>
      <c r="G130" s="9" t="s">
        <v>43</v>
      </c>
      <c r="H130" s="10">
        <v>9.99</v>
      </c>
      <c r="I130" s="9" t="s">
        <v>44</v>
      </c>
      <c r="J130" s="9" t="s">
        <v>45</v>
      </c>
      <c r="K130" s="9" t="s">
        <v>652</v>
      </c>
      <c r="L130" s="11" t="s">
        <v>58</v>
      </c>
      <c r="M130" s="9" t="s">
        <v>48</v>
      </c>
      <c r="N130" s="9" t="s">
        <v>48</v>
      </c>
      <c r="O130" s="12" t="s">
        <v>647</v>
      </c>
      <c r="P130" s="6" t="s">
        <v>648</v>
      </c>
      <c r="Q130" s="9" t="s">
        <v>649</v>
      </c>
      <c r="R130" s="13">
        <v>1</v>
      </c>
      <c r="S130" s="9" t="s">
        <v>75</v>
      </c>
      <c r="T130" s="9" t="s">
        <v>53</v>
      </c>
      <c r="U130" s="9" t="s">
        <v>54</v>
      </c>
      <c r="V130" s="9" t="s">
        <v>55</v>
      </c>
      <c r="W130" s="9"/>
      <c r="X130" s="9"/>
      <c r="Y130" s="13">
        <v>77.31</v>
      </c>
      <c r="Z130" s="13">
        <v>1</v>
      </c>
      <c r="AA130" s="9"/>
      <c r="AB130" s="9"/>
      <c r="AC130" s="9"/>
      <c r="AD130" s="9"/>
      <c r="AE130" s="9"/>
      <c r="AF130" s="13">
        <v>67.319999999999993</v>
      </c>
      <c r="AG130" s="9"/>
      <c r="AH130" s="9"/>
      <c r="AI130" s="9"/>
      <c r="AJ130" s="9"/>
      <c r="AK130" s="14" t="e">
        <f t="shared" si="0"/>
        <v>#DIV/0!</v>
      </c>
      <c r="AL130" s="9"/>
      <c r="AM130" s="9"/>
      <c r="AN130" s="9"/>
      <c r="AO130" s="6"/>
      <c r="AP130" s="9"/>
      <c r="AQ130" s="9"/>
      <c r="AR130" s="9"/>
      <c r="AS130" s="9"/>
      <c r="AT130" s="9"/>
      <c r="AU130" s="9"/>
      <c r="AV130" s="9"/>
      <c r="AW130" s="9"/>
      <c r="AX130" s="9"/>
      <c r="AY130" s="9"/>
      <c r="AZ130" s="9"/>
      <c r="BA130" s="9"/>
      <c r="BB130" s="9"/>
      <c r="BC130" s="9"/>
      <c r="BD130" s="9"/>
      <c r="BE130" s="9"/>
      <c r="BF130" s="9"/>
      <c r="BG130" s="9"/>
      <c r="BH130" s="9"/>
    </row>
    <row r="131" spans="1:60" ht="12.5" hidden="1">
      <c r="A131" s="6" t="s">
        <v>653</v>
      </c>
      <c r="B131" s="16">
        <v>45592</v>
      </c>
      <c r="C131" s="8">
        <v>45606</v>
      </c>
      <c r="D131" s="9" t="s">
        <v>41</v>
      </c>
      <c r="E131" s="9" t="s">
        <v>654</v>
      </c>
      <c r="F131" s="9"/>
      <c r="G131" s="9" t="s">
        <v>43</v>
      </c>
      <c r="H131" s="10">
        <v>11.31</v>
      </c>
      <c r="I131" s="9" t="s">
        <v>44</v>
      </c>
      <c r="J131" s="9" t="s">
        <v>45</v>
      </c>
      <c r="K131" s="9" t="s">
        <v>655</v>
      </c>
      <c r="L131" s="11" t="s">
        <v>47</v>
      </c>
      <c r="M131" s="9" t="s">
        <v>48</v>
      </c>
      <c r="N131" s="9" t="s">
        <v>48</v>
      </c>
      <c r="O131" s="12" t="s">
        <v>656</v>
      </c>
      <c r="P131" s="6" t="s">
        <v>657</v>
      </c>
      <c r="Q131" s="9" t="s">
        <v>658</v>
      </c>
      <c r="R131" s="13">
        <v>1</v>
      </c>
      <c r="S131" s="9" t="s">
        <v>99</v>
      </c>
      <c r="T131" s="9" t="s">
        <v>53</v>
      </c>
      <c r="U131" s="9" t="s">
        <v>54</v>
      </c>
      <c r="V131" s="9" t="s">
        <v>55</v>
      </c>
      <c r="W131" s="9"/>
      <c r="X131" s="9"/>
      <c r="Y131" s="13">
        <v>71.36</v>
      </c>
      <c r="Z131" s="13">
        <v>1</v>
      </c>
      <c r="AA131" s="9"/>
      <c r="AB131" s="9"/>
      <c r="AC131" s="9"/>
      <c r="AD131" s="9"/>
      <c r="AE131" s="9"/>
      <c r="AF131" s="13">
        <v>71.36</v>
      </c>
      <c r="AG131" s="9"/>
      <c r="AH131" s="9"/>
      <c r="AI131" s="9">
        <v>1</v>
      </c>
      <c r="AJ131" s="9">
        <v>3</v>
      </c>
      <c r="AK131" s="14">
        <f t="shared" si="0"/>
        <v>0.33333333333333331</v>
      </c>
      <c r="AL131" s="9"/>
      <c r="AM131" s="9"/>
      <c r="AN131" s="9"/>
      <c r="AO131" s="6"/>
      <c r="AP131" s="9"/>
      <c r="AQ131" s="9"/>
      <c r="AR131" s="9"/>
      <c r="AS131" s="9"/>
      <c r="AT131" s="9"/>
      <c r="AU131" s="9"/>
      <c r="AV131" s="9"/>
      <c r="AW131" s="9"/>
      <c r="AX131" s="9"/>
      <c r="AY131" s="9"/>
      <c r="AZ131" s="9"/>
      <c r="BA131" s="9"/>
      <c r="BB131" s="9"/>
      <c r="BC131" s="9"/>
      <c r="BD131" s="9"/>
      <c r="BE131" s="9"/>
      <c r="BF131" s="9"/>
      <c r="BG131" s="9"/>
      <c r="BH131" s="9"/>
    </row>
    <row r="132" spans="1:60" ht="12.5" hidden="1">
      <c r="A132" s="6" t="s">
        <v>659</v>
      </c>
      <c r="B132" s="16">
        <v>45607</v>
      </c>
      <c r="C132" s="8">
        <v>45611</v>
      </c>
      <c r="D132" s="9" t="s">
        <v>41</v>
      </c>
      <c r="E132" s="9" t="s">
        <v>660</v>
      </c>
      <c r="F132" s="9"/>
      <c r="G132" s="9" t="s">
        <v>43</v>
      </c>
      <c r="H132" s="10">
        <v>9.27</v>
      </c>
      <c r="I132" s="9" t="s">
        <v>44</v>
      </c>
      <c r="J132" s="9" t="s">
        <v>45</v>
      </c>
      <c r="K132" s="9" t="s">
        <v>661</v>
      </c>
      <c r="L132" s="11" t="s">
        <v>47</v>
      </c>
      <c r="M132" s="9" t="s">
        <v>48</v>
      </c>
      <c r="N132" s="9" t="s">
        <v>48</v>
      </c>
      <c r="O132" s="12" t="s">
        <v>662</v>
      </c>
      <c r="P132" s="6" t="s">
        <v>663</v>
      </c>
      <c r="Q132" s="9" t="s">
        <v>664</v>
      </c>
      <c r="R132" s="13">
        <v>1</v>
      </c>
      <c r="S132" s="9" t="s">
        <v>52</v>
      </c>
      <c r="T132" s="9" t="s">
        <v>53</v>
      </c>
      <c r="U132" s="9" t="s">
        <v>54</v>
      </c>
      <c r="V132" s="9" t="s">
        <v>61</v>
      </c>
      <c r="W132" s="9"/>
      <c r="X132" s="9"/>
      <c r="Y132" s="13">
        <v>103.39</v>
      </c>
      <c r="Z132" s="13">
        <v>1</v>
      </c>
      <c r="AA132" s="9"/>
      <c r="AB132" s="9"/>
      <c r="AC132" s="9"/>
      <c r="AD132" s="9"/>
      <c r="AE132" s="9"/>
      <c r="AF132" s="9"/>
      <c r="AG132" s="9"/>
      <c r="AH132" s="9"/>
      <c r="AI132" s="9">
        <v>1</v>
      </c>
      <c r="AJ132" s="9">
        <v>5</v>
      </c>
      <c r="AK132" s="14">
        <f t="shared" si="0"/>
        <v>0.2</v>
      </c>
      <c r="AL132" s="9"/>
      <c r="AM132" s="9"/>
      <c r="AN132" s="9"/>
      <c r="AO132" s="6"/>
      <c r="AP132" s="9"/>
      <c r="AQ132" s="9"/>
      <c r="AR132" s="9"/>
      <c r="AS132" s="9"/>
      <c r="AT132" s="9"/>
      <c r="AU132" s="9"/>
      <c r="AV132" s="9"/>
      <c r="AW132" s="9"/>
      <c r="AX132" s="9"/>
      <c r="AY132" s="9"/>
      <c r="AZ132" s="9"/>
      <c r="BA132" s="9"/>
      <c r="BB132" s="9"/>
      <c r="BC132" s="9"/>
      <c r="BD132" s="9"/>
      <c r="BE132" s="9"/>
      <c r="BF132" s="9"/>
      <c r="BG132" s="9"/>
      <c r="BH132" s="9"/>
    </row>
    <row r="133" spans="1:60" ht="12.5" hidden="1">
      <c r="A133" s="6" t="s">
        <v>665</v>
      </c>
      <c r="B133" s="16">
        <v>45617</v>
      </c>
      <c r="C133" s="8">
        <v>45623</v>
      </c>
      <c r="D133" s="9" t="s">
        <v>41</v>
      </c>
      <c r="E133" s="9" t="s">
        <v>666</v>
      </c>
      <c r="F133" s="9"/>
      <c r="G133" s="9" t="s">
        <v>43</v>
      </c>
      <c r="H133" s="10">
        <v>13.9</v>
      </c>
      <c r="I133" s="9" t="s">
        <v>44</v>
      </c>
      <c r="J133" s="9" t="s">
        <v>45</v>
      </c>
      <c r="K133" s="9" t="s">
        <v>667</v>
      </c>
      <c r="L133" s="11" t="s">
        <v>58</v>
      </c>
      <c r="M133" s="9" t="s">
        <v>48</v>
      </c>
      <c r="N133" s="9" t="s">
        <v>48</v>
      </c>
      <c r="O133" s="12" t="s">
        <v>668</v>
      </c>
      <c r="P133" s="6" t="s">
        <v>669</v>
      </c>
      <c r="Q133" s="9" t="s">
        <v>670</v>
      </c>
      <c r="R133" s="13">
        <v>1</v>
      </c>
      <c r="S133" s="9" t="s">
        <v>75</v>
      </c>
      <c r="T133" s="9" t="s">
        <v>53</v>
      </c>
      <c r="U133" s="9" t="s">
        <v>54</v>
      </c>
      <c r="V133" s="9" t="s">
        <v>55</v>
      </c>
      <c r="W133" s="9"/>
      <c r="X133" s="9"/>
      <c r="Y133" s="13">
        <v>90.05</v>
      </c>
      <c r="Z133" s="13">
        <v>1</v>
      </c>
      <c r="AA133" s="9"/>
      <c r="AB133" s="9"/>
      <c r="AC133" s="9"/>
      <c r="AD133" s="9"/>
      <c r="AE133" s="9"/>
      <c r="AF133" s="13">
        <v>76.150000000000006</v>
      </c>
      <c r="AG133" s="9"/>
      <c r="AH133" s="9"/>
      <c r="AI133" s="9">
        <v>3</v>
      </c>
      <c r="AJ133" s="9">
        <v>26</v>
      </c>
      <c r="AK133" s="14">
        <f t="shared" si="0"/>
        <v>0.11538461538461539</v>
      </c>
      <c r="AL133" s="9"/>
      <c r="AM133" s="9"/>
      <c r="AN133" s="9"/>
      <c r="AO133" s="6"/>
      <c r="AP133" s="9"/>
      <c r="AQ133" s="9"/>
      <c r="AR133" s="9"/>
      <c r="AS133" s="9"/>
      <c r="AT133" s="9"/>
      <c r="AU133" s="9"/>
      <c r="AV133" s="9"/>
      <c r="AW133" s="9"/>
      <c r="AX133" s="9"/>
      <c r="AY133" s="9"/>
      <c r="AZ133" s="9"/>
      <c r="BA133" s="9"/>
      <c r="BB133" s="9"/>
      <c r="BC133" s="9"/>
      <c r="BD133" s="9"/>
      <c r="BE133" s="9"/>
      <c r="BF133" s="9"/>
      <c r="BG133" s="9"/>
      <c r="BH133" s="9"/>
    </row>
    <row r="134" spans="1:60" ht="12.5" hidden="1">
      <c r="A134" s="6" t="s">
        <v>671</v>
      </c>
      <c r="B134" s="16">
        <v>45617</v>
      </c>
      <c r="C134" s="8">
        <v>45623</v>
      </c>
      <c r="D134" s="9" t="s">
        <v>41</v>
      </c>
      <c r="E134" s="9" t="s">
        <v>672</v>
      </c>
      <c r="F134" s="9"/>
      <c r="G134" s="9" t="s">
        <v>43</v>
      </c>
      <c r="H134" s="10">
        <v>13.9</v>
      </c>
      <c r="I134" s="9" t="s">
        <v>44</v>
      </c>
      <c r="J134" s="9" t="s">
        <v>45</v>
      </c>
      <c r="K134" s="9" t="s">
        <v>673</v>
      </c>
      <c r="L134" s="11" t="s">
        <v>47</v>
      </c>
      <c r="M134" s="9" t="s">
        <v>48</v>
      </c>
      <c r="N134" s="9" t="s">
        <v>48</v>
      </c>
      <c r="O134" s="12" t="s">
        <v>668</v>
      </c>
      <c r="P134" s="6" t="s">
        <v>669</v>
      </c>
      <c r="Q134" s="9" t="s">
        <v>670</v>
      </c>
      <c r="R134" s="13">
        <v>1</v>
      </c>
      <c r="S134" s="9" t="s">
        <v>421</v>
      </c>
      <c r="T134" s="9" t="s">
        <v>53</v>
      </c>
      <c r="U134" s="9" t="s">
        <v>54</v>
      </c>
      <c r="V134" s="9" t="s">
        <v>61</v>
      </c>
      <c r="W134" s="9"/>
      <c r="X134" s="9"/>
      <c r="Y134" s="13">
        <v>84.95</v>
      </c>
      <c r="Z134" s="13">
        <v>1</v>
      </c>
      <c r="AA134" s="9"/>
      <c r="AB134" s="9"/>
      <c r="AC134" s="9"/>
      <c r="AD134" s="9"/>
      <c r="AE134" s="9"/>
      <c r="AF134" s="13">
        <v>84.95</v>
      </c>
      <c r="AG134" s="9"/>
      <c r="AH134" s="9"/>
      <c r="AI134" s="9"/>
      <c r="AJ134" s="9"/>
      <c r="AK134" s="14" t="e">
        <f t="shared" si="0"/>
        <v>#DIV/0!</v>
      </c>
      <c r="AL134" s="9"/>
      <c r="AM134" s="9"/>
      <c r="AN134" s="9"/>
      <c r="AO134" s="6"/>
      <c r="AP134" s="9"/>
      <c r="AQ134" s="9"/>
      <c r="AR134" s="9"/>
      <c r="AS134" s="9"/>
      <c r="AT134" s="9"/>
      <c r="AU134" s="9"/>
      <c r="AV134" s="9"/>
      <c r="AW134" s="9"/>
      <c r="AX134" s="9"/>
      <c r="AY134" s="9"/>
      <c r="AZ134" s="9"/>
      <c r="BA134" s="9"/>
      <c r="BB134" s="9"/>
      <c r="BC134" s="9"/>
      <c r="BD134" s="9"/>
      <c r="BE134" s="9"/>
      <c r="BF134" s="9"/>
      <c r="BG134" s="9"/>
      <c r="BH134" s="9"/>
    </row>
    <row r="135" spans="1:60" ht="12.5" hidden="1">
      <c r="A135" s="6" t="s">
        <v>674</v>
      </c>
      <c r="B135" s="7">
        <v>45603</v>
      </c>
      <c r="C135" s="8">
        <v>45613</v>
      </c>
      <c r="D135" s="9" t="s">
        <v>41</v>
      </c>
      <c r="E135" s="9" t="s">
        <v>675</v>
      </c>
      <c r="F135" s="9"/>
      <c r="G135" s="9" t="s">
        <v>43</v>
      </c>
      <c r="H135" s="10">
        <v>13.9</v>
      </c>
      <c r="I135" s="9" t="s">
        <v>44</v>
      </c>
      <c r="J135" s="9" t="s">
        <v>45</v>
      </c>
      <c r="K135" s="9" t="s">
        <v>676</v>
      </c>
      <c r="L135" s="11" t="s">
        <v>47</v>
      </c>
      <c r="M135" s="9" t="s">
        <v>48</v>
      </c>
      <c r="N135" s="9" t="s">
        <v>48</v>
      </c>
      <c r="O135" s="12" t="s">
        <v>668</v>
      </c>
      <c r="P135" s="6" t="s">
        <v>669</v>
      </c>
      <c r="Q135" s="9" t="s">
        <v>670</v>
      </c>
      <c r="R135" s="13">
        <v>1</v>
      </c>
      <c r="S135" s="9" t="s">
        <v>99</v>
      </c>
      <c r="T135" s="9" t="s">
        <v>53</v>
      </c>
      <c r="U135" s="9" t="s">
        <v>54</v>
      </c>
      <c r="V135" s="9" t="s">
        <v>61</v>
      </c>
      <c r="W135" s="9"/>
      <c r="X135" s="9"/>
      <c r="Y135" s="13">
        <v>89.62</v>
      </c>
      <c r="Z135" s="13">
        <v>1</v>
      </c>
      <c r="AA135" s="9"/>
      <c r="AB135" s="9"/>
      <c r="AC135" s="9"/>
      <c r="AD135" s="9"/>
      <c r="AE135" s="9"/>
      <c r="AF135" s="13">
        <v>89.62</v>
      </c>
      <c r="AG135" s="9"/>
      <c r="AH135" s="9"/>
      <c r="AI135" s="9"/>
      <c r="AJ135" s="9"/>
      <c r="AK135" s="14" t="e">
        <f t="shared" si="0"/>
        <v>#DIV/0!</v>
      </c>
      <c r="AL135" s="9"/>
      <c r="AM135" s="9"/>
      <c r="AN135" s="9"/>
      <c r="AO135" s="6"/>
      <c r="AP135" s="9"/>
      <c r="AQ135" s="9"/>
      <c r="AR135" s="9"/>
      <c r="AS135" s="9"/>
      <c r="AT135" s="9"/>
      <c r="AU135" s="9"/>
      <c r="AV135" s="9"/>
      <c r="AW135" s="9"/>
      <c r="AX135" s="9"/>
      <c r="AY135" s="9"/>
      <c r="AZ135" s="9"/>
      <c r="BA135" s="9"/>
      <c r="BB135" s="9"/>
      <c r="BC135" s="9"/>
      <c r="BD135" s="9"/>
      <c r="BE135" s="9"/>
      <c r="BF135" s="9"/>
      <c r="BG135" s="9"/>
      <c r="BH135" s="9"/>
    </row>
    <row r="136" spans="1:60" ht="12.5" hidden="1">
      <c r="A136" s="6" t="s">
        <v>677</v>
      </c>
      <c r="B136" s="7">
        <v>45605</v>
      </c>
      <c r="C136" s="8">
        <v>45610</v>
      </c>
      <c r="D136" s="9" t="s">
        <v>41</v>
      </c>
      <c r="E136" s="9" t="s">
        <v>678</v>
      </c>
      <c r="F136" s="9"/>
      <c r="G136" s="9" t="s">
        <v>43</v>
      </c>
      <c r="H136" s="10">
        <v>10.69</v>
      </c>
      <c r="I136" s="9" t="s">
        <v>44</v>
      </c>
      <c r="J136" s="9" t="s">
        <v>45</v>
      </c>
      <c r="K136" s="9" t="s">
        <v>679</v>
      </c>
      <c r="L136" s="11" t="s">
        <v>58</v>
      </c>
      <c r="M136" s="9" t="s">
        <v>48</v>
      </c>
      <c r="N136" s="9" t="s">
        <v>48</v>
      </c>
      <c r="O136" s="12" t="s">
        <v>680</v>
      </c>
      <c r="P136" s="6" t="s">
        <v>681</v>
      </c>
      <c r="Q136" s="9" t="s">
        <v>682</v>
      </c>
      <c r="R136" s="13">
        <v>1</v>
      </c>
      <c r="S136" s="9" t="s">
        <v>75</v>
      </c>
      <c r="T136" s="9" t="s">
        <v>53</v>
      </c>
      <c r="U136" s="9" t="s">
        <v>54</v>
      </c>
      <c r="V136" s="9" t="s">
        <v>61</v>
      </c>
      <c r="W136" s="9"/>
      <c r="X136" s="9"/>
      <c r="Y136" s="13">
        <v>68.37</v>
      </c>
      <c r="Z136" s="13">
        <v>1</v>
      </c>
      <c r="AA136" s="9"/>
      <c r="AB136" s="9"/>
      <c r="AC136" s="9"/>
      <c r="AD136" s="9"/>
      <c r="AE136" s="9"/>
      <c r="AF136" s="9"/>
      <c r="AG136" s="9"/>
      <c r="AH136" s="9"/>
      <c r="AI136" s="9">
        <v>5</v>
      </c>
      <c r="AJ136" s="9">
        <v>9</v>
      </c>
      <c r="AK136" s="14">
        <f t="shared" si="0"/>
        <v>0.55555555555555558</v>
      </c>
      <c r="AL136" s="9"/>
      <c r="AM136" s="9"/>
      <c r="AN136" s="9"/>
      <c r="AO136" s="6"/>
      <c r="AP136" s="9"/>
      <c r="AQ136" s="9"/>
      <c r="AR136" s="9"/>
      <c r="AS136" s="9"/>
      <c r="AT136" s="9"/>
      <c r="AU136" s="9"/>
      <c r="AV136" s="9"/>
      <c r="AW136" s="9"/>
      <c r="AX136" s="9"/>
      <c r="AY136" s="9"/>
      <c r="AZ136" s="9"/>
      <c r="BA136" s="9"/>
      <c r="BB136" s="9"/>
      <c r="BC136" s="9"/>
      <c r="BD136" s="9"/>
      <c r="BE136" s="9"/>
      <c r="BF136" s="9"/>
      <c r="BG136" s="9"/>
      <c r="BH136" s="9"/>
    </row>
    <row r="137" spans="1:60" ht="12.5" hidden="1">
      <c r="A137" s="6" t="s">
        <v>683</v>
      </c>
      <c r="B137" s="16">
        <v>45587</v>
      </c>
      <c r="C137" s="8">
        <v>45604</v>
      </c>
      <c r="D137" s="9" t="s">
        <v>41</v>
      </c>
      <c r="E137" s="9" t="s">
        <v>684</v>
      </c>
      <c r="F137" s="9"/>
      <c r="G137" s="9" t="s">
        <v>43</v>
      </c>
      <c r="H137" s="10">
        <v>10.69</v>
      </c>
      <c r="I137" s="9" t="s">
        <v>44</v>
      </c>
      <c r="J137" s="9" t="s">
        <v>45</v>
      </c>
      <c r="K137" s="9" t="s">
        <v>685</v>
      </c>
      <c r="L137" s="11" t="s">
        <v>47</v>
      </c>
      <c r="M137" s="9" t="s">
        <v>48</v>
      </c>
      <c r="N137" s="9" t="s">
        <v>48</v>
      </c>
      <c r="O137" s="12" t="s">
        <v>680</v>
      </c>
      <c r="P137" s="6" t="s">
        <v>681</v>
      </c>
      <c r="Q137" s="9" t="s">
        <v>682</v>
      </c>
      <c r="R137" s="13">
        <v>1</v>
      </c>
      <c r="S137" s="9" t="s">
        <v>52</v>
      </c>
      <c r="T137" s="9" t="s">
        <v>53</v>
      </c>
      <c r="U137" s="9" t="s">
        <v>54</v>
      </c>
      <c r="V137" s="9" t="s">
        <v>61</v>
      </c>
      <c r="W137" s="9"/>
      <c r="X137" s="9"/>
      <c r="Y137" s="13">
        <v>68.42</v>
      </c>
      <c r="Z137" s="13">
        <v>1</v>
      </c>
      <c r="AA137" s="9"/>
      <c r="AB137" s="9"/>
      <c r="AC137" s="9"/>
      <c r="AD137" s="9"/>
      <c r="AE137" s="9"/>
      <c r="AF137" s="9"/>
      <c r="AG137" s="9"/>
      <c r="AH137" s="9"/>
      <c r="AI137" s="9"/>
      <c r="AJ137" s="9"/>
      <c r="AK137" s="14" t="e">
        <f t="shared" si="0"/>
        <v>#DIV/0!</v>
      </c>
      <c r="AL137" s="9"/>
      <c r="AM137" s="9"/>
      <c r="AN137" s="9"/>
      <c r="AO137" s="6"/>
      <c r="AP137" s="9"/>
      <c r="AQ137" s="9"/>
      <c r="AR137" s="9"/>
      <c r="AS137" s="9"/>
      <c r="AT137" s="9"/>
      <c r="AU137" s="9"/>
      <c r="AV137" s="9"/>
      <c r="AW137" s="9"/>
      <c r="AX137" s="9"/>
      <c r="AY137" s="9"/>
      <c r="AZ137" s="9"/>
      <c r="BA137" s="9"/>
      <c r="BB137" s="9"/>
      <c r="BC137" s="9"/>
      <c r="BD137" s="9"/>
      <c r="BE137" s="9"/>
      <c r="BF137" s="9"/>
      <c r="BG137" s="9"/>
      <c r="BH137" s="9"/>
    </row>
    <row r="138" spans="1:60" ht="12.5" hidden="1">
      <c r="A138" s="6" t="s">
        <v>686</v>
      </c>
      <c r="B138" s="16">
        <v>45594</v>
      </c>
      <c r="C138" s="8">
        <v>45602</v>
      </c>
      <c r="D138" s="9" t="s">
        <v>41</v>
      </c>
      <c r="E138" s="9" t="s">
        <v>687</v>
      </c>
      <c r="F138" s="9"/>
      <c r="G138" s="9" t="s">
        <v>43</v>
      </c>
      <c r="H138" s="10">
        <v>10.69</v>
      </c>
      <c r="I138" s="9" t="s">
        <v>44</v>
      </c>
      <c r="J138" s="9" t="s">
        <v>45</v>
      </c>
      <c r="K138" s="9" t="s">
        <v>688</v>
      </c>
      <c r="L138" s="11" t="s">
        <v>47</v>
      </c>
      <c r="M138" s="9" t="s">
        <v>48</v>
      </c>
      <c r="N138" s="9" t="s">
        <v>48</v>
      </c>
      <c r="O138" s="12" t="s">
        <v>680</v>
      </c>
      <c r="P138" s="6" t="s">
        <v>681</v>
      </c>
      <c r="Q138" s="9" t="s">
        <v>682</v>
      </c>
      <c r="R138" s="13">
        <v>1</v>
      </c>
      <c r="S138" s="9" t="s">
        <v>52</v>
      </c>
      <c r="T138" s="9" t="s">
        <v>53</v>
      </c>
      <c r="U138" s="9" t="s">
        <v>54</v>
      </c>
      <c r="V138" s="9" t="s">
        <v>55</v>
      </c>
      <c r="W138" s="9"/>
      <c r="X138" s="9"/>
      <c r="Y138" s="13">
        <v>68.83</v>
      </c>
      <c r="Z138" s="13">
        <v>1</v>
      </c>
      <c r="AA138" s="9"/>
      <c r="AB138" s="9"/>
      <c r="AC138" s="9"/>
      <c r="AD138" s="9"/>
      <c r="AE138" s="9"/>
      <c r="AF138" s="13">
        <v>68.83</v>
      </c>
      <c r="AG138" s="9"/>
      <c r="AH138" s="9"/>
      <c r="AI138" s="9"/>
      <c r="AJ138" s="9"/>
      <c r="AK138" s="14" t="e">
        <f t="shared" si="0"/>
        <v>#DIV/0!</v>
      </c>
      <c r="AL138" s="9"/>
      <c r="AM138" s="9"/>
      <c r="AN138" s="9"/>
      <c r="AO138" s="6"/>
      <c r="AP138" s="9"/>
      <c r="AQ138" s="9"/>
      <c r="AR138" s="9"/>
      <c r="AS138" s="9"/>
      <c r="AT138" s="9"/>
      <c r="AU138" s="9"/>
      <c r="AV138" s="9"/>
      <c r="AW138" s="9"/>
      <c r="AX138" s="9"/>
      <c r="AY138" s="9"/>
      <c r="AZ138" s="9"/>
      <c r="BA138" s="9"/>
      <c r="BB138" s="9"/>
      <c r="BC138" s="9"/>
      <c r="BD138" s="9"/>
      <c r="BE138" s="9"/>
      <c r="BF138" s="9"/>
      <c r="BG138" s="9"/>
      <c r="BH138" s="9"/>
    </row>
    <row r="139" spans="1:60" ht="12.5" hidden="1">
      <c r="A139" s="6" t="s">
        <v>689</v>
      </c>
      <c r="B139" s="16">
        <v>45592</v>
      </c>
      <c r="C139" s="8">
        <v>45599</v>
      </c>
      <c r="D139" s="9" t="s">
        <v>41</v>
      </c>
      <c r="E139" s="9" t="s">
        <v>690</v>
      </c>
      <c r="F139" s="9"/>
      <c r="G139" s="9" t="s">
        <v>43</v>
      </c>
      <c r="H139" s="10">
        <v>10.71</v>
      </c>
      <c r="I139" s="9" t="s">
        <v>44</v>
      </c>
      <c r="J139" s="9" t="s">
        <v>45</v>
      </c>
      <c r="K139" s="9" t="s">
        <v>691</v>
      </c>
      <c r="L139" s="11" t="s">
        <v>58</v>
      </c>
      <c r="M139" s="9" t="s">
        <v>48</v>
      </c>
      <c r="N139" s="9" t="s">
        <v>48</v>
      </c>
      <c r="O139" s="12" t="s">
        <v>680</v>
      </c>
      <c r="P139" s="6" t="s">
        <v>681</v>
      </c>
      <c r="Q139" s="9" t="s">
        <v>682</v>
      </c>
      <c r="R139" s="13">
        <v>1</v>
      </c>
      <c r="S139" s="9" t="s">
        <v>452</v>
      </c>
      <c r="T139" s="9" t="s">
        <v>53</v>
      </c>
      <c r="U139" s="9" t="s">
        <v>60</v>
      </c>
      <c r="V139" s="9" t="s">
        <v>61</v>
      </c>
      <c r="W139" s="9"/>
      <c r="X139" s="9"/>
      <c r="Y139" s="13">
        <v>68.08</v>
      </c>
      <c r="Z139" s="13">
        <v>1</v>
      </c>
      <c r="AA139" s="9"/>
      <c r="AB139" s="9"/>
      <c r="AC139" s="9"/>
      <c r="AD139" s="9"/>
      <c r="AE139" s="9"/>
      <c r="AF139" s="9"/>
      <c r="AG139" s="9"/>
      <c r="AH139" s="9"/>
      <c r="AI139" s="9"/>
      <c r="AJ139" s="9"/>
      <c r="AK139" s="14" t="e">
        <f t="shared" si="0"/>
        <v>#DIV/0!</v>
      </c>
      <c r="AL139" s="9"/>
      <c r="AM139" s="9"/>
      <c r="AN139" s="9"/>
      <c r="AO139" s="6"/>
      <c r="AP139" s="9"/>
      <c r="AQ139" s="9"/>
      <c r="AR139" s="9"/>
      <c r="AS139" s="9"/>
      <c r="AT139" s="9"/>
      <c r="AU139" s="9"/>
      <c r="AV139" s="9"/>
      <c r="AW139" s="9"/>
      <c r="AX139" s="9"/>
      <c r="AY139" s="9"/>
      <c r="AZ139" s="9"/>
      <c r="BA139" s="9"/>
      <c r="BB139" s="9"/>
      <c r="BC139" s="9"/>
      <c r="BD139" s="9"/>
      <c r="BE139" s="9"/>
      <c r="BF139" s="9"/>
      <c r="BG139" s="9"/>
      <c r="BH139" s="9"/>
    </row>
    <row r="140" spans="1:60" ht="12.5" hidden="1">
      <c r="A140" s="6" t="s">
        <v>692</v>
      </c>
      <c r="B140" s="7">
        <v>45597</v>
      </c>
      <c r="C140" s="8">
        <v>45625</v>
      </c>
      <c r="D140" s="9" t="s">
        <v>41</v>
      </c>
      <c r="E140" s="9" t="s">
        <v>693</v>
      </c>
      <c r="F140" s="9"/>
      <c r="G140" s="9" t="s">
        <v>43</v>
      </c>
      <c r="H140" s="10">
        <v>10.69</v>
      </c>
      <c r="I140" s="9" t="s">
        <v>44</v>
      </c>
      <c r="J140" s="9" t="s">
        <v>45</v>
      </c>
      <c r="K140" s="9" t="s">
        <v>694</v>
      </c>
      <c r="L140" s="11" t="s">
        <v>47</v>
      </c>
      <c r="M140" s="9" t="s">
        <v>48</v>
      </c>
      <c r="N140" s="9" t="s">
        <v>48</v>
      </c>
      <c r="O140" s="12" t="s">
        <v>680</v>
      </c>
      <c r="P140" s="6" t="s">
        <v>681</v>
      </c>
      <c r="Q140" s="9" t="s">
        <v>682</v>
      </c>
      <c r="R140" s="13">
        <v>1</v>
      </c>
      <c r="S140" s="9" t="s">
        <v>52</v>
      </c>
      <c r="T140" s="9" t="s">
        <v>53</v>
      </c>
      <c r="U140" s="9" t="s">
        <v>54</v>
      </c>
      <c r="V140" s="9" t="s">
        <v>61</v>
      </c>
      <c r="W140" s="9"/>
      <c r="X140" s="9"/>
      <c r="Y140" s="13">
        <v>67.63</v>
      </c>
      <c r="Z140" s="13">
        <v>1</v>
      </c>
      <c r="AA140" s="9"/>
      <c r="AB140" s="9"/>
      <c r="AC140" s="9"/>
      <c r="AD140" s="9"/>
      <c r="AE140" s="9"/>
      <c r="AF140" s="9"/>
      <c r="AG140" s="9"/>
      <c r="AH140" s="9"/>
      <c r="AI140" s="9"/>
      <c r="AJ140" s="9"/>
      <c r="AK140" s="14" t="e">
        <f t="shared" si="0"/>
        <v>#DIV/0!</v>
      </c>
      <c r="AL140" s="9"/>
      <c r="AM140" s="9"/>
      <c r="AN140" s="9"/>
      <c r="AO140" s="6"/>
      <c r="AP140" s="9"/>
      <c r="AQ140" s="9"/>
      <c r="AR140" s="9"/>
      <c r="AS140" s="9"/>
      <c r="AT140" s="9"/>
      <c r="AU140" s="9"/>
      <c r="AV140" s="9"/>
      <c r="AW140" s="9"/>
      <c r="AX140" s="9"/>
      <c r="AY140" s="9"/>
      <c r="AZ140" s="9"/>
      <c r="BA140" s="9"/>
      <c r="BB140" s="9"/>
      <c r="BC140" s="9"/>
      <c r="BD140" s="9"/>
      <c r="BE140" s="9"/>
      <c r="BF140" s="9"/>
      <c r="BG140" s="9"/>
      <c r="BH140" s="9"/>
    </row>
    <row r="141" spans="1:60" ht="12.5" hidden="1">
      <c r="A141" s="6" t="s">
        <v>695</v>
      </c>
      <c r="B141" s="7">
        <v>45599</v>
      </c>
      <c r="C141" s="8">
        <v>45601</v>
      </c>
      <c r="D141" s="9" t="s">
        <v>41</v>
      </c>
      <c r="E141" s="9" t="s">
        <v>696</v>
      </c>
      <c r="F141" s="9"/>
      <c r="G141" s="9" t="s">
        <v>43</v>
      </c>
      <c r="H141" s="10">
        <v>11.31</v>
      </c>
      <c r="I141" s="9" t="s">
        <v>44</v>
      </c>
      <c r="J141" s="9" t="s">
        <v>45</v>
      </c>
      <c r="K141" s="9" t="s">
        <v>697</v>
      </c>
      <c r="L141" s="11" t="s">
        <v>58</v>
      </c>
      <c r="M141" s="9" t="s">
        <v>48</v>
      </c>
      <c r="N141" s="9" t="s">
        <v>48</v>
      </c>
      <c r="O141" s="12" t="s">
        <v>698</v>
      </c>
      <c r="P141" s="6" t="s">
        <v>699</v>
      </c>
      <c r="Q141" s="9" t="s">
        <v>700</v>
      </c>
      <c r="R141" s="13">
        <v>1</v>
      </c>
      <c r="S141" s="9" t="s">
        <v>68</v>
      </c>
      <c r="T141" s="9" t="s">
        <v>53</v>
      </c>
      <c r="U141" s="9" t="s">
        <v>54</v>
      </c>
      <c r="V141" s="9" t="s">
        <v>55</v>
      </c>
      <c r="W141" s="9"/>
      <c r="X141" s="9"/>
      <c r="Y141" s="13">
        <v>56.11</v>
      </c>
      <c r="Z141" s="13">
        <v>1</v>
      </c>
      <c r="AA141" s="9"/>
      <c r="AB141" s="9"/>
      <c r="AC141" s="9"/>
      <c r="AD141" s="9"/>
      <c r="AE141" s="9"/>
      <c r="AF141" s="13">
        <v>44.8</v>
      </c>
      <c r="AG141" s="9"/>
      <c r="AH141" s="9"/>
      <c r="AI141" s="9">
        <v>2</v>
      </c>
      <c r="AJ141" s="9">
        <v>11</v>
      </c>
      <c r="AK141" s="14">
        <f t="shared" si="0"/>
        <v>0.18181818181818182</v>
      </c>
      <c r="AL141" s="9"/>
      <c r="AM141" s="9"/>
      <c r="AN141" s="9"/>
      <c r="AO141" s="6"/>
      <c r="AP141" s="9"/>
      <c r="AQ141" s="9"/>
      <c r="AR141" s="9"/>
      <c r="AS141" s="9"/>
      <c r="AT141" s="9"/>
      <c r="AU141" s="9"/>
      <c r="AV141" s="9"/>
      <c r="AW141" s="9"/>
      <c r="AX141" s="9"/>
      <c r="AY141" s="9"/>
      <c r="AZ141" s="9"/>
      <c r="BA141" s="9"/>
      <c r="BB141" s="9"/>
      <c r="BC141" s="9"/>
      <c r="BD141" s="9"/>
      <c r="BE141" s="9"/>
      <c r="BF141" s="9"/>
      <c r="BG141" s="9"/>
      <c r="BH141" s="9"/>
    </row>
    <row r="142" spans="1:60" ht="12.5" hidden="1">
      <c r="A142" s="6" t="s">
        <v>701</v>
      </c>
      <c r="B142" s="16">
        <v>45608</v>
      </c>
      <c r="C142" s="8">
        <v>45626</v>
      </c>
      <c r="D142" s="9" t="s">
        <v>41</v>
      </c>
      <c r="E142" s="9" t="s">
        <v>702</v>
      </c>
      <c r="F142" s="9"/>
      <c r="G142" s="9" t="s">
        <v>43</v>
      </c>
      <c r="H142" s="10">
        <v>11.31</v>
      </c>
      <c r="I142" s="9" t="s">
        <v>44</v>
      </c>
      <c r="J142" s="9" t="s">
        <v>45</v>
      </c>
      <c r="K142" s="9" t="s">
        <v>703</v>
      </c>
      <c r="L142" s="11" t="s">
        <v>58</v>
      </c>
      <c r="M142" s="9" t="s">
        <v>48</v>
      </c>
      <c r="N142" s="9" t="s">
        <v>48</v>
      </c>
      <c r="O142" s="12" t="s">
        <v>698</v>
      </c>
      <c r="P142" s="6" t="s">
        <v>699</v>
      </c>
      <c r="Q142" s="9" t="s">
        <v>700</v>
      </c>
      <c r="R142" s="13">
        <v>1</v>
      </c>
      <c r="S142" s="9" t="s">
        <v>75</v>
      </c>
      <c r="T142" s="9" t="s">
        <v>53</v>
      </c>
      <c r="U142" s="9" t="s">
        <v>54</v>
      </c>
      <c r="V142" s="9" t="s">
        <v>61</v>
      </c>
      <c r="W142" s="9"/>
      <c r="X142" s="9"/>
      <c r="Y142" s="13">
        <v>55.58</v>
      </c>
      <c r="Z142" s="13">
        <v>1</v>
      </c>
      <c r="AA142" s="9"/>
      <c r="AB142" s="9"/>
      <c r="AC142" s="9"/>
      <c r="AD142" s="9"/>
      <c r="AE142" s="9"/>
      <c r="AF142" s="9"/>
      <c r="AG142" s="9"/>
      <c r="AH142" s="9"/>
      <c r="AI142" s="9"/>
      <c r="AJ142" s="9"/>
      <c r="AK142" s="14" t="e">
        <f t="shared" si="0"/>
        <v>#DIV/0!</v>
      </c>
      <c r="AL142" s="9"/>
      <c r="AM142" s="9"/>
      <c r="AN142" s="9"/>
      <c r="AO142" s="6"/>
      <c r="AP142" s="9"/>
      <c r="AQ142" s="9"/>
      <c r="AR142" s="9"/>
      <c r="AS142" s="9"/>
      <c r="AT142" s="9"/>
      <c r="AU142" s="9"/>
      <c r="AV142" s="9"/>
      <c r="AW142" s="9"/>
      <c r="AX142" s="9"/>
      <c r="AY142" s="9"/>
      <c r="AZ142" s="9"/>
      <c r="BA142" s="9"/>
      <c r="BB142" s="9"/>
      <c r="BC142" s="9"/>
      <c r="BD142" s="9"/>
      <c r="BE142" s="9"/>
      <c r="BF142" s="9"/>
      <c r="BG142" s="9"/>
      <c r="BH142" s="9"/>
    </row>
    <row r="143" spans="1:60" ht="12.5" hidden="1">
      <c r="A143" s="6" t="s">
        <v>704</v>
      </c>
      <c r="B143" s="16">
        <v>45593</v>
      </c>
      <c r="C143" s="8">
        <v>45605</v>
      </c>
      <c r="D143" s="9" t="s">
        <v>41</v>
      </c>
      <c r="E143" s="9" t="s">
        <v>705</v>
      </c>
      <c r="F143" s="9"/>
      <c r="G143" s="9" t="s">
        <v>43</v>
      </c>
      <c r="H143" s="10">
        <v>12.17</v>
      </c>
      <c r="I143" s="9" t="s">
        <v>44</v>
      </c>
      <c r="J143" s="9" t="s">
        <v>45</v>
      </c>
      <c r="K143" s="9" t="s">
        <v>706</v>
      </c>
      <c r="L143" s="11" t="s">
        <v>47</v>
      </c>
      <c r="M143" s="9" t="s">
        <v>48</v>
      </c>
      <c r="N143" s="9" t="s">
        <v>48</v>
      </c>
      <c r="O143" s="12" t="s">
        <v>707</v>
      </c>
      <c r="P143" s="6" t="s">
        <v>708</v>
      </c>
      <c r="Q143" s="9" t="s">
        <v>709</v>
      </c>
      <c r="R143" s="13">
        <v>1</v>
      </c>
      <c r="S143" s="9" t="s">
        <v>52</v>
      </c>
      <c r="T143" s="9" t="s">
        <v>53</v>
      </c>
      <c r="U143" s="9" t="s">
        <v>54</v>
      </c>
      <c r="V143" s="9" t="s">
        <v>55</v>
      </c>
      <c r="W143" s="9"/>
      <c r="X143" s="9"/>
      <c r="Y143" s="13">
        <v>106.55</v>
      </c>
      <c r="Z143" s="13">
        <v>1</v>
      </c>
      <c r="AA143" s="9"/>
      <c r="AB143" s="9"/>
      <c r="AC143" s="9"/>
      <c r="AD143" s="9"/>
      <c r="AE143" s="9"/>
      <c r="AF143" s="13">
        <v>106.55</v>
      </c>
      <c r="AG143" s="9"/>
      <c r="AH143" s="9"/>
      <c r="AI143" s="9">
        <v>1</v>
      </c>
      <c r="AJ143" s="9">
        <v>0</v>
      </c>
      <c r="AK143" s="14" t="e">
        <f t="shared" si="0"/>
        <v>#DIV/0!</v>
      </c>
      <c r="AL143" s="9"/>
      <c r="AM143" s="9"/>
      <c r="AN143" s="9"/>
      <c r="AO143" s="6"/>
      <c r="AP143" s="9"/>
      <c r="AQ143" s="9"/>
      <c r="AR143" s="9"/>
      <c r="AS143" s="9"/>
      <c r="AT143" s="9"/>
      <c r="AU143" s="9"/>
      <c r="AV143" s="9"/>
      <c r="AW143" s="9"/>
      <c r="AX143" s="9"/>
      <c r="AY143" s="9"/>
      <c r="AZ143" s="9"/>
      <c r="BA143" s="9"/>
      <c r="BB143" s="9"/>
      <c r="BC143" s="9"/>
      <c r="BD143" s="9"/>
      <c r="BE143" s="9"/>
      <c r="BF143" s="9"/>
      <c r="BG143" s="9"/>
      <c r="BH143" s="9"/>
    </row>
    <row r="144" spans="1:60" ht="12.5" hidden="1">
      <c r="A144" s="6" t="s">
        <v>710</v>
      </c>
      <c r="B144" s="7">
        <v>45601</v>
      </c>
      <c r="C144" s="8">
        <v>45608</v>
      </c>
      <c r="D144" s="9" t="s">
        <v>41</v>
      </c>
      <c r="E144" s="9" t="s">
        <v>711</v>
      </c>
      <c r="F144" s="9"/>
      <c r="G144" s="9" t="s">
        <v>43</v>
      </c>
      <c r="H144" s="10">
        <v>13.51</v>
      </c>
      <c r="I144" s="9" t="s">
        <v>44</v>
      </c>
      <c r="J144" s="9" t="s">
        <v>45</v>
      </c>
      <c r="K144" s="9" t="s">
        <v>712</v>
      </c>
      <c r="L144" s="11" t="s">
        <v>58</v>
      </c>
      <c r="M144" s="9" t="s">
        <v>48</v>
      </c>
      <c r="N144" s="9" t="s">
        <v>48</v>
      </c>
      <c r="O144" s="12" t="s">
        <v>713</v>
      </c>
      <c r="P144" s="6" t="s">
        <v>714</v>
      </c>
      <c r="Q144" s="9" t="s">
        <v>715</v>
      </c>
      <c r="R144" s="13">
        <v>1</v>
      </c>
      <c r="S144" s="9" t="s">
        <v>68</v>
      </c>
      <c r="T144" s="9" t="s">
        <v>53</v>
      </c>
      <c r="U144" s="9" t="s">
        <v>54</v>
      </c>
      <c r="V144" s="9" t="s">
        <v>55</v>
      </c>
      <c r="W144" s="9"/>
      <c r="X144" s="9"/>
      <c r="Y144" s="13">
        <v>79.430000000000007</v>
      </c>
      <c r="Z144" s="13">
        <v>1</v>
      </c>
      <c r="AA144" s="9"/>
      <c r="AB144" s="9"/>
      <c r="AC144" s="9"/>
      <c r="AD144" s="9"/>
      <c r="AE144" s="9"/>
      <c r="AF144" s="13">
        <v>65.92</v>
      </c>
      <c r="AG144" s="9"/>
      <c r="AH144" s="9"/>
      <c r="AI144" s="9">
        <v>1</v>
      </c>
      <c r="AJ144" s="9">
        <v>16</v>
      </c>
      <c r="AK144" s="14">
        <f t="shared" si="0"/>
        <v>6.25E-2</v>
      </c>
      <c r="AL144" s="9"/>
      <c r="AM144" s="9"/>
      <c r="AN144" s="9"/>
      <c r="AO144" s="6"/>
      <c r="AP144" s="9"/>
      <c r="AQ144" s="9"/>
      <c r="AR144" s="9"/>
      <c r="AS144" s="9"/>
      <c r="AT144" s="9"/>
      <c r="AU144" s="9"/>
      <c r="AV144" s="9"/>
      <c r="AW144" s="9"/>
      <c r="AX144" s="9"/>
      <c r="AY144" s="9"/>
      <c r="AZ144" s="9"/>
      <c r="BA144" s="9"/>
      <c r="BB144" s="9"/>
      <c r="BC144" s="9"/>
      <c r="BD144" s="9"/>
      <c r="BE144" s="9"/>
      <c r="BF144" s="9"/>
      <c r="BG144" s="9"/>
      <c r="BH144" s="9"/>
    </row>
    <row r="145" spans="1:60" ht="12.5" hidden="1">
      <c r="A145" s="6" t="s">
        <v>716</v>
      </c>
      <c r="B145" s="16">
        <v>45596</v>
      </c>
      <c r="C145" s="8">
        <v>45600</v>
      </c>
      <c r="D145" s="9" t="s">
        <v>41</v>
      </c>
      <c r="E145" s="9" t="s">
        <v>717</v>
      </c>
      <c r="F145" s="9"/>
      <c r="G145" s="9" t="s">
        <v>43</v>
      </c>
      <c r="H145" s="10">
        <v>13.06</v>
      </c>
      <c r="I145" s="9" t="s">
        <v>44</v>
      </c>
      <c r="J145" s="9" t="s">
        <v>45</v>
      </c>
      <c r="K145" s="9" t="s">
        <v>718</v>
      </c>
      <c r="L145" s="11" t="s">
        <v>58</v>
      </c>
      <c r="M145" s="9" t="s">
        <v>48</v>
      </c>
      <c r="N145" s="9" t="s">
        <v>48</v>
      </c>
      <c r="O145" s="12" t="s">
        <v>719</v>
      </c>
      <c r="P145" s="6" t="s">
        <v>720</v>
      </c>
      <c r="Q145" s="9" t="s">
        <v>721</v>
      </c>
      <c r="R145" s="13">
        <v>1</v>
      </c>
      <c r="S145" s="9" t="s">
        <v>75</v>
      </c>
      <c r="T145" s="9" t="s">
        <v>53</v>
      </c>
      <c r="U145" s="9" t="s">
        <v>54</v>
      </c>
      <c r="V145" s="9" t="s">
        <v>55</v>
      </c>
      <c r="W145" s="9"/>
      <c r="X145" s="9"/>
      <c r="Y145" s="13">
        <v>104.79</v>
      </c>
      <c r="Z145" s="13">
        <v>1</v>
      </c>
      <c r="AA145" s="9"/>
      <c r="AB145" s="9"/>
      <c r="AC145" s="9"/>
      <c r="AD145" s="9"/>
      <c r="AE145" s="9"/>
      <c r="AF145" s="13">
        <v>91.73</v>
      </c>
      <c r="AG145" s="9"/>
      <c r="AH145" s="9"/>
      <c r="AI145" s="9">
        <v>1</v>
      </c>
      <c r="AJ145" s="9">
        <v>3</v>
      </c>
      <c r="AK145" s="14">
        <f t="shared" si="0"/>
        <v>0.33333333333333331</v>
      </c>
      <c r="AL145" s="9"/>
      <c r="AM145" s="9"/>
      <c r="AN145" s="9"/>
      <c r="AO145" s="6"/>
      <c r="AP145" s="9"/>
      <c r="AQ145" s="9"/>
      <c r="AR145" s="9"/>
      <c r="AS145" s="9"/>
      <c r="AT145" s="9"/>
      <c r="AU145" s="9"/>
      <c r="AV145" s="9"/>
      <c r="AW145" s="9"/>
      <c r="AX145" s="9"/>
      <c r="AY145" s="9"/>
      <c r="AZ145" s="9"/>
      <c r="BA145" s="9"/>
      <c r="BB145" s="9"/>
      <c r="BC145" s="9"/>
      <c r="BD145" s="9"/>
      <c r="BE145" s="9"/>
      <c r="BF145" s="9"/>
      <c r="BG145" s="9"/>
      <c r="BH145" s="9"/>
    </row>
    <row r="146" spans="1:60" ht="12.5" hidden="1">
      <c r="A146" s="6" t="s">
        <v>722</v>
      </c>
      <c r="B146" s="16">
        <v>45594</v>
      </c>
      <c r="C146" s="8">
        <v>45602</v>
      </c>
      <c r="D146" s="9" t="s">
        <v>41</v>
      </c>
      <c r="E146" s="9" t="s">
        <v>723</v>
      </c>
      <c r="F146" s="9"/>
      <c r="G146" s="9" t="s">
        <v>43</v>
      </c>
      <c r="H146" s="10">
        <v>10.69</v>
      </c>
      <c r="I146" s="9" t="s">
        <v>44</v>
      </c>
      <c r="J146" s="9" t="s">
        <v>45</v>
      </c>
      <c r="K146" s="9" t="s">
        <v>724</v>
      </c>
      <c r="L146" s="11" t="s">
        <v>47</v>
      </c>
      <c r="M146" s="9" t="s">
        <v>48</v>
      </c>
      <c r="N146" s="9" t="s">
        <v>48</v>
      </c>
      <c r="O146" s="12" t="s">
        <v>725</v>
      </c>
      <c r="P146" s="6" t="s">
        <v>726</v>
      </c>
      <c r="Q146" s="9" t="s">
        <v>727</v>
      </c>
      <c r="R146" s="13">
        <v>1</v>
      </c>
      <c r="S146" s="9" t="s">
        <v>99</v>
      </c>
      <c r="T146" s="9" t="s">
        <v>53</v>
      </c>
      <c r="U146" s="9" t="s">
        <v>54</v>
      </c>
      <c r="V146" s="9" t="s">
        <v>55</v>
      </c>
      <c r="W146" s="9"/>
      <c r="X146" s="9"/>
      <c r="Y146" s="13">
        <v>124.92</v>
      </c>
      <c r="Z146" s="13">
        <v>1</v>
      </c>
      <c r="AA146" s="9"/>
      <c r="AB146" s="9"/>
      <c r="AC146" s="9"/>
      <c r="AD146" s="9"/>
      <c r="AE146" s="9"/>
      <c r="AF146" s="13">
        <v>124.92</v>
      </c>
      <c r="AG146" s="9"/>
      <c r="AH146" s="9"/>
      <c r="AI146" s="9">
        <v>1</v>
      </c>
      <c r="AJ146" s="9">
        <v>0</v>
      </c>
      <c r="AK146" s="14" t="e">
        <f t="shared" si="0"/>
        <v>#DIV/0!</v>
      </c>
      <c r="AL146" s="9"/>
      <c r="AM146" s="9"/>
      <c r="AN146" s="9"/>
      <c r="AO146" s="6"/>
      <c r="AP146" s="9"/>
      <c r="AQ146" s="9"/>
      <c r="AR146" s="9"/>
      <c r="AS146" s="9"/>
      <c r="AT146" s="9"/>
      <c r="AU146" s="9"/>
      <c r="AV146" s="9"/>
      <c r="AW146" s="9"/>
      <c r="AX146" s="9"/>
      <c r="AY146" s="9"/>
      <c r="AZ146" s="9"/>
      <c r="BA146" s="9"/>
      <c r="BB146" s="9"/>
      <c r="BC146" s="9"/>
      <c r="BD146" s="9"/>
      <c r="BE146" s="9"/>
      <c r="BF146" s="9"/>
      <c r="BG146" s="9"/>
      <c r="BH146" s="9"/>
    </row>
    <row r="147" spans="1:60" ht="12.5" hidden="1">
      <c r="A147" s="6" t="s">
        <v>728</v>
      </c>
      <c r="B147" s="16">
        <v>45595</v>
      </c>
      <c r="C147" s="8">
        <v>45599</v>
      </c>
      <c r="D147" s="9" t="s">
        <v>41</v>
      </c>
      <c r="E147" s="9" t="s">
        <v>729</v>
      </c>
      <c r="F147" s="9"/>
      <c r="G147" s="9" t="s">
        <v>43</v>
      </c>
      <c r="H147" s="10">
        <v>15.45</v>
      </c>
      <c r="I147" s="9" t="s">
        <v>44</v>
      </c>
      <c r="J147" s="9" t="s">
        <v>45</v>
      </c>
      <c r="K147" s="9" t="s">
        <v>730</v>
      </c>
      <c r="L147" s="11" t="s">
        <v>58</v>
      </c>
      <c r="M147" s="9" t="s">
        <v>48</v>
      </c>
      <c r="N147" s="9" t="s">
        <v>48</v>
      </c>
      <c r="O147" s="12" t="s">
        <v>731</v>
      </c>
      <c r="P147" s="6" t="s">
        <v>732</v>
      </c>
      <c r="Q147" s="9" t="s">
        <v>733</v>
      </c>
      <c r="R147" s="13">
        <v>1</v>
      </c>
      <c r="S147" s="9" t="s">
        <v>75</v>
      </c>
      <c r="T147" s="9" t="s">
        <v>53</v>
      </c>
      <c r="U147" s="9" t="s">
        <v>54</v>
      </c>
      <c r="V147" s="9" t="s">
        <v>61</v>
      </c>
      <c r="W147" s="9"/>
      <c r="X147" s="9"/>
      <c r="Y147" s="13">
        <v>107.54</v>
      </c>
      <c r="Z147" s="13">
        <v>1</v>
      </c>
      <c r="AA147" s="9"/>
      <c r="AB147" s="9"/>
      <c r="AC147" s="9"/>
      <c r="AD147" s="9"/>
      <c r="AE147" s="9"/>
      <c r="AF147" s="9"/>
      <c r="AG147" s="9"/>
      <c r="AH147" s="9"/>
      <c r="AI147" s="9">
        <v>1</v>
      </c>
      <c r="AJ147" s="9">
        <v>1</v>
      </c>
      <c r="AK147" s="14">
        <f t="shared" si="0"/>
        <v>1</v>
      </c>
      <c r="AL147" s="9"/>
      <c r="AM147" s="9"/>
      <c r="AN147" s="9"/>
      <c r="AO147" s="6"/>
      <c r="AP147" s="9"/>
      <c r="AQ147" s="9"/>
      <c r="AR147" s="9"/>
      <c r="AS147" s="9"/>
      <c r="AT147" s="9"/>
      <c r="AU147" s="9"/>
      <c r="AV147" s="9"/>
      <c r="AW147" s="9"/>
      <c r="AX147" s="9"/>
      <c r="AY147" s="9"/>
      <c r="AZ147" s="9"/>
      <c r="BA147" s="9"/>
      <c r="BB147" s="9"/>
      <c r="BC147" s="9"/>
      <c r="BD147" s="9"/>
      <c r="BE147" s="9"/>
      <c r="BF147" s="9"/>
      <c r="BG147" s="9"/>
      <c r="BH147" s="9"/>
    </row>
    <row r="148" spans="1:60" ht="12.5" hidden="1">
      <c r="A148" s="6" t="s">
        <v>734</v>
      </c>
      <c r="B148" s="16">
        <v>45586</v>
      </c>
      <c r="C148" s="8">
        <v>45604</v>
      </c>
      <c r="D148" s="9" t="s">
        <v>41</v>
      </c>
      <c r="E148" s="9" t="s">
        <v>735</v>
      </c>
      <c r="F148" s="9"/>
      <c r="G148" s="9" t="s">
        <v>43</v>
      </c>
      <c r="H148" s="10">
        <v>9.65</v>
      </c>
      <c r="I148" s="9" t="s">
        <v>44</v>
      </c>
      <c r="J148" s="9" t="s">
        <v>45</v>
      </c>
      <c r="K148" s="9" t="s">
        <v>736</v>
      </c>
      <c r="L148" s="11" t="s">
        <v>47</v>
      </c>
      <c r="M148" s="9" t="s">
        <v>48</v>
      </c>
      <c r="N148" s="9" t="s">
        <v>48</v>
      </c>
      <c r="O148" s="12" t="s">
        <v>737</v>
      </c>
      <c r="P148" s="6" t="s">
        <v>738</v>
      </c>
      <c r="Q148" s="9" t="s">
        <v>739</v>
      </c>
      <c r="R148" s="13">
        <v>1</v>
      </c>
      <c r="S148" s="9" t="s">
        <v>156</v>
      </c>
      <c r="T148" s="9" t="s">
        <v>53</v>
      </c>
      <c r="U148" s="9" t="s">
        <v>54</v>
      </c>
      <c r="V148" s="9" t="s">
        <v>55</v>
      </c>
      <c r="W148" s="9"/>
      <c r="X148" s="9"/>
      <c r="Y148" s="13">
        <v>93.24</v>
      </c>
      <c r="Z148" s="13">
        <v>1</v>
      </c>
      <c r="AA148" s="9"/>
      <c r="AB148" s="9"/>
      <c r="AC148" s="9"/>
      <c r="AD148" s="9"/>
      <c r="AE148" s="9"/>
      <c r="AF148" s="13">
        <v>93.24</v>
      </c>
      <c r="AG148" s="9"/>
      <c r="AH148" s="9"/>
      <c r="AI148" s="9">
        <v>1</v>
      </c>
      <c r="AJ148" s="9">
        <v>0</v>
      </c>
      <c r="AK148" s="14" t="e">
        <f t="shared" si="0"/>
        <v>#DIV/0!</v>
      </c>
      <c r="AL148" s="9"/>
      <c r="AM148" s="9"/>
      <c r="AN148" s="9"/>
      <c r="AO148" s="6"/>
      <c r="AP148" s="9"/>
      <c r="AQ148" s="9"/>
      <c r="AR148" s="9"/>
      <c r="AS148" s="9"/>
      <c r="AT148" s="9"/>
      <c r="AU148" s="9"/>
      <c r="AV148" s="9"/>
      <c r="AW148" s="9"/>
      <c r="AX148" s="9"/>
      <c r="AY148" s="9"/>
      <c r="AZ148" s="9"/>
      <c r="BA148" s="9"/>
      <c r="BB148" s="9"/>
      <c r="BC148" s="9"/>
      <c r="BD148" s="9"/>
      <c r="BE148" s="9"/>
      <c r="BF148" s="9"/>
      <c r="BG148" s="9"/>
      <c r="BH148" s="9"/>
    </row>
    <row r="149" spans="1:60" ht="12.5" hidden="1">
      <c r="A149" s="6" t="s">
        <v>740</v>
      </c>
      <c r="B149" s="16">
        <v>45615</v>
      </c>
      <c r="C149" s="8">
        <v>45622</v>
      </c>
      <c r="D149" s="9" t="s">
        <v>41</v>
      </c>
      <c r="E149" s="9" t="s">
        <v>741</v>
      </c>
      <c r="F149" s="9"/>
      <c r="G149" s="9" t="s">
        <v>43</v>
      </c>
      <c r="H149" s="10">
        <v>11.74</v>
      </c>
      <c r="I149" s="9" t="s">
        <v>44</v>
      </c>
      <c r="J149" s="9" t="s">
        <v>45</v>
      </c>
      <c r="K149" s="9" t="s">
        <v>742</v>
      </c>
      <c r="L149" s="11" t="s">
        <v>58</v>
      </c>
      <c r="M149" s="9" t="s">
        <v>48</v>
      </c>
      <c r="N149" s="9" t="s">
        <v>48</v>
      </c>
      <c r="O149" s="12" t="s">
        <v>743</v>
      </c>
      <c r="P149" s="6" t="s">
        <v>744</v>
      </c>
      <c r="Q149" s="9" t="s">
        <v>745</v>
      </c>
      <c r="R149" s="13">
        <v>1</v>
      </c>
      <c r="S149" s="9" t="s">
        <v>68</v>
      </c>
      <c r="T149" s="9" t="s">
        <v>53</v>
      </c>
      <c r="U149" s="9" t="s">
        <v>54</v>
      </c>
      <c r="V149" s="9" t="s">
        <v>55</v>
      </c>
      <c r="W149" s="9"/>
      <c r="X149" s="9"/>
      <c r="Y149" s="13">
        <v>117.9</v>
      </c>
      <c r="Z149" s="13">
        <v>1</v>
      </c>
      <c r="AA149" s="9"/>
      <c r="AB149" s="9"/>
      <c r="AC149" s="9"/>
      <c r="AD149" s="9"/>
      <c r="AE149" s="9"/>
      <c r="AF149" s="13">
        <v>106.16</v>
      </c>
      <c r="AG149" s="9"/>
      <c r="AH149" s="9"/>
      <c r="AI149" s="9">
        <v>1</v>
      </c>
      <c r="AJ149" s="9">
        <v>1</v>
      </c>
      <c r="AK149" s="14">
        <f t="shared" si="0"/>
        <v>1</v>
      </c>
      <c r="AL149" s="9"/>
      <c r="AM149" s="9"/>
      <c r="AN149" s="9"/>
      <c r="AO149" s="6"/>
      <c r="AP149" s="9"/>
      <c r="AQ149" s="9"/>
      <c r="AR149" s="9"/>
      <c r="AS149" s="9"/>
      <c r="AT149" s="9"/>
      <c r="AU149" s="9"/>
      <c r="AV149" s="9"/>
      <c r="AW149" s="9"/>
      <c r="AX149" s="9"/>
      <c r="AY149" s="9"/>
      <c r="AZ149" s="9"/>
      <c r="BA149" s="9"/>
      <c r="BB149" s="9"/>
      <c r="BC149" s="9"/>
      <c r="BD149" s="9"/>
      <c r="BE149" s="9"/>
      <c r="BF149" s="9"/>
      <c r="BG149" s="9"/>
      <c r="BH149" s="9"/>
    </row>
    <row r="150" spans="1:60" ht="12.5" hidden="1">
      <c r="A150" s="6" t="s">
        <v>746</v>
      </c>
      <c r="B150" s="7">
        <v>45599</v>
      </c>
      <c r="C150" s="8">
        <v>45604</v>
      </c>
      <c r="D150" s="9" t="s">
        <v>41</v>
      </c>
      <c r="E150" s="9" t="s">
        <v>747</v>
      </c>
      <c r="F150" s="9"/>
      <c r="G150" s="9" t="s">
        <v>43</v>
      </c>
      <c r="H150" s="10">
        <v>11.74</v>
      </c>
      <c r="I150" s="9" t="s">
        <v>44</v>
      </c>
      <c r="J150" s="9" t="s">
        <v>45</v>
      </c>
      <c r="K150" s="9" t="s">
        <v>748</v>
      </c>
      <c r="L150" s="11" t="s">
        <v>58</v>
      </c>
      <c r="M150" s="9" t="s">
        <v>48</v>
      </c>
      <c r="N150" s="9" t="s">
        <v>48</v>
      </c>
      <c r="O150" s="12" t="s">
        <v>749</v>
      </c>
      <c r="P150" s="6" t="s">
        <v>750</v>
      </c>
      <c r="Q150" s="9" t="s">
        <v>751</v>
      </c>
      <c r="R150" s="13">
        <v>1</v>
      </c>
      <c r="S150" s="9" t="s">
        <v>75</v>
      </c>
      <c r="T150" s="9" t="s">
        <v>53</v>
      </c>
      <c r="U150" s="9" t="s">
        <v>54</v>
      </c>
      <c r="V150" s="9" t="s">
        <v>55</v>
      </c>
      <c r="W150" s="9"/>
      <c r="X150" s="9"/>
      <c r="Y150" s="13">
        <v>108</v>
      </c>
      <c r="Z150" s="13">
        <v>1</v>
      </c>
      <c r="AA150" s="9"/>
      <c r="AB150" s="9"/>
      <c r="AC150" s="9"/>
      <c r="AD150" s="9"/>
      <c r="AE150" s="9"/>
      <c r="AF150" s="13">
        <v>96.26</v>
      </c>
      <c r="AG150" s="9"/>
      <c r="AH150" s="9"/>
      <c r="AI150" s="9">
        <v>1</v>
      </c>
      <c r="AJ150" s="9">
        <v>2</v>
      </c>
      <c r="AK150" s="14">
        <f t="shared" si="0"/>
        <v>0.5</v>
      </c>
      <c r="AL150" s="9"/>
      <c r="AM150" s="9"/>
      <c r="AN150" s="9"/>
      <c r="AO150" s="6"/>
      <c r="AP150" s="9"/>
      <c r="AQ150" s="9"/>
      <c r="AR150" s="9"/>
      <c r="AS150" s="9"/>
      <c r="AT150" s="9"/>
      <c r="AU150" s="9"/>
      <c r="AV150" s="9"/>
      <c r="AW150" s="9"/>
      <c r="AX150" s="9"/>
      <c r="AY150" s="9"/>
      <c r="AZ150" s="9"/>
      <c r="BA150" s="9"/>
      <c r="BB150" s="9"/>
      <c r="BC150" s="9"/>
      <c r="BD150" s="9"/>
      <c r="BE150" s="9"/>
      <c r="BF150" s="9"/>
      <c r="BG150" s="9"/>
      <c r="BH150" s="9"/>
    </row>
    <row r="151" spans="1:60" ht="12.5" hidden="1">
      <c r="A151" s="6" t="s">
        <v>752</v>
      </c>
      <c r="B151" s="16">
        <v>45587</v>
      </c>
      <c r="C151" s="8">
        <v>45601</v>
      </c>
      <c r="D151" s="9" t="s">
        <v>41</v>
      </c>
      <c r="E151" s="9" t="s">
        <v>753</v>
      </c>
      <c r="F151" s="9"/>
      <c r="G151" s="9" t="s">
        <v>43</v>
      </c>
      <c r="H151" s="10">
        <v>16.18</v>
      </c>
      <c r="I151" s="9" t="s">
        <v>44</v>
      </c>
      <c r="J151" s="9" t="s">
        <v>45</v>
      </c>
      <c r="K151" s="9" t="s">
        <v>754</v>
      </c>
      <c r="L151" s="11" t="s">
        <v>58</v>
      </c>
      <c r="M151" s="9" t="s">
        <v>48</v>
      </c>
      <c r="N151" s="9" t="s">
        <v>48</v>
      </c>
      <c r="O151" s="12" t="s">
        <v>755</v>
      </c>
      <c r="P151" s="6" t="s">
        <v>756</v>
      </c>
      <c r="Q151" s="9" t="s">
        <v>757</v>
      </c>
      <c r="R151" s="13">
        <v>1</v>
      </c>
      <c r="S151" s="9" t="s">
        <v>75</v>
      </c>
      <c r="T151" s="9" t="s">
        <v>53</v>
      </c>
      <c r="U151" s="9" t="s">
        <v>54</v>
      </c>
      <c r="V151" s="9" t="s">
        <v>55</v>
      </c>
      <c r="W151" s="9"/>
      <c r="X151" s="9"/>
      <c r="Y151" s="13">
        <v>106.85</v>
      </c>
      <c r="Z151" s="13">
        <v>1</v>
      </c>
      <c r="AA151" s="9"/>
      <c r="AB151" s="9"/>
      <c r="AC151" s="9"/>
      <c r="AD151" s="9"/>
      <c r="AE151" s="9"/>
      <c r="AF151" s="13">
        <v>90.67</v>
      </c>
      <c r="AG151" s="9"/>
      <c r="AH151" s="9"/>
      <c r="AI151" s="9">
        <v>1</v>
      </c>
      <c r="AJ151" s="9">
        <v>1</v>
      </c>
      <c r="AK151" s="14">
        <f t="shared" si="0"/>
        <v>1</v>
      </c>
      <c r="AL151" s="9"/>
      <c r="AM151" s="9"/>
      <c r="AN151" s="9"/>
      <c r="AO151" s="6"/>
      <c r="AP151" s="9"/>
      <c r="AQ151" s="9"/>
      <c r="AR151" s="9"/>
      <c r="AS151" s="9"/>
      <c r="AT151" s="9"/>
      <c r="AU151" s="9"/>
      <c r="AV151" s="9"/>
      <c r="AW151" s="9"/>
      <c r="AX151" s="9"/>
      <c r="AY151" s="9"/>
      <c r="AZ151" s="9"/>
      <c r="BA151" s="9"/>
      <c r="BB151" s="9"/>
      <c r="BC151" s="9"/>
      <c r="BD151" s="9"/>
      <c r="BE151" s="9"/>
      <c r="BF151" s="9"/>
      <c r="BG151" s="9"/>
      <c r="BH151" s="9"/>
    </row>
    <row r="152" spans="1:60" ht="12.5" hidden="1">
      <c r="A152" s="6" t="s">
        <v>758</v>
      </c>
      <c r="B152" s="16">
        <v>45619</v>
      </c>
      <c r="C152" s="8">
        <v>45625</v>
      </c>
      <c r="D152" s="9" t="s">
        <v>41</v>
      </c>
      <c r="E152" s="9" t="s">
        <v>759</v>
      </c>
      <c r="F152" s="9"/>
      <c r="G152" s="9" t="s">
        <v>43</v>
      </c>
      <c r="H152" s="10">
        <v>13.51</v>
      </c>
      <c r="I152" s="9" t="s">
        <v>44</v>
      </c>
      <c r="J152" s="9" t="s">
        <v>45</v>
      </c>
      <c r="K152" s="9" t="s">
        <v>760</v>
      </c>
      <c r="L152" s="11" t="s">
        <v>58</v>
      </c>
      <c r="M152" s="9" t="s">
        <v>48</v>
      </c>
      <c r="N152" s="9" t="s">
        <v>48</v>
      </c>
      <c r="O152" s="12" t="s">
        <v>761</v>
      </c>
      <c r="P152" s="6" t="s">
        <v>762</v>
      </c>
      <c r="Q152" s="9" t="s">
        <v>763</v>
      </c>
      <c r="R152" s="13">
        <v>1</v>
      </c>
      <c r="S152" s="9" t="s">
        <v>75</v>
      </c>
      <c r="T152" s="9" t="s">
        <v>53</v>
      </c>
      <c r="U152" s="9" t="s">
        <v>54</v>
      </c>
      <c r="V152" s="9" t="s">
        <v>55</v>
      </c>
      <c r="W152" s="9"/>
      <c r="X152" s="9"/>
      <c r="Y152" s="13">
        <v>97.38</v>
      </c>
      <c r="Z152" s="13">
        <v>1</v>
      </c>
      <c r="AA152" s="9"/>
      <c r="AB152" s="9"/>
      <c r="AC152" s="9"/>
      <c r="AD152" s="9"/>
      <c r="AE152" s="9"/>
      <c r="AF152" s="13">
        <v>83.87</v>
      </c>
      <c r="AG152" s="9"/>
      <c r="AH152" s="9"/>
      <c r="AI152" s="9">
        <v>1</v>
      </c>
      <c r="AJ152" s="9">
        <v>1</v>
      </c>
      <c r="AK152" s="14">
        <f t="shared" si="0"/>
        <v>1</v>
      </c>
      <c r="AL152" s="9"/>
      <c r="AM152" s="9"/>
      <c r="AN152" s="9"/>
      <c r="AO152" s="6"/>
      <c r="AP152" s="9"/>
      <c r="AQ152" s="9"/>
      <c r="AR152" s="9"/>
      <c r="AS152" s="9"/>
      <c r="AT152" s="9"/>
      <c r="AU152" s="9"/>
      <c r="AV152" s="9"/>
      <c r="AW152" s="9"/>
      <c r="AX152" s="9"/>
      <c r="AY152" s="9"/>
      <c r="AZ152" s="9"/>
      <c r="BA152" s="9"/>
      <c r="BB152" s="9"/>
      <c r="BC152" s="9"/>
      <c r="BD152" s="9"/>
      <c r="BE152" s="9"/>
      <c r="BF152" s="9"/>
      <c r="BG152" s="9"/>
      <c r="BH152" s="9"/>
    </row>
    <row r="153" spans="1:60" ht="12.5" hidden="1">
      <c r="A153" s="6" t="s">
        <v>764</v>
      </c>
      <c r="B153" s="16">
        <v>45620</v>
      </c>
      <c r="C153" s="8">
        <v>45623</v>
      </c>
      <c r="D153" s="9" t="s">
        <v>41</v>
      </c>
      <c r="E153" s="9" t="s">
        <v>765</v>
      </c>
      <c r="F153" s="9"/>
      <c r="G153" s="9" t="s">
        <v>43</v>
      </c>
      <c r="H153" s="10">
        <v>12.63</v>
      </c>
      <c r="I153" s="9" t="s">
        <v>44</v>
      </c>
      <c r="J153" s="9" t="s">
        <v>45</v>
      </c>
      <c r="K153" s="9" t="s">
        <v>766</v>
      </c>
      <c r="L153" s="11" t="s">
        <v>47</v>
      </c>
      <c r="M153" s="9" t="s">
        <v>48</v>
      </c>
      <c r="N153" s="9" t="s">
        <v>48</v>
      </c>
      <c r="O153" s="12" t="s">
        <v>767</v>
      </c>
      <c r="P153" s="6" t="s">
        <v>768</v>
      </c>
      <c r="Q153" s="9" t="s">
        <v>769</v>
      </c>
      <c r="R153" s="13">
        <v>1</v>
      </c>
      <c r="S153" s="9" t="s">
        <v>99</v>
      </c>
      <c r="T153" s="9" t="s">
        <v>53</v>
      </c>
      <c r="U153" s="9" t="s">
        <v>54</v>
      </c>
      <c r="V153" s="9" t="s">
        <v>55</v>
      </c>
      <c r="W153" s="9"/>
      <c r="X153" s="9"/>
      <c r="Y153" s="13">
        <v>101.93</v>
      </c>
      <c r="Z153" s="13">
        <v>1</v>
      </c>
      <c r="AA153" s="9"/>
      <c r="AB153" s="9"/>
      <c r="AC153" s="9"/>
      <c r="AD153" s="9"/>
      <c r="AE153" s="9"/>
      <c r="AF153" s="13">
        <v>101.93</v>
      </c>
      <c r="AG153" s="9"/>
      <c r="AH153" s="9"/>
      <c r="AI153" s="9">
        <v>1</v>
      </c>
      <c r="AJ153" s="9">
        <v>1</v>
      </c>
      <c r="AK153" s="14">
        <f t="shared" si="0"/>
        <v>1</v>
      </c>
      <c r="AL153" s="9"/>
      <c r="AM153" s="9"/>
      <c r="AN153" s="9"/>
      <c r="AO153" s="6"/>
      <c r="AP153" s="9"/>
      <c r="AQ153" s="9"/>
      <c r="AR153" s="9"/>
      <c r="AS153" s="9"/>
      <c r="AT153" s="9"/>
      <c r="AU153" s="9"/>
      <c r="AV153" s="9"/>
      <c r="AW153" s="9"/>
      <c r="AX153" s="9"/>
      <c r="AY153" s="9"/>
      <c r="AZ153" s="9"/>
      <c r="BA153" s="9"/>
      <c r="BB153" s="9"/>
      <c r="BC153" s="9"/>
      <c r="BD153" s="9"/>
      <c r="BE153" s="9"/>
      <c r="BF153" s="9"/>
      <c r="BG153" s="9"/>
      <c r="BH153" s="9"/>
    </row>
    <row r="154" spans="1:60" ht="12.5" hidden="1">
      <c r="A154" s="6" t="s">
        <v>770</v>
      </c>
      <c r="B154" s="7">
        <v>45597</v>
      </c>
      <c r="C154" s="8">
        <v>45615</v>
      </c>
      <c r="D154" s="9" t="s">
        <v>41</v>
      </c>
      <c r="E154" s="9" t="s">
        <v>771</v>
      </c>
      <c r="F154" s="9"/>
      <c r="G154" s="9" t="s">
        <v>43</v>
      </c>
      <c r="H154" s="10">
        <v>16.18</v>
      </c>
      <c r="I154" s="9" t="s">
        <v>44</v>
      </c>
      <c r="J154" s="9" t="s">
        <v>45</v>
      </c>
      <c r="K154" s="9" t="s">
        <v>772</v>
      </c>
      <c r="L154" s="11" t="s">
        <v>47</v>
      </c>
      <c r="M154" s="9" t="s">
        <v>48</v>
      </c>
      <c r="N154" s="9" t="s">
        <v>48</v>
      </c>
      <c r="O154" s="12" t="s">
        <v>773</v>
      </c>
      <c r="P154" s="6" t="s">
        <v>774</v>
      </c>
      <c r="Q154" s="9" t="s">
        <v>775</v>
      </c>
      <c r="R154" s="13">
        <v>1</v>
      </c>
      <c r="S154" s="9" t="s">
        <v>99</v>
      </c>
      <c r="T154" s="9" t="s">
        <v>53</v>
      </c>
      <c r="U154" s="9" t="s">
        <v>54</v>
      </c>
      <c r="V154" s="9" t="s">
        <v>240</v>
      </c>
      <c r="W154" s="9"/>
      <c r="X154" s="9"/>
      <c r="Y154" s="13">
        <v>120.77</v>
      </c>
      <c r="Z154" s="13">
        <v>1</v>
      </c>
      <c r="AA154" s="9"/>
      <c r="AB154" s="9"/>
      <c r="AC154" s="9"/>
      <c r="AD154" s="9"/>
      <c r="AE154" s="9"/>
      <c r="AF154" s="13">
        <v>120.77</v>
      </c>
      <c r="AG154" s="9"/>
      <c r="AH154" s="9"/>
      <c r="AI154" s="9">
        <v>1</v>
      </c>
      <c r="AJ154" s="9">
        <v>2</v>
      </c>
      <c r="AK154" s="14">
        <f t="shared" si="0"/>
        <v>0.5</v>
      </c>
      <c r="AL154" s="9"/>
      <c r="AM154" s="9"/>
      <c r="AN154" s="9"/>
      <c r="AO154" s="6"/>
      <c r="AP154" s="9"/>
      <c r="AQ154" s="9"/>
      <c r="AR154" s="9"/>
      <c r="AS154" s="9"/>
      <c r="AT154" s="9"/>
      <c r="AU154" s="9"/>
      <c r="AV154" s="9"/>
      <c r="AW154" s="9"/>
      <c r="AX154" s="9"/>
      <c r="AY154" s="9"/>
      <c r="AZ154" s="9"/>
      <c r="BA154" s="9"/>
      <c r="BB154" s="9"/>
      <c r="BC154" s="9"/>
      <c r="BD154" s="9"/>
      <c r="BE154" s="9"/>
      <c r="BF154" s="9"/>
      <c r="BG154" s="9"/>
      <c r="BH154" s="9"/>
    </row>
    <row r="155" spans="1:60" ht="12.5" hidden="1">
      <c r="A155" s="6" t="s">
        <v>776</v>
      </c>
      <c r="B155" s="16">
        <v>45608</v>
      </c>
      <c r="C155" s="8">
        <v>45623</v>
      </c>
      <c r="D155" s="9" t="s">
        <v>41</v>
      </c>
      <c r="E155" s="9" t="s">
        <v>777</v>
      </c>
      <c r="F155" s="9"/>
      <c r="G155" s="9" t="s">
        <v>43</v>
      </c>
      <c r="H155" s="10">
        <v>11.31</v>
      </c>
      <c r="I155" s="9" t="s">
        <v>44</v>
      </c>
      <c r="J155" s="9" t="s">
        <v>45</v>
      </c>
      <c r="K155" s="9" t="s">
        <v>778</v>
      </c>
      <c r="L155" s="11" t="s">
        <v>47</v>
      </c>
      <c r="M155" s="9" t="s">
        <v>48</v>
      </c>
      <c r="N155" s="9" t="s">
        <v>48</v>
      </c>
      <c r="O155" s="12" t="s">
        <v>779</v>
      </c>
      <c r="P155" s="6" t="s">
        <v>780</v>
      </c>
      <c r="Q155" s="9" t="s">
        <v>781</v>
      </c>
      <c r="R155" s="13">
        <v>1</v>
      </c>
      <c r="S155" s="9" t="s">
        <v>156</v>
      </c>
      <c r="T155" s="9" t="s">
        <v>53</v>
      </c>
      <c r="U155" s="9" t="s">
        <v>54</v>
      </c>
      <c r="V155" s="9" t="s">
        <v>55</v>
      </c>
      <c r="W155" s="9"/>
      <c r="X155" s="9"/>
      <c r="Y155" s="13">
        <v>82.9</v>
      </c>
      <c r="Z155" s="13">
        <v>1</v>
      </c>
      <c r="AA155" s="9"/>
      <c r="AB155" s="9"/>
      <c r="AC155" s="9"/>
      <c r="AD155" s="9"/>
      <c r="AE155" s="9"/>
      <c r="AF155" s="13">
        <v>82.9</v>
      </c>
      <c r="AG155" s="9"/>
      <c r="AH155" s="9"/>
      <c r="AI155" s="9">
        <v>1</v>
      </c>
      <c r="AJ155" s="9">
        <v>2</v>
      </c>
      <c r="AK155" s="14">
        <f t="shared" si="0"/>
        <v>0.5</v>
      </c>
      <c r="AL155" s="9"/>
      <c r="AM155" s="9"/>
      <c r="AN155" s="9"/>
      <c r="AO155" s="6"/>
      <c r="AP155" s="9"/>
      <c r="AQ155" s="9"/>
      <c r="AR155" s="9"/>
      <c r="AS155" s="9"/>
      <c r="AT155" s="9"/>
      <c r="AU155" s="9"/>
      <c r="AV155" s="9"/>
      <c r="AW155" s="9"/>
      <c r="AX155" s="9"/>
      <c r="AY155" s="9"/>
      <c r="AZ155" s="9"/>
      <c r="BA155" s="9"/>
      <c r="BB155" s="9"/>
      <c r="BC155" s="9"/>
      <c r="BD155" s="9"/>
      <c r="BE155" s="9"/>
      <c r="BF155" s="9"/>
      <c r="BG155" s="9"/>
      <c r="BH155" s="9"/>
    </row>
    <row r="156" spans="1:60" ht="12.5" hidden="1">
      <c r="A156" s="6" t="s">
        <v>782</v>
      </c>
      <c r="B156" s="16">
        <v>45624</v>
      </c>
      <c r="C156" s="8">
        <v>45626</v>
      </c>
      <c r="D156" s="9" t="s">
        <v>41</v>
      </c>
      <c r="E156" s="9" t="s">
        <v>783</v>
      </c>
      <c r="F156" s="9"/>
      <c r="G156" s="9" t="s">
        <v>43</v>
      </c>
      <c r="H156" s="10">
        <v>11.31</v>
      </c>
      <c r="I156" s="9" t="s">
        <v>44</v>
      </c>
      <c r="J156" s="9" t="s">
        <v>45</v>
      </c>
      <c r="K156" s="9" t="s">
        <v>784</v>
      </c>
      <c r="L156" s="11" t="s">
        <v>58</v>
      </c>
      <c r="M156" s="9" t="s">
        <v>48</v>
      </c>
      <c r="N156" s="9" t="s">
        <v>48</v>
      </c>
      <c r="O156" s="12" t="s">
        <v>785</v>
      </c>
      <c r="P156" s="6" t="s">
        <v>786</v>
      </c>
      <c r="Q156" s="9" t="s">
        <v>787</v>
      </c>
      <c r="R156" s="13">
        <v>1</v>
      </c>
      <c r="S156" s="9" t="s">
        <v>68</v>
      </c>
      <c r="T156" s="9" t="s">
        <v>53</v>
      </c>
      <c r="U156" s="9" t="s">
        <v>54</v>
      </c>
      <c r="V156" s="9" t="s">
        <v>55</v>
      </c>
      <c r="W156" s="9"/>
      <c r="X156" s="9"/>
      <c r="Y156" s="13">
        <v>101.18</v>
      </c>
      <c r="Z156" s="13">
        <v>1</v>
      </c>
      <c r="AA156" s="9"/>
      <c r="AB156" s="9"/>
      <c r="AC156" s="9"/>
      <c r="AD156" s="9"/>
      <c r="AE156" s="9"/>
      <c r="AF156" s="13">
        <v>89.87</v>
      </c>
      <c r="AG156" s="9"/>
      <c r="AH156" s="9"/>
      <c r="AI156" s="9">
        <v>1</v>
      </c>
      <c r="AJ156" s="9">
        <v>2</v>
      </c>
      <c r="AK156" s="14">
        <f t="shared" si="0"/>
        <v>0.5</v>
      </c>
      <c r="AL156" s="9"/>
      <c r="AM156" s="9"/>
      <c r="AN156" s="9"/>
      <c r="AO156" s="6"/>
      <c r="AP156" s="9"/>
      <c r="AQ156" s="9"/>
      <c r="AR156" s="9"/>
      <c r="AS156" s="9"/>
      <c r="AT156" s="9"/>
      <c r="AU156" s="9"/>
      <c r="AV156" s="9"/>
      <c r="AW156" s="9"/>
      <c r="AX156" s="9"/>
      <c r="AY156" s="9"/>
      <c r="AZ156" s="9"/>
      <c r="BA156" s="9"/>
      <c r="BB156" s="9"/>
      <c r="BC156" s="9"/>
      <c r="BD156" s="9"/>
      <c r="BE156" s="9"/>
      <c r="BF156" s="9"/>
      <c r="BG156" s="9"/>
      <c r="BH156" s="9"/>
    </row>
    <row r="157" spans="1:60" ht="12.5" hidden="1">
      <c r="A157" s="6" t="s">
        <v>788</v>
      </c>
      <c r="B157" s="7">
        <v>45599</v>
      </c>
      <c r="C157" s="8">
        <v>45604</v>
      </c>
      <c r="D157" s="9" t="s">
        <v>41</v>
      </c>
      <c r="E157" s="9" t="s">
        <v>789</v>
      </c>
      <c r="F157" s="9"/>
      <c r="G157" s="9" t="s">
        <v>43</v>
      </c>
      <c r="H157" s="10">
        <v>13.9</v>
      </c>
      <c r="I157" s="9" t="s">
        <v>44</v>
      </c>
      <c r="J157" s="9" t="s">
        <v>45</v>
      </c>
      <c r="K157" s="9" t="s">
        <v>790</v>
      </c>
      <c r="L157" s="11" t="s">
        <v>58</v>
      </c>
      <c r="M157" s="9" t="s">
        <v>48</v>
      </c>
      <c r="N157" s="9" t="s">
        <v>48</v>
      </c>
      <c r="O157" s="12" t="s">
        <v>791</v>
      </c>
      <c r="P157" s="6" t="s">
        <v>792</v>
      </c>
      <c r="Q157" s="9" t="s">
        <v>793</v>
      </c>
      <c r="R157" s="13">
        <v>1</v>
      </c>
      <c r="S157" s="9" t="s">
        <v>68</v>
      </c>
      <c r="T157" s="9" t="s">
        <v>53</v>
      </c>
      <c r="U157" s="9" t="s">
        <v>54</v>
      </c>
      <c r="V157" s="9" t="s">
        <v>55</v>
      </c>
      <c r="W157" s="9"/>
      <c r="X157" s="9"/>
      <c r="Y157" s="13">
        <v>103.96</v>
      </c>
      <c r="Z157" s="13">
        <v>1</v>
      </c>
      <c r="AA157" s="9"/>
      <c r="AB157" s="9"/>
      <c r="AC157" s="9"/>
      <c r="AD157" s="9"/>
      <c r="AE157" s="9"/>
      <c r="AF157" s="13">
        <v>90.06</v>
      </c>
      <c r="AG157" s="9"/>
      <c r="AH157" s="9"/>
      <c r="AI157" s="9">
        <v>1</v>
      </c>
      <c r="AJ157" s="9">
        <v>2</v>
      </c>
      <c r="AK157" s="14">
        <f t="shared" si="0"/>
        <v>0.5</v>
      </c>
      <c r="AL157" s="9"/>
      <c r="AM157" s="9"/>
      <c r="AN157" s="9"/>
      <c r="AO157" s="6"/>
      <c r="AP157" s="9"/>
      <c r="AQ157" s="9"/>
      <c r="AR157" s="9"/>
      <c r="AS157" s="9"/>
      <c r="AT157" s="9"/>
      <c r="AU157" s="9"/>
      <c r="AV157" s="9"/>
      <c r="AW157" s="9"/>
      <c r="AX157" s="9"/>
      <c r="AY157" s="9"/>
      <c r="AZ157" s="9"/>
      <c r="BA157" s="9"/>
      <c r="BB157" s="9"/>
      <c r="BC157" s="9"/>
      <c r="BD157" s="9"/>
      <c r="BE157" s="9"/>
      <c r="BF157" s="9"/>
      <c r="BG157" s="9"/>
      <c r="BH157" s="9"/>
    </row>
    <row r="158" spans="1:60" ht="12.5" hidden="1">
      <c r="A158" s="6" t="s">
        <v>794</v>
      </c>
      <c r="B158" s="16">
        <v>45619</v>
      </c>
      <c r="C158" s="8">
        <v>45623</v>
      </c>
      <c r="D158" s="9" t="s">
        <v>41</v>
      </c>
      <c r="E158" s="9" t="s">
        <v>795</v>
      </c>
      <c r="F158" s="9"/>
      <c r="G158" s="9" t="s">
        <v>43</v>
      </c>
      <c r="H158" s="10">
        <v>14.4</v>
      </c>
      <c r="I158" s="9" t="s">
        <v>44</v>
      </c>
      <c r="J158" s="9" t="s">
        <v>45</v>
      </c>
      <c r="K158" s="9" t="s">
        <v>796</v>
      </c>
      <c r="L158" s="11" t="s">
        <v>47</v>
      </c>
      <c r="M158" s="9" t="s">
        <v>48</v>
      </c>
      <c r="N158" s="9" t="s">
        <v>48</v>
      </c>
      <c r="O158" s="12" t="s">
        <v>797</v>
      </c>
      <c r="P158" s="6" t="s">
        <v>798</v>
      </c>
      <c r="Q158" s="9" t="s">
        <v>799</v>
      </c>
      <c r="R158" s="13">
        <v>1</v>
      </c>
      <c r="S158" s="9" t="s">
        <v>99</v>
      </c>
      <c r="T158" s="9" t="s">
        <v>53</v>
      </c>
      <c r="U158" s="9" t="s">
        <v>54</v>
      </c>
      <c r="V158" s="9" t="s">
        <v>55</v>
      </c>
      <c r="W158" s="9"/>
      <c r="X158" s="9"/>
      <c r="Y158" s="13">
        <v>82.61</v>
      </c>
      <c r="Z158" s="13">
        <v>1</v>
      </c>
      <c r="AA158" s="9"/>
      <c r="AB158" s="9"/>
      <c r="AC158" s="9"/>
      <c r="AD158" s="9"/>
      <c r="AE158" s="9"/>
      <c r="AF158" s="13">
        <v>82.61</v>
      </c>
      <c r="AG158" s="9"/>
      <c r="AH158" s="9"/>
      <c r="AI158" s="9">
        <v>1</v>
      </c>
      <c r="AJ158" s="9">
        <v>1</v>
      </c>
      <c r="AK158" s="14">
        <f t="shared" si="0"/>
        <v>1</v>
      </c>
      <c r="AL158" s="9"/>
      <c r="AM158" s="9"/>
      <c r="AN158" s="9"/>
      <c r="AO158" s="6"/>
      <c r="AP158" s="9"/>
      <c r="AQ158" s="9"/>
      <c r="AR158" s="9"/>
      <c r="AS158" s="9"/>
      <c r="AT158" s="9"/>
      <c r="AU158" s="9"/>
      <c r="AV158" s="9"/>
      <c r="AW158" s="9"/>
      <c r="AX158" s="9"/>
      <c r="AY158" s="9"/>
      <c r="AZ158" s="9"/>
      <c r="BA158" s="9"/>
      <c r="BB158" s="9"/>
      <c r="BC158" s="9"/>
      <c r="BD158" s="9"/>
      <c r="BE158" s="9"/>
      <c r="BF158" s="9"/>
      <c r="BG158" s="9"/>
      <c r="BH158" s="9"/>
    </row>
    <row r="159" spans="1:60" ht="12.5" hidden="1">
      <c r="A159" s="6" t="s">
        <v>800</v>
      </c>
      <c r="B159" s="16">
        <v>45596</v>
      </c>
      <c r="C159" s="8">
        <v>45605</v>
      </c>
      <c r="D159" s="9" t="s">
        <v>41</v>
      </c>
      <c r="E159" s="9" t="s">
        <v>801</v>
      </c>
      <c r="F159" s="9"/>
      <c r="G159" s="9" t="s">
        <v>43</v>
      </c>
      <c r="H159" s="10">
        <v>11.07</v>
      </c>
      <c r="I159" s="9" t="s">
        <v>44</v>
      </c>
      <c r="J159" s="9" t="s">
        <v>45</v>
      </c>
      <c r="K159" s="9" t="s">
        <v>802</v>
      </c>
      <c r="L159" s="11" t="s">
        <v>58</v>
      </c>
      <c r="M159" s="9" t="s">
        <v>48</v>
      </c>
      <c r="N159" s="9" t="s">
        <v>48</v>
      </c>
      <c r="O159" s="12" t="s">
        <v>803</v>
      </c>
      <c r="P159" s="6" t="s">
        <v>804</v>
      </c>
      <c r="Q159" s="9" t="s">
        <v>805</v>
      </c>
      <c r="R159" s="13">
        <v>1</v>
      </c>
      <c r="S159" s="9" t="s">
        <v>75</v>
      </c>
      <c r="T159" s="9" t="s">
        <v>53</v>
      </c>
      <c r="U159" s="9" t="s">
        <v>54</v>
      </c>
      <c r="V159" s="9" t="s">
        <v>55</v>
      </c>
      <c r="W159" s="9"/>
      <c r="X159" s="9"/>
      <c r="Y159" s="13">
        <v>92.01</v>
      </c>
      <c r="Z159" s="13">
        <v>1</v>
      </c>
      <c r="AA159" s="9"/>
      <c r="AB159" s="9"/>
      <c r="AC159" s="9"/>
      <c r="AD159" s="9"/>
      <c r="AE159" s="9"/>
      <c r="AF159" s="13">
        <v>80.94</v>
      </c>
      <c r="AG159" s="9"/>
      <c r="AH159" s="9"/>
      <c r="AI159" s="9">
        <v>1</v>
      </c>
      <c r="AJ159" s="9">
        <v>4</v>
      </c>
      <c r="AK159" s="14">
        <f t="shared" si="0"/>
        <v>0.25</v>
      </c>
      <c r="AL159" s="9"/>
      <c r="AM159" s="9"/>
      <c r="AN159" s="9"/>
      <c r="AO159" s="6"/>
      <c r="AP159" s="9"/>
      <c r="AQ159" s="9"/>
      <c r="AR159" s="9"/>
      <c r="AS159" s="9"/>
      <c r="AT159" s="9"/>
      <c r="AU159" s="9"/>
      <c r="AV159" s="9"/>
      <c r="AW159" s="9"/>
      <c r="AX159" s="9"/>
      <c r="AY159" s="9"/>
      <c r="AZ159" s="9"/>
      <c r="BA159" s="9"/>
      <c r="BB159" s="9"/>
      <c r="BC159" s="9"/>
      <c r="BD159" s="9"/>
      <c r="BE159" s="9"/>
      <c r="BF159" s="9"/>
      <c r="BG159" s="9"/>
      <c r="BH159" s="9"/>
    </row>
    <row r="160" spans="1:60" ht="12.5" hidden="1">
      <c r="A160" s="6" t="s">
        <v>806</v>
      </c>
      <c r="B160" s="16">
        <v>45577</v>
      </c>
      <c r="C160" s="8">
        <v>45601</v>
      </c>
      <c r="D160" s="9" t="s">
        <v>41</v>
      </c>
      <c r="E160" s="9" t="s">
        <v>807</v>
      </c>
      <c r="F160" s="9"/>
      <c r="G160" s="9" t="s">
        <v>43</v>
      </c>
      <c r="H160" s="10">
        <v>17.34</v>
      </c>
      <c r="I160" s="9" t="s">
        <v>44</v>
      </c>
      <c r="J160" s="9" t="s">
        <v>45</v>
      </c>
      <c r="K160" s="9" t="s">
        <v>808</v>
      </c>
      <c r="L160" s="11" t="s">
        <v>58</v>
      </c>
      <c r="M160" s="9" t="s">
        <v>48</v>
      </c>
      <c r="N160" s="9" t="s">
        <v>48</v>
      </c>
      <c r="O160" s="12" t="s">
        <v>809</v>
      </c>
      <c r="P160" s="6" t="s">
        <v>810</v>
      </c>
      <c r="Q160" s="9" t="s">
        <v>811</v>
      </c>
      <c r="R160" s="13">
        <v>1</v>
      </c>
      <c r="S160" s="9" t="s">
        <v>75</v>
      </c>
      <c r="T160" s="9" t="s">
        <v>53</v>
      </c>
      <c r="U160" s="9" t="s">
        <v>54</v>
      </c>
      <c r="V160" s="9" t="s">
        <v>55</v>
      </c>
      <c r="W160" s="9"/>
      <c r="X160" s="9"/>
      <c r="Y160" s="13">
        <v>118.31</v>
      </c>
      <c r="Z160" s="13">
        <v>1</v>
      </c>
      <c r="AA160" s="9"/>
      <c r="AB160" s="9"/>
      <c r="AC160" s="9"/>
      <c r="AD160" s="9"/>
      <c r="AE160" s="9"/>
      <c r="AF160" s="13">
        <v>100.97</v>
      </c>
      <c r="AG160" s="9"/>
      <c r="AH160" s="9"/>
      <c r="AI160" s="9">
        <v>1</v>
      </c>
      <c r="AJ160" s="9">
        <v>0</v>
      </c>
      <c r="AK160" s="14" t="e">
        <f t="shared" si="0"/>
        <v>#DIV/0!</v>
      </c>
      <c r="AL160" s="9"/>
      <c r="AM160" s="9"/>
      <c r="AN160" s="9"/>
      <c r="AO160" s="6"/>
      <c r="AP160" s="9"/>
      <c r="AQ160" s="9"/>
      <c r="AR160" s="9"/>
      <c r="AS160" s="9"/>
      <c r="AT160" s="9"/>
      <c r="AU160" s="9"/>
      <c r="AV160" s="9"/>
      <c r="AW160" s="9"/>
      <c r="AX160" s="9"/>
      <c r="AY160" s="9"/>
      <c r="AZ160" s="9"/>
      <c r="BA160" s="9"/>
      <c r="BB160" s="9"/>
      <c r="BC160" s="9"/>
      <c r="BD160" s="9"/>
      <c r="BE160" s="9"/>
      <c r="BF160" s="9"/>
      <c r="BG160" s="9"/>
      <c r="BH160" s="9"/>
    </row>
    <row r="161" spans="1:60" ht="12.5" hidden="1">
      <c r="A161" s="6" t="s">
        <v>812</v>
      </c>
      <c r="B161" s="16">
        <v>45577</v>
      </c>
      <c r="C161" s="8">
        <v>45609</v>
      </c>
      <c r="D161" s="9" t="s">
        <v>41</v>
      </c>
      <c r="E161" s="9" t="s">
        <v>813</v>
      </c>
      <c r="F161" s="9"/>
      <c r="G161" s="9" t="s">
        <v>43</v>
      </c>
      <c r="H161" s="10">
        <v>11.31</v>
      </c>
      <c r="I161" s="9" t="s">
        <v>44</v>
      </c>
      <c r="J161" s="9" t="s">
        <v>45</v>
      </c>
      <c r="K161" s="9" t="s">
        <v>814</v>
      </c>
      <c r="L161" s="11" t="s">
        <v>58</v>
      </c>
      <c r="M161" s="9" t="s">
        <v>48</v>
      </c>
      <c r="N161" s="9" t="s">
        <v>48</v>
      </c>
      <c r="O161" s="12" t="s">
        <v>815</v>
      </c>
      <c r="P161" s="6" t="s">
        <v>816</v>
      </c>
      <c r="Q161" s="9" t="s">
        <v>817</v>
      </c>
      <c r="R161" s="13">
        <v>1</v>
      </c>
      <c r="S161" s="9" t="s">
        <v>75</v>
      </c>
      <c r="T161" s="9" t="s">
        <v>53</v>
      </c>
      <c r="U161" s="9" t="s">
        <v>54</v>
      </c>
      <c r="V161" s="9" t="s">
        <v>61</v>
      </c>
      <c r="W161" s="9"/>
      <c r="X161" s="9"/>
      <c r="Y161" s="13">
        <v>125.86</v>
      </c>
      <c r="Z161" s="13">
        <v>1</v>
      </c>
      <c r="AA161" s="9"/>
      <c r="AB161" s="9"/>
      <c r="AC161" s="9"/>
      <c r="AD161" s="9"/>
      <c r="AE161" s="9"/>
      <c r="AF161" s="9"/>
      <c r="AG161" s="9"/>
      <c r="AH161" s="9"/>
      <c r="AI161" s="9">
        <v>1</v>
      </c>
      <c r="AJ161" s="9">
        <v>0</v>
      </c>
      <c r="AK161" s="14" t="e">
        <f t="shared" si="0"/>
        <v>#DIV/0!</v>
      </c>
      <c r="AL161" s="9"/>
      <c r="AM161" s="9"/>
      <c r="AN161" s="9"/>
      <c r="AO161" s="6"/>
      <c r="AP161" s="9"/>
      <c r="AQ161" s="9"/>
      <c r="AR161" s="9"/>
      <c r="AS161" s="9"/>
      <c r="AT161" s="9"/>
      <c r="AU161" s="9"/>
      <c r="AV161" s="9"/>
      <c r="AW161" s="9"/>
      <c r="AX161" s="9"/>
      <c r="AY161" s="9"/>
      <c r="AZ161" s="9"/>
      <c r="BA161" s="9"/>
      <c r="BB161" s="9"/>
      <c r="BC161" s="9"/>
      <c r="BD161" s="9"/>
      <c r="BE161" s="9"/>
      <c r="BF161" s="9"/>
      <c r="BG161" s="9"/>
      <c r="BH161" s="9"/>
    </row>
    <row r="162" spans="1:60" ht="12.5" hidden="1">
      <c r="A162" s="6" t="s">
        <v>818</v>
      </c>
      <c r="B162" s="16">
        <v>45591</v>
      </c>
      <c r="C162" s="8">
        <v>45603</v>
      </c>
      <c r="D162" s="9" t="s">
        <v>41</v>
      </c>
      <c r="E162" s="9" t="s">
        <v>819</v>
      </c>
      <c r="F162" s="9"/>
      <c r="G162" s="9" t="s">
        <v>43</v>
      </c>
      <c r="H162" s="10">
        <v>15.42</v>
      </c>
      <c r="I162" s="9" t="s">
        <v>44</v>
      </c>
      <c r="J162" s="9" t="s">
        <v>45</v>
      </c>
      <c r="K162" s="9" t="s">
        <v>820</v>
      </c>
      <c r="L162" s="11" t="s">
        <v>47</v>
      </c>
      <c r="M162" s="9" t="s">
        <v>48</v>
      </c>
      <c r="N162" s="9" t="s">
        <v>48</v>
      </c>
      <c r="O162" s="12" t="s">
        <v>821</v>
      </c>
      <c r="P162" s="6" t="s">
        <v>822</v>
      </c>
      <c r="Q162" s="9" t="s">
        <v>823</v>
      </c>
      <c r="R162" s="13">
        <v>1</v>
      </c>
      <c r="S162" s="9" t="s">
        <v>82</v>
      </c>
      <c r="T162" s="9" t="s">
        <v>53</v>
      </c>
      <c r="U162" s="9" t="s">
        <v>54</v>
      </c>
      <c r="V162" s="9" t="s">
        <v>61</v>
      </c>
      <c r="W162" s="9"/>
      <c r="X162" s="9"/>
      <c r="Y162" s="9"/>
      <c r="Z162" s="13">
        <v>1</v>
      </c>
      <c r="AA162" s="9"/>
      <c r="AB162" s="9"/>
      <c r="AC162" s="9"/>
      <c r="AD162" s="9"/>
      <c r="AE162" s="9"/>
      <c r="AF162" s="9"/>
      <c r="AG162" s="9"/>
      <c r="AH162" s="9"/>
      <c r="AI162" s="9">
        <v>1</v>
      </c>
      <c r="AJ162" s="9">
        <v>4</v>
      </c>
      <c r="AK162" s="14">
        <f t="shared" si="0"/>
        <v>0.25</v>
      </c>
      <c r="AL162" s="9"/>
      <c r="AM162" s="9"/>
      <c r="AN162" s="9"/>
      <c r="AO162" s="6"/>
      <c r="AP162" s="9"/>
      <c r="AQ162" s="9"/>
      <c r="AR162" s="9"/>
      <c r="AS162" s="9"/>
      <c r="AT162" s="9"/>
      <c r="AU162" s="9"/>
      <c r="AV162" s="9"/>
      <c r="AW162" s="9"/>
      <c r="AX162" s="9"/>
      <c r="AY162" s="9"/>
      <c r="AZ162" s="9"/>
      <c r="BA162" s="9"/>
      <c r="BB162" s="9"/>
      <c r="BC162" s="9"/>
      <c r="BD162" s="9"/>
      <c r="BE162" s="9"/>
      <c r="BF162" s="9"/>
      <c r="BG162" s="9"/>
      <c r="BH162" s="9"/>
    </row>
    <row r="163" spans="1:60" ht="12.5" hidden="1">
      <c r="A163" s="6" t="s">
        <v>824</v>
      </c>
      <c r="B163" s="7">
        <v>45597</v>
      </c>
      <c r="C163" s="8">
        <v>45603</v>
      </c>
      <c r="D163" s="9" t="s">
        <v>41</v>
      </c>
      <c r="E163" s="9" t="s">
        <v>825</v>
      </c>
      <c r="F163" s="9"/>
      <c r="G163" s="9" t="s">
        <v>43</v>
      </c>
      <c r="H163" s="10">
        <v>14.4</v>
      </c>
      <c r="I163" s="9" t="s">
        <v>44</v>
      </c>
      <c r="J163" s="9" t="s">
        <v>45</v>
      </c>
      <c r="K163" s="9" t="s">
        <v>826</v>
      </c>
      <c r="L163" s="11" t="s">
        <v>47</v>
      </c>
      <c r="M163" s="9" t="s">
        <v>48</v>
      </c>
      <c r="N163" s="9" t="s">
        <v>48</v>
      </c>
      <c r="O163" s="12" t="s">
        <v>827</v>
      </c>
      <c r="P163" s="6" t="s">
        <v>828</v>
      </c>
      <c r="Q163" s="9" t="s">
        <v>829</v>
      </c>
      <c r="R163" s="13">
        <v>1</v>
      </c>
      <c r="S163" s="9" t="s">
        <v>99</v>
      </c>
      <c r="T163" s="9" t="s">
        <v>53</v>
      </c>
      <c r="U163" s="9" t="s">
        <v>54</v>
      </c>
      <c r="V163" s="9" t="s">
        <v>55</v>
      </c>
      <c r="W163" s="9"/>
      <c r="X163" s="9"/>
      <c r="Y163" s="13">
        <v>98.51</v>
      </c>
      <c r="Z163" s="13">
        <v>1</v>
      </c>
      <c r="AA163" s="9"/>
      <c r="AB163" s="9"/>
      <c r="AC163" s="9"/>
      <c r="AD163" s="9"/>
      <c r="AE163" s="9"/>
      <c r="AF163" s="13">
        <v>98.51</v>
      </c>
      <c r="AG163" s="9"/>
      <c r="AH163" s="9"/>
      <c r="AI163" s="9">
        <v>2</v>
      </c>
      <c r="AJ163" s="9">
        <v>9</v>
      </c>
      <c r="AK163" s="14">
        <f t="shared" si="0"/>
        <v>0.22222222222222221</v>
      </c>
      <c r="AL163" s="9"/>
      <c r="AM163" s="9"/>
      <c r="AN163" s="9"/>
      <c r="AO163" s="6"/>
      <c r="AP163" s="9"/>
      <c r="AQ163" s="9"/>
      <c r="AR163" s="9"/>
      <c r="AS163" s="9"/>
      <c r="AT163" s="9"/>
      <c r="AU163" s="9"/>
      <c r="AV163" s="9"/>
      <c r="AW163" s="9"/>
      <c r="AX163" s="9"/>
      <c r="AY163" s="9"/>
      <c r="AZ163" s="9"/>
      <c r="BA163" s="9"/>
      <c r="BB163" s="9"/>
      <c r="BC163" s="9"/>
      <c r="BD163" s="9"/>
      <c r="BE163" s="9"/>
      <c r="BF163" s="9"/>
      <c r="BG163" s="9"/>
      <c r="BH163" s="9"/>
    </row>
    <row r="164" spans="1:60" ht="12.5" hidden="1">
      <c r="A164" s="6" t="s">
        <v>830</v>
      </c>
      <c r="B164" s="7">
        <v>45574</v>
      </c>
      <c r="C164" s="8">
        <v>45602</v>
      </c>
      <c r="D164" s="9" t="s">
        <v>41</v>
      </c>
      <c r="E164" s="9" t="s">
        <v>831</v>
      </c>
      <c r="F164" s="9"/>
      <c r="G164" s="9" t="s">
        <v>43</v>
      </c>
      <c r="H164" s="10">
        <v>14.4</v>
      </c>
      <c r="I164" s="9" t="s">
        <v>44</v>
      </c>
      <c r="J164" s="9" t="s">
        <v>45</v>
      </c>
      <c r="K164" s="9" t="s">
        <v>832</v>
      </c>
      <c r="L164" s="11" t="s">
        <v>58</v>
      </c>
      <c r="M164" s="9" t="s">
        <v>48</v>
      </c>
      <c r="N164" s="9" t="s">
        <v>48</v>
      </c>
      <c r="O164" s="12" t="s">
        <v>827</v>
      </c>
      <c r="P164" s="6" t="s">
        <v>828</v>
      </c>
      <c r="Q164" s="9" t="s">
        <v>829</v>
      </c>
      <c r="R164" s="13">
        <v>1</v>
      </c>
      <c r="S164" s="9" t="s">
        <v>75</v>
      </c>
      <c r="T164" s="9" t="s">
        <v>53</v>
      </c>
      <c r="U164" s="9" t="s">
        <v>54</v>
      </c>
      <c r="V164" s="9" t="s">
        <v>61</v>
      </c>
      <c r="W164" s="9"/>
      <c r="X164" s="9"/>
      <c r="Y164" s="13">
        <v>100.6</v>
      </c>
      <c r="Z164" s="13">
        <v>1</v>
      </c>
      <c r="AA164" s="9"/>
      <c r="AB164" s="9"/>
      <c r="AC164" s="9"/>
      <c r="AD164" s="9"/>
      <c r="AE164" s="9"/>
      <c r="AF164" s="9"/>
      <c r="AG164" s="9"/>
      <c r="AH164" s="9"/>
      <c r="AI164" s="9"/>
      <c r="AJ164" s="9"/>
      <c r="AK164" s="14" t="e">
        <f t="shared" si="0"/>
        <v>#DIV/0!</v>
      </c>
      <c r="AL164" s="9"/>
      <c r="AM164" s="9"/>
      <c r="AN164" s="9"/>
      <c r="AO164" s="6"/>
      <c r="AP164" s="9"/>
      <c r="AQ164" s="9"/>
      <c r="AR164" s="9"/>
      <c r="AS164" s="9"/>
      <c r="AT164" s="9"/>
      <c r="AU164" s="9"/>
      <c r="AV164" s="9"/>
      <c r="AW164" s="9"/>
      <c r="AX164" s="9"/>
      <c r="AY164" s="9"/>
      <c r="AZ164" s="9"/>
      <c r="BA164" s="9"/>
      <c r="BB164" s="9"/>
      <c r="BC164" s="9"/>
      <c r="BD164" s="9"/>
      <c r="BE164" s="9"/>
      <c r="BF164" s="9"/>
      <c r="BG164" s="9"/>
      <c r="BH164" s="9"/>
    </row>
    <row r="165" spans="1:60" ht="12.5" hidden="1">
      <c r="A165" s="6" t="s">
        <v>833</v>
      </c>
      <c r="B165" s="16">
        <v>45607</v>
      </c>
      <c r="C165" s="8">
        <v>45610</v>
      </c>
      <c r="D165" s="9" t="s">
        <v>41</v>
      </c>
      <c r="E165" s="9" t="s">
        <v>834</v>
      </c>
      <c r="F165" s="9"/>
      <c r="G165" s="9" t="s">
        <v>43</v>
      </c>
      <c r="H165" s="10">
        <v>10.69</v>
      </c>
      <c r="I165" s="9" t="s">
        <v>44</v>
      </c>
      <c r="J165" s="9" t="s">
        <v>45</v>
      </c>
      <c r="K165" s="9" t="s">
        <v>835</v>
      </c>
      <c r="L165" s="11" t="s">
        <v>58</v>
      </c>
      <c r="M165" s="9" t="s">
        <v>48</v>
      </c>
      <c r="N165" s="9" t="s">
        <v>48</v>
      </c>
      <c r="O165" s="12" t="s">
        <v>836</v>
      </c>
      <c r="P165" s="6" t="s">
        <v>837</v>
      </c>
      <c r="Q165" s="9" t="s">
        <v>838</v>
      </c>
      <c r="R165" s="13">
        <v>1</v>
      </c>
      <c r="S165" s="9" t="s">
        <v>68</v>
      </c>
      <c r="T165" s="9" t="s">
        <v>53</v>
      </c>
      <c r="U165" s="9" t="s">
        <v>54</v>
      </c>
      <c r="V165" s="9" t="s">
        <v>55</v>
      </c>
      <c r="W165" s="9"/>
      <c r="X165" s="9"/>
      <c r="Y165" s="13">
        <v>97.22</v>
      </c>
      <c r="Z165" s="13">
        <v>1</v>
      </c>
      <c r="AA165" s="9"/>
      <c r="AB165" s="9"/>
      <c r="AC165" s="9"/>
      <c r="AD165" s="9"/>
      <c r="AE165" s="9"/>
      <c r="AF165" s="13">
        <v>86.53</v>
      </c>
      <c r="AG165" s="9"/>
      <c r="AH165" s="9"/>
      <c r="AI165" s="9">
        <v>1</v>
      </c>
      <c r="AJ165" s="9">
        <v>1</v>
      </c>
      <c r="AK165" s="14">
        <f t="shared" si="0"/>
        <v>1</v>
      </c>
      <c r="AL165" s="9"/>
      <c r="AM165" s="9"/>
      <c r="AN165" s="9"/>
      <c r="AO165" s="6"/>
      <c r="AP165" s="9"/>
      <c r="AQ165" s="9"/>
      <c r="AR165" s="9"/>
      <c r="AS165" s="9"/>
      <c r="AT165" s="9"/>
      <c r="AU165" s="9"/>
      <c r="AV165" s="9"/>
      <c r="AW165" s="9"/>
      <c r="AX165" s="9"/>
      <c r="AY165" s="9"/>
      <c r="AZ165" s="9"/>
      <c r="BA165" s="9"/>
      <c r="BB165" s="9"/>
      <c r="BC165" s="9"/>
      <c r="BD165" s="9"/>
      <c r="BE165" s="9"/>
      <c r="BF165" s="9"/>
      <c r="BG165" s="9"/>
      <c r="BH165" s="9"/>
    </row>
    <row r="166" spans="1:60" ht="12.5" hidden="1">
      <c r="A166" s="6" t="s">
        <v>839</v>
      </c>
      <c r="B166" s="7">
        <v>45604</v>
      </c>
      <c r="C166" s="8">
        <v>45610</v>
      </c>
      <c r="D166" s="9" t="s">
        <v>41</v>
      </c>
      <c r="E166" s="9" t="s">
        <v>840</v>
      </c>
      <c r="F166" s="9"/>
      <c r="G166" s="9" t="s">
        <v>43</v>
      </c>
      <c r="H166" s="10">
        <v>12.17</v>
      </c>
      <c r="I166" s="9" t="s">
        <v>44</v>
      </c>
      <c r="J166" s="9" t="s">
        <v>45</v>
      </c>
      <c r="K166" s="9" t="s">
        <v>841</v>
      </c>
      <c r="L166" s="11" t="s">
        <v>58</v>
      </c>
      <c r="M166" s="9" t="s">
        <v>48</v>
      </c>
      <c r="N166" s="9" t="s">
        <v>48</v>
      </c>
      <c r="O166" s="12" t="s">
        <v>842</v>
      </c>
      <c r="P166" s="6" t="s">
        <v>843</v>
      </c>
      <c r="Q166" s="9" t="s">
        <v>844</v>
      </c>
      <c r="R166" s="13">
        <v>1</v>
      </c>
      <c r="S166" s="9" t="s">
        <v>68</v>
      </c>
      <c r="T166" s="9" t="s">
        <v>53</v>
      </c>
      <c r="U166" s="9" t="s">
        <v>54</v>
      </c>
      <c r="V166" s="9" t="s">
        <v>55</v>
      </c>
      <c r="W166" s="9"/>
      <c r="X166" s="9"/>
      <c r="Y166" s="13">
        <v>104.93</v>
      </c>
      <c r="Z166" s="13">
        <v>1</v>
      </c>
      <c r="AA166" s="9"/>
      <c r="AB166" s="9"/>
      <c r="AC166" s="9"/>
      <c r="AD166" s="9"/>
      <c r="AE166" s="9"/>
      <c r="AF166" s="13">
        <v>92.76</v>
      </c>
      <c r="AG166" s="9"/>
      <c r="AH166" s="9"/>
      <c r="AI166" s="9">
        <v>1</v>
      </c>
      <c r="AJ166" s="9">
        <v>5</v>
      </c>
      <c r="AK166" s="14">
        <f t="shared" si="0"/>
        <v>0.2</v>
      </c>
      <c r="AL166" s="9"/>
      <c r="AM166" s="9"/>
      <c r="AN166" s="9"/>
      <c r="AO166" s="6"/>
      <c r="AP166" s="9"/>
      <c r="AQ166" s="9"/>
      <c r="AR166" s="9"/>
      <c r="AS166" s="9"/>
      <c r="AT166" s="9"/>
      <c r="AU166" s="9"/>
      <c r="AV166" s="9"/>
      <c r="AW166" s="9"/>
      <c r="AX166" s="9"/>
      <c r="AY166" s="9"/>
      <c r="AZ166" s="9"/>
      <c r="BA166" s="9"/>
      <c r="BB166" s="9"/>
      <c r="BC166" s="9"/>
      <c r="BD166" s="9"/>
      <c r="BE166" s="9"/>
      <c r="BF166" s="9"/>
      <c r="BG166" s="9"/>
      <c r="BH166" s="9"/>
    </row>
    <row r="167" spans="1:60" ht="12.5" hidden="1">
      <c r="A167" s="6" t="s">
        <v>845</v>
      </c>
      <c r="B167" s="7">
        <v>45601</v>
      </c>
      <c r="C167" s="8">
        <v>45605</v>
      </c>
      <c r="D167" s="9" t="s">
        <v>41</v>
      </c>
      <c r="E167" s="9" t="s">
        <v>846</v>
      </c>
      <c r="F167" s="9"/>
      <c r="G167" s="9" t="s">
        <v>43</v>
      </c>
      <c r="H167" s="10">
        <v>7.4</v>
      </c>
      <c r="I167" s="9" t="s">
        <v>44</v>
      </c>
      <c r="J167" s="9" t="s">
        <v>45</v>
      </c>
      <c r="K167" s="9" t="s">
        <v>847</v>
      </c>
      <c r="L167" s="11" t="s">
        <v>58</v>
      </c>
      <c r="M167" s="9" t="s">
        <v>48</v>
      </c>
      <c r="N167" s="9" t="s">
        <v>48</v>
      </c>
      <c r="O167" s="12" t="s">
        <v>848</v>
      </c>
      <c r="P167" s="6" t="s">
        <v>849</v>
      </c>
      <c r="Q167" s="9" t="s">
        <v>850</v>
      </c>
      <c r="R167" s="13">
        <v>1</v>
      </c>
      <c r="S167" s="9" t="s">
        <v>75</v>
      </c>
      <c r="T167" s="9" t="s">
        <v>53</v>
      </c>
      <c r="U167" s="9" t="s">
        <v>54</v>
      </c>
      <c r="V167" s="9" t="s">
        <v>61</v>
      </c>
      <c r="W167" s="9"/>
      <c r="X167" s="9"/>
      <c r="Y167" s="13">
        <v>176.38</v>
      </c>
      <c r="Z167" s="13">
        <v>1</v>
      </c>
      <c r="AA167" s="9"/>
      <c r="AB167" s="9"/>
      <c r="AC167" s="9"/>
      <c r="AD167" s="9"/>
      <c r="AE167" s="9"/>
      <c r="AF167" s="9"/>
      <c r="AG167" s="9"/>
      <c r="AH167" s="9"/>
      <c r="AI167" s="9">
        <v>1</v>
      </c>
      <c r="AJ167" s="9">
        <v>7</v>
      </c>
      <c r="AK167" s="14">
        <f t="shared" si="0"/>
        <v>0.14285714285714285</v>
      </c>
      <c r="AL167" s="9"/>
      <c r="AM167" s="9"/>
      <c r="AN167" s="9"/>
      <c r="AO167" s="6"/>
      <c r="AP167" s="9"/>
      <c r="AQ167" s="9"/>
      <c r="AR167" s="9"/>
      <c r="AS167" s="9"/>
      <c r="AT167" s="9"/>
      <c r="AU167" s="9"/>
      <c r="AV167" s="9"/>
      <c r="AW167" s="9"/>
      <c r="AX167" s="9"/>
      <c r="AY167" s="9"/>
      <c r="AZ167" s="9"/>
      <c r="BA167" s="9"/>
      <c r="BB167" s="9"/>
      <c r="BC167" s="9"/>
      <c r="BD167" s="9"/>
      <c r="BE167" s="9"/>
      <c r="BF167" s="9"/>
      <c r="BG167" s="9"/>
      <c r="BH167" s="9"/>
    </row>
    <row r="168" spans="1:60" ht="12.5" hidden="1">
      <c r="A168" s="6" t="s">
        <v>851</v>
      </c>
      <c r="B168" s="16">
        <v>45596</v>
      </c>
      <c r="C168" s="8">
        <v>45601</v>
      </c>
      <c r="D168" s="9" t="s">
        <v>41</v>
      </c>
      <c r="E168" s="9" t="s">
        <v>852</v>
      </c>
      <c r="F168" s="9"/>
      <c r="G168" s="9" t="s">
        <v>137</v>
      </c>
      <c r="H168" s="10">
        <v>0</v>
      </c>
      <c r="I168" s="9"/>
      <c r="J168" s="9"/>
      <c r="K168" s="9"/>
      <c r="L168" s="11" t="s">
        <v>47</v>
      </c>
      <c r="M168" s="9" t="s">
        <v>48</v>
      </c>
      <c r="N168" s="9" t="s">
        <v>48</v>
      </c>
      <c r="O168" s="12" t="s">
        <v>853</v>
      </c>
      <c r="P168" s="6" t="s">
        <v>854</v>
      </c>
      <c r="Q168" s="9" t="s">
        <v>855</v>
      </c>
      <c r="R168" s="13">
        <v>1</v>
      </c>
      <c r="S168" s="9" t="s">
        <v>856</v>
      </c>
      <c r="T168" s="9" t="s">
        <v>53</v>
      </c>
      <c r="U168" s="9" t="s">
        <v>54</v>
      </c>
      <c r="V168" s="9" t="s">
        <v>61</v>
      </c>
      <c r="W168" s="9"/>
      <c r="X168" s="9"/>
      <c r="Y168" s="13">
        <v>135.61000000000001</v>
      </c>
      <c r="Z168" s="13">
        <v>1</v>
      </c>
      <c r="AA168" s="9"/>
      <c r="AB168" s="9"/>
      <c r="AC168" s="9"/>
      <c r="AD168" s="9"/>
      <c r="AE168" s="9"/>
      <c r="AF168" s="9"/>
      <c r="AG168" s="9"/>
      <c r="AH168" s="9"/>
      <c r="AI168" s="9">
        <v>1</v>
      </c>
      <c r="AJ168" s="9">
        <v>0</v>
      </c>
      <c r="AK168" s="14" t="e">
        <f t="shared" si="0"/>
        <v>#DIV/0!</v>
      </c>
      <c r="AL168" s="9"/>
      <c r="AM168" s="9"/>
      <c r="AN168" s="9"/>
      <c r="AO168" s="6"/>
      <c r="AP168" s="9"/>
      <c r="AQ168" s="9"/>
      <c r="AR168" s="9"/>
      <c r="AS168" s="9"/>
      <c r="AT168" s="9"/>
      <c r="AU168" s="9"/>
      <c r="AV168" s="9"/>
      <c r="AW168" s="9"/>
      <c r="AX168" s="9"/>
      <c r="AY168" s="9"/>
      <c r="AZ168" s="9"/>
      <c r="BA168" s="9"/>
      <c r="BB168" s="9"/>
      <c r="BC168" s="9"/>
      <c r="BD168" s="9"/>
      <c r="BE168" s="9"/>
      <c r="BF168" s="9"/>
      <c r="BG168" s="9"/>
      <c r="BH168" s="9"/>
    </row>
    <row r="169" spans="1:60" ht="12.5" hidden="1">
      <c r="A169" s="6" t="s">
        <v>857</v>
      </c>
      <c r="B169" s="16">
        <v>45610</v>
      </c>
      <c r="C169" s="8">
        <v>45622</v>
      </c>
      <c r="D169" s="9" t="s">
        <v>41</v>
      </c>
      <c r="E169" s="9" t="s">
        <v>858</v>
      </c>
      <c r="F169" s="9"/>
      <c r="G169" s="9" t="s">
        <v>43</v>
      </c>
      <c r="H169" s="10">
        <v>6.04</v>
      </c>
      <c r="I169" s="9" t="s">
        <v>44</v>
      </c>
      <c r="J169" s="9" t="s">
        <v>45</v>
      </c>
      <c r="K169" s="9" t="s">
        <v>859</v>
      </c>
      <c r="L169" s="11" t="s">
        <v>47</v>
      </c>
      <c r="M169" s="9" t="s">
        <v>48</v>
      </c>
      <c r="N169" s="9" t="s">
        <v>48</v>
      </c>
      <c r="O169" s="12" t="s">
        <v>860</v>
      </c>
      <c r="P169" s="6" t="s">
        <v>861</v>
      </c>
      <c r="Q169" s="9" t="s">
        <v>862</v>
      </c>
      <c r="R169" s="13">
        <v>1</v>
      </c>
      <c r="S169" s="9" t="s">
        <v>52</v>
      </c>
      <c r="T169" s="9" t="s">
        <v>53</v>
      </c>
      <c r="U169" s="9" t="s">
        <v>54</v>
      </c>
      <c r="V169" s="9" t="s">
        <v>55</v>
      </c>
      <c r="W169" s="9"/>
      <c r="X169" s="9"/>
      <c r="Y169" s="13">
        <v>111.79</v>
      </c>
      <c r="Z169" s="13">
        <v>1</v>
      </c>
      <c r="AA169" s="9"/>
      <c r="AB169" s="9"/>
      <c r="AC169" s="9"/>
      <c r="AD169" s="9"/>
      <c r="AE169" s="9"/>
      <c r="AF169" s="13">
        <v>111.79</v>
      </c>
      <c r="AG169" s="9"/>
      <c r="AH169" s="9"/>
      <c r="AI169" s="9">
        <v>1</v>
      </c>
      <c r="AJ169" s="9">
        <v>2</v>
      </c>
      <c r="AK169" s="14">
        <f t="shared" si="0"/>
        <v>0.5</v>
      </c>
      <c r="AL169" s="9"/>
      <c r="AM169" s="9"/>
      <c r="AN169" s="9"/>
      <c r="AO169" s="6"/>
      <c r="AP169" s="9"/>
      <c r="AQ169" s="9"/>
      <c r="AR169" s="9"/>
      <c r="AS169" s="9"/>
      <c r="AT169" s="9"/>
      <c r="AU169" s="9"/>
      <c r="AV169" s="9"/>
      <c r="AW169" s="9"/>
      <c r="AX169" s="9"/>
      <c r="AY169" s="9"/>
      <c r="AZ169" s="9"/>
      <c r="BA169" s="9"/>
      <c r="BB169" s="9"/>
      <c r="BC169" s="9"/>
      <c r="BD169" s="9"/>
      <c r="BE169" s="9"/>
      <c r="BF169" s="9"/>
      <c r="BG169" s="9"/>
      <c r="BH169" s="9"/>
    </row>
    <row r="170" spans="1:60" ht="12.5" hidden="1">
      <c r="A170" s="6" t="s">
        <v>863</v>
      </c>
      <c r="B170" s="16">
        <v>45620</v>
      </c>
      <c r="C170" s="8">
        <v>45626</v>
      </c>
      <c r="D170" s="9" t="s">
        <v>41</v>
      </c>
      <c r="E170" s="9" t="s">
        <v>864</v>
      </c>
      <c r="F170" s="9"/>
      <c r="G170" s="9" t="s">
        <v>43</v>
      </c>
      <c r="H170" s="10">
        <v>6.04</v>
      </c>
      <c r="I170" s="9" t="s">
        <v>44</v>
      </c>
      <c r="J170" s="9" t="s">
        <v>45</v>
      </c>
      <c r="K170" s="9" t="s">
        <v>865</v>
      </c>
      <c r="L170" s="11" t="s">
        <v>47</v>
      </c>
      <c r="M170" s="9" t="s">
        <v>48</v>
      </c>
      <c r="N170" s="9" t="s">
        <v>48</v>
      </c>
      <c r="O170" s="12" t="s">
        <v>866</v>
      </c>
      <c r="P170" s="6" t="s">
        <v>867</v>
      </c>
      <c r="Q170" s="9" t="s">
        <v>868</v>
      </c>
      <c r="R170" s="13">
        <v>1</v>
      </c>
      <c r="S170" s="9" t="s">
        <v>52</v>
      </c>
      <c r="T170" s="9" t="s">
        <v>53</v>
      </c>
      <c r="U170" s="9" t="s">
        <v>54</v>
      </c>
      <c r="V170" s="9" t="s">
        <v>61</v>
      </c>
      <c r="W170" s="9"/>
      <c r="X170" s="9"/>
      <c r="Y170" s="13">
        <v>133.93</v>
      </c>
      <c r="Z170" s="13">
        <v>1</v>
      </c>
      <c r="AA170" s="9"/>
      <c r="AB170" s="9"/>
      <c r="AC170" s="9"/>
      <c r="AD170" s="9"/>
      <c r="AE170" s="9"/>
      <c r="AF170" s="9"/>
      <c r="AG170" s="9"/>
      <c r="AH170" s="9"/>
      <c r="AI170" s="9">
        <v>2</v>
      </c>
      <c r="AJ170" s="9">
        <v>7</v>
      </c>
      <c r="AK170" s="14">
        <f t="shared" si="0"/>
        <v>0.2857142857142857</v>
      </c>
      <c r="AL170" s="9"/>
      <c r="AM170" s="9"/>
      <c r="AN170" s="9"/>
      <c r="AO170" s="6"/>
      <c r="AP170" s="9"/>
      <c r="AQ170" s="9"/>
      <c r="AR170" s="9"/>
      <c r="AS170" s="9"/>
      <c r="AT170" s="9"/>
      <c r="AU170" s="9"/>
      <c r="AV170" s="9"/>
      <c r="AW170" s="9"/>
      <c r="AX170" s="9"/>
      <c r="AY170" s="9"/>
      <c r="AZ170" s="9"/>
      <c r="BA170" s="9"/>
      <c r="BB170" s="9"/>
      <c r="BC170" s="9"/>
      <c r="BD170" s="9"/>
      <c r="BE170" s="9"/>
      <c r="BF170" s="9"/>
      <c r="BG170" s="9"/>
      <c r="BH170" s="9"/>
    </row>
    <row r="171" spans="1:60" ht="12.5" hidden="1">
      <c r="A171" s="6" t="s">
        <v>869</v>
      </c>
      <c r="B171" s="16">
        <v>45609</v>
      </c>
      <c r="C171" s="8">
        <v>45614</v>
      </c>
      <c r="D171" s="9" t="s">
        <v>41</v>
      </c>
      <c r="E171" s="9" t="s">
        <v>870</v>
      </c>
      <c r="F171" s="9"/>
      <c r="G171" s="9" t="s">
        <v>43</v>
      </c>
      <c r="H171" s="10">
        <v>6.04</v>
      </c>
      <c r="I171" s="9" t="s">
        <v>44</v>
      </c>
      <c r="J171" s="9" t="s">
        <v>45</v>
      </c>
      <c r="K171" s="9" t="s">
        <v>871</v>
      </c>
      <c r="L171" s="11" t="s">
        <v>47</v>
      </c>
      <c r="M171" s="9" t="s">
        <v>48</v>
      </c>
      <c r="N171" s="9" t="s">
        <v>48</v>
      </c>
      <c r="O171" s="12" t="s">
        <v>866</v>
      </c>
      <c r="P171" s="6" t="s">
        <v>867</v>
      </c>
      <c r="Q171" s="9" t="s">
        <v>868</v>
      </c>
      <c r="R171" s="13">
        <v>1</v>
      </c>
      <c r="S171" s="9" t="s">
        <v>99</v>
      </c>
      <c r="T171" s="9" t="s">
        <v>53</v>
      </c>
      <c r="U171" s="9" t="s">
        <v>54</v>
      </c>
      <c r="V171" s="9" t="s">
        <v>240</v>
      </c>
      <c r="W171" s="9"/>
      <c r="X171" s="9"/>
      <c r="Y171" s="13">
        <v>120.63</v>
      </c>
      <c r="Z171" s="13">
        <v>1</v>
      </c>
      <c r="AA171" s="9"/>
      <c r="AB171" s="9"/>
      <c r="AC171" s="9"/>
      <c r="AD171" s="9"/>
      <c r="AE171" s="9"/>
      <c r="AF171" s="13">
        <v>120.63</v>
      </c>
      <c r="AG171" s="9"/>
      <c r="AH171" s="9"/>
      <c r="AI171" s="9"/>
      <c r="AJ171" s="9"/>
      <c r="AK171" s="14" t="e">
        <f t="shared" si="0"/>
        <v>#DIV/0!</v>
      </c>
      <c r="AL171" s="9"/>
      <c r="AM171" s="9"/>
      <c r="AN171" s="9"/>
      <c r="AO171" s="6"/>
      <c r="AP171" s="9"/>
      <c r="AQ171" s="9"/>
      <c r="AR171" s="9"/>
      <c r="AS171" s="9"/>
      <c r="AT171" s="9"/>
      <c r="AU171" s="9"/>
      <c r="AV171" s="9"/>
      <c r="AW171" s="9"/>
      <c r="AX171" s="9"/>
      <c r="AY171" s="9"/>
      <c r="AZ171" s="9"/>
      <c r="BA171" s="9"/>
      <c r="BB171" s="9"/>
      <c r="BC171" s="9"/>
      <c r="BD171" s="9"/>
      <c r="BE171" s="9"/>
      <c r="BF171" s="9"/>
      <c r="BG171" s="9"/>
      <c r="BH171" s="9"/>
    </row>
    <row r="172" spans="1:60" ht="13" hidden="1">
      <c r="A172" s="6" t="s">
        <v>872</v>
      </c>
      <c r="B172" s="16">
        <v>45585</v>
      </c>
      <c r="C172" s="8">
        <v>45608</v>
      </c>
      <c r="D172" s="9" t="s">
        <v>41</v>
      </c>
      <c r="E172" s="9" t="s">
        <v>873</v>
      </c>
      <c r="F172" s="9"/>
      <c r="G172" s="9" t="s">
        <v>43</v>
      </c>
      <c r="H172" s="19">
        <v>58.03</v>
      </c>
      <c r="I172" s="9" t="s">
        <v>44</v>
      </c>
      <c r="J172" s="9" t="s">
        <v>45</v>
      </c>
      <c r="K172" s="9" t="s">
        <v>874</v>
      </c>
      <c r="L172" s="11" t="s">
        <v>58</v>
      </c>
      <c r="M172" s="9" t="s">
        <v>48</v>
      </c>
      <c r="N172" s="9" t="s">
        <v>48</v>
      </c>
      <c r="O172" s="12" t="s">
        <v>875</v>
      </c>
      <c r="P172" s="6" t="s">
        <v>876</v>
      </c>
      <c r="Q172" s="9" t="s">
        <v>877</v>
      </c>
      <c r="R172" s="13">
        <v>3</v>
      </c>
      <c r="S172" s="9" t="s">
        <v>68</v>
      </c>
      <c r="T172" s="9" t="s">
        <v>53</v>
      </c>
      <c r="U172" s="9" t="s">
        <v>54</v>
      </c>
      <c r="V172" s="9" t="s">
        <v>61</v>
      </c>
      <c r="W172" s="9"/>
      <c r="X172" s="9"/>
      <c r="Y172" s="13">
        <v>247.96</v>
      </c>
      <c r="Z172" s="13">
        <v>4</v>
      </c>
      <c r="AA172" s="9"/>
      <c r="AB172" s="9"/>
      <c r="AC172" s="9"/>
      <c r="AD172" s="9"/>
      <c r="AE172" s="9"/>
      <c r="AF172" s="9"/>
      <c r="AG172" s="9"/>
      <c r="AH172" s="9"/>
      <c r="AI172" s="9">
        <v>1</v>
      </c>
      <c r="AJ172" s="9">
        <v>2</v>
      </c>
      <c r="AK172" s="14">
        <f t="shared" si="0"/>
        <v>0.5</v>
      </c>
      <c r="AL172" s="9"/>
      <c r="AM172" s="9"/>
      <c r="AN172" s="9"/>
      <c r="AO172" s="6"/>
      <c r="AP172" s="9"/>
      <c r="AQ172" s="9"/>
      <c r="AR172" s="9"/>
      <c r="AS172" s="9"/>
      <c r="AT172" s="9"/>
      <c r="AU172" s="9"/>
      <c r="AV172" s="9"/>
      <c r="AW172" s="9"/>
      <c r="AX172" s="9"/>
      <c r="AY172" s="9"/>
      <c r="AZ172" s="9"/>
      <c r="BA172" s="9"/>
      <c r="BB172" s="9"/>
      <c r="BC172" s="9"/>
      <c r="BD172" s="9"/>
      <c r="BE172" s="9"/>
      <c r="BF172" s="9"/>
      <c r="BG172" s="9"/>
      <c r="BH172" s="9"/>
    </row>
    <row r="173" spans="1:60" ht="12.5" hidden="1">
      <c r="A173" s="6" t="s">
        <v>878</v>
      </c>
      <c r="B173" s="7">
        <v>45598</v>
      </c>
      <c r="C173" s="8">
        <v>45605</v>
      </c>
      <c r="D173" s="9" t="s">
        <v>41</v>
      </c>
      <c r="E173" s="9" t="s">
        <v>879</v>
      </c>
      <c r="F173" s="9"/>
      <c r="G173" s="9" t="s">
        <v>43</v>
      </c>
      <c r="H173" s="10">
        <v>14.76</v>
      </c>
      <c r="I173" s="9" t="s">
        <v>44</v>
      </c>
      <c r="J173" s="9" t="s">
        <v>45</v>
      </c>
      <c r="K173" s="9" t="s">
        <v>880</v>
      </c>
      <c r="L173" s="11" t="s">
        <v>58</v>
      </c>
      <c r="M173" s="9" t="s">
        <v>48</v>
      </c>
      <c r="N173" s="9" t="s">
        <v>48</v>
      </c>
      <c r="O173" s="12" t="s">
        <v>881</v>
      </c>
      <c r="P173" s="6" t="s">
        <v>882</v>
      </c>
      <c r="Q173" s="9" t="s">
        <v>883</v>
      </c>
      <c r="R173" s="13">
        <v>1</v>
      </c>
      <c r="S173" s="9" t="s">
        <v>68</v>
      </c>
      <c r="T173" s="9" t="s">
        <v>53</v>
      </c>
      <c r="U173" s="9" t="s">
        <v>54</v>
      </c>
      <c r="V173" s="9" t="s">
        <v>55</v>
      </c>
      <c r="W173" s="9"/>
      <c r="X173" s="9"/>
      <c r="Y173" s="13">
        <v>94.1</v>
      </c>
      <c r="Z173" s="13">
        <v>1</v>
      </c>
      <c r="AA173" s="9"/>
      <c r="AB173" s="9"/>
      <c r="AC173" s="9"/>
      <c r="AD173" s="9"/>
      <c r="AE173" s="9"/>
      <c r="AF173" s="13">
        <v>79.34</v>
      </c>
      <c r="AG173" s="9"/>
      <c r="AH173" s="9"/>
      <c r="AI173" s="9">
        <v>1</v>
      </c>
      <c r="AJ173" s="9">
        <v>2</v>
      </c>
      <c r="AK173" s="14">
        <f t="shared" si="0"/>
        <v>0.5</v>
      </c>
      <c r="AL173" s="9"/>
      <c r="AM173" s="9"/>
      <c r="AN173" s="9"/>
      <c r="AO173" s="6"/>
      <c r="AP173" s="9"/>
      <c r="AQ173" s="9"/>
      <c r="AR173" s="9"/>
      <c r="AS173" s="9"/>
      <c r="AT173" s="9"/>
      <c r="AU173" s="9"/>
      <c r="AV173" s="9"/>
      <c r="AW173" s="9"/>
      <c r="AX173" s="9"/>
      <c r="AY173" s="9"/>
      <c r="AZ173" s="9"/>
      <c r="BA173" s="9"/>
      <c r="BB173" s="9"/>
      <c r="BC173" s="9"/>
      <c r="BD173" s="9"/>
      <c r="BE173" s="9"/>
      <c r="BF173" s="9"/>
      <c r="BG173" s="9"/>
      <c r="BH173" s="9"/>
    </row>
    <row r="174" spans="1:60" ht="12.5" hidden="1">
      <c r="A174" s="6" t="s">
        <v>884</v>
      </c>
      <c r="B174" s="16">
        <v>45607</v>
      </c>
      <c r="C174" s="8">
        <v>45617</v>
      </c>
      <c r="D174" s="9" t="s">
        <v>41</v>
      </c>
      <c r="E174" s="9" t="s">
        <v>885</v>
      </c>
      <c r="F174" s="9"/>
      <c r="G174" s="9" t="s">
        <v>43</v>
      </c>
      <c r="H174" s="10">
        <v>9.99</v>
      </c>
      <c r="I174" s="9" t="s">
        <v>44</v>
      </c>
      <c r="J174" s="9" t="s">
        <v>45</v>
      </c>
      <c r="K174" s="9" t="s">
        <v>886</v>
      </c>
      <c r="L174" s="11" t="s">
        <v>47</v>
      </c>
      <c r="M174" s="9" t="s">
        <v>48</v>
      </c>
      <c r="N174" s="9" t="s">
        <v>48</v>
      </c>
      <c r="O174" s="12" t="s">
        <v>887</v>
      </c>
      <c r="P174" s="6" t="s">
        <v>888</v>
      </c>
      <c r="Q174" s="9" t="s">
        <v>889</v>
      </c>
      <c r="R174" s="13">
        <v>1</v>
      </c>
      <c r="S174" s="9" t="s">
        <v>99</v>
      </c>
      <c r="T174" s="9" t="s">
        <v>53</v>
      </c>
      <c r="U174" s="9" t="s">
        <v>54</v>
      </c>
      <c r="V174" s="9" t="s">
        <v>55</v>
      </c>
      <c r="W174" s="9"/>
      <c r="X174" s="9"/>
      <c r="Y174" s="13">
        <v>84.13</v>
      </c>
      <c r="Z174" s="13">
        <v>1</v>
      </c>
      <c r="AA174" s="9"/>
      <c r="AB174" s="9"/>
      <c r="AC174" s="9"/>
      <c r="AD174" s="9"/>
      <c r="AE174" s="9"/>
      <c r="AF174" s="13">
        <v>84.13</v>
      </c>
      <c r="AG174" s="9"/>
      <c r="AH174" s="9"/>
      <c r="AI174" s="9">
        <v>1</v>
      </c>
      <c r="AJ174" s="9">
        <v>8</v>
      </c>
      <c r="AK174" s="14">
        <f t="shared" si="0"/>
        <v>0.125</v>
      </c>
      <c r="AL174" s="9"/>
      <c r="AM174" s="9"/>
      <c r="AN174" s="9"/>
      <c r="AO174" s="6"/>
      <c r="AP174" s="9"/>
      <c r="AQ174" s="9"/>
      <c r="AR174" s="9"/>
      <c r="AS174" s="9"/>
      <c r="AT174" s="9"/>
      <c r="AU174" s="9"/>
      <c r="AV174" s="9"/>
      <c r="AW174" s="9"/>
      <c r="AX174" s="9"/>
      <c r="AY174" s="9"/>
      <c r="AZ174" s="9"/>
      <c r="BA174" s="9"/>
      <c r="BB174" s="9"/>
      <c r="BC174" s="9"/>
      <c r="BD174" s="9"/>
      <c r="BE174" s="9"/>
      <c r="BF174" s="9"/>
      <c r="BG174" s="9"/>
      <c r="BH174" s="9"/>
    </row>
    <row r="175" spans="1:60" ht="12.5" hidden="1">
      <c r="A175" s="6" t="s">
        <v>890</v>
      </c>
      <c r="B175" s="16">
        <v>45580</v>
      </c>
      <c r="C175" s="8">
        <v>45612</v>
      </c>
      <c r="D175" s="9" t="s">
        <v>41</v>
      </c>
      <c r="E175" s="9" t="s">
        <v>891</v>
      </c>
      <c r="F175" s="9"/>
      <c r="G175" s="9" t="s">
        <v>43</v>
      </c>
      <c r="H175" s="10">
        <v>11.74</v>
      </c>
      <c r="I175" s="9" t="s">
        <v>44</v>
      </c>
      <c r="J175" s="9" t="s">
        <v>45</v>
      </c>
      <c r="K175" s="9" t="s">
        <v>892</v>
      </c>
      <c r="L175" s="11" t="s">
        <v>47</v>
      </c>
      <c r="M175" s="9" t="s">
        <v>48</v>
      </c>
      <c r="N175" s="9" t="s">
        <v>48</v>
      </c>
      <c r="O175" s="12" t="s">
        <v>893</v>
      </c>
      <c r="P175" s="6" t="s">
        <v>894</v>
      </c>
      <c r="Q175" s="9" t="s">
        <v>895</v>
      </c>
      <c r="R175" s="13">
        <v>1</v>
      </c>
      <c r="S175" s="9" t="s">
        <v>99</v>
      </c>
      <c r="T175" s="9" t="s">
        <v>53</v>
      </c>
      <c r="U175" s="9" t="s">
        <v>54</v>
      </c>
      <c r="V175" s="9" t="s">
        <v>61</v>
      </c>
      <c r="W175" s="9"/>
      <c r="X175" s="9"/>
      <c r="Y175" s="13">
        <v>107.59</v>
      </c>
      <c r="Z175" s="13">
        <v>1</v>
      </c>
      <c r="AA175" s="9"/>
      <c r="AB175" s="9"/>
      <c r="AC175" s="9"/>
      <c r="AD175" s="9"/>
      <c r="AE175" s="9"/>
      <c r="AF175" s="9"/>
      <c r="AG175" s="9"/>
      <c r="AH175" s="9"/>
      <c r="AI175" s="9">
        <v>1</v>
      </c>
      <c r="AJ175" s="9">
        <v>6</v>
      </c>
      <c r="AK175" s="14">
        <f t="shared" si="0"/>
        <v>0.16666666666666666</v>
      </c>
      <c r="AL175" s="9"/>
      <c r="AM175" s="9"/>
      <c r="AN175" s="9"/>
      <c r="AO175" s="6"/>
      <c r="AP175" s="9"/>
      <c r="AQ175" s="9"/>
      <c r="AR175" s="9"/>
      <c r="AS175" s="9"/>
      <c r="AT175" s="9"/>
      <c r="AU175" s="9"/>
      <c r="AV175" s="9"/>
      <c r="AW175" s="9"/>
      <c r="AX175" s="9"/>
      <c r="AY175" s="9"/>
      <c r="AZ175" s="9"/>
      <c r="BA175" s="9"/>
      <c r="BB175" s="9"/>
      <c r="BC175" s="9"/>
      <c r="BD175" s="9"/>
      <c r="BE175" s="9"/>
      <c r="BF175" s="9"/>
      <c r="BG175" s="9"/>
      <c r="BH175" s="9"/>
    </row>
    <row r="176" spans="1:60" ht="12.5" hidden="1">
      <c r="A176" s="6" t="s">
        <v>896</v>
      </c>
      <c r="B176" s="16">
        <v>45624</v>
      </c>
      <c r="C176" s="8">
        <v>45626</v>
      </c>
      <c r="D176" s="9" t="s">
        <v>41</v>
      </c>
      <c r="E176" s="9" t="s">
        <v>897</v>
      </c>
      <c r="F176" s="9"/>
      <c r="G176" s="9" t="s">
        <v>43</v>
      </c>
      <c r="H176" s="10">
        <v>13.9</v>
      </c>
      <c r="I176" s="9" t="s">
        <v>44</v>
      </c>
      <c r="J176" s="9" t="s">
        <v>45</v>
      </c>
      <c r="K176" s="9" t="s">
        <v>898</v>
      </c>
      <c r="L176" s="11" t="s">
        <v>47</v>
      </c>
      <c r="M176" s="9" t="s">
        <v>48</v>
      </c>
      <c r="N176" s="9" t="s">
        <v>48</v>
      </c>
      <c r="O176" s="12" t="s">
        <v>899</v>
      </c>
      <c r="P176" s="6" t="s">
        <v>900</v>
      </c>
      <c r="Q176" s="9" t="s">
        <v>901</v>
      </c>
      <c r="R176" s="13">
        <v>1</v>
      </c>
      <c r="S176" s="9" t="s">
        <v>92</v>
      </c>
      <c r="T176" s="9" t="s">
        <v>53</v>
      </c>
      <c r="U176" s="9" t="s">
        <v>54</v>
      </c>
      <c r="V176" s="9" t="s">
        <v>61</v>
      </c>
      <c r="W176" s="9"/>
      <c r="X176" s="9"/>
      <c r="Y176" s="13">
        <v>101.69</v>
      </c>
      <c r="Z176" s="13">
        <v>1</v>
      </c>
      <c r="AA176" s="9"/>
      <c r="AB176" s="9"/>
      <c r="AC176" s="9"/>
      <c r="AD176" s="9"/>
      <c r="AE176" s="9"/>
      <c r="AF176" s="9"/>
      <c r="AG176" s="9"/>
      <c r="AH176" s="9"/>
      <c r="AI176" s="9">
        <v>1</v>
      </c>
      <c r="AJ176" s="9">
        <v>1</v>
      </c>
      <c r="AK176" s="14">
        <f t="shared" si="0"/>
        <v>1</v>
      </c>
      <c r="AL176" s="9"/>
      <c r="AM176" s="9"/>
      <c r="AN176" s="9"/>
      <c r="AO176" s="6"/>
      <c r="AP176" s="9"/>
      <c r="AQ176" s="9"/>
      <c r="AR176" s="9"/>
      <c r="AS176" s="9"/>
      <c r="AT176" s="9"/>
      <c r="AU176" s="9"/>
      <c r="AV176" s="9"/>
      <c r="AW176" s="9"/>
      <c r="AX176" s="9"/>
      <c r="AY176" s="9"/>
      <c r="AZ176" s="9"/>
      <c r="BA176" s="9"/>
      <c r="BB176" s="9"/>
      <c r="BC176" s="9"/>
      <c r="BD176" s="9"/>
      <c r="BE176" s="9"/>
      <c r="BF176" s="9"/>
      <c r="BG176" s="9"/>
      <c r="BH176" s="9"/>
    </row>
    <row r="177" spans="1:60" ht="12.5" hidden="1">
      <c r="A177" s="6" t="s">
        <v>902</v>
      </c>
      <c r="B177" s="16">
        <v>45591</v>
      </c>
      <c r="C177" s="8">
        <v>45598</v>
      </c>
      <c r="D177" s="9" t="s">
        <v>41</v>
      </c>
      <c r="E177" s="9" t="s">
        <v>903</v>
      </c>
      <c r="F177" s="9"/>
      <c r="G177" s="9" t="s">
        <v>43</v>
      </c>
      <c r="H177" s="10">
        <v>11.09</v>
      </c>
      <c r="I177" s="9" t="s">
        <v>44</v>
      </c>
      <c r="J177" s="9" t="s">
        <v>45</v>
      </c>
      <c r="K177" s="9" t="s">
        <v>904</v>
      </c>
      <c r="L177" s="11" t="s">
        <v>47</v>
      </c>
      <c r="M177" s="9" t="s">
        <v>48</v>
      </c>
      <c r="N177" s="9" t="s">
        <v>48</v>
      </c>
      <c r="O177" s="12" t="s">
        <v>905</v>
      </c>
      <c r="P177" s="6" t="s">
        <v>906</v>
      </c>
      <c r="Q177" s="9" t="s">
        <v>907</v>
      </c>
      <c r="R177" s="13">
        <v>1</v>
      </c>
      <c r="S177" s="9" t="s">
        <v>52</v>
      </c>
      <c r="T177" s="9" t="s">
        <v>53</v>
      </c>
      <c r="U177" s="9" t="s">
        <v>54</v>
      </c>
      <c r="V177" s="9" t="s">
        <v>61</v>
      </c>
      <c r="W177" s="9"/>
      <c r="X177" s="9"/>
      <c r="Y177" s="13">
        <v>75.569999999999993</v>
      </c>
      <c r="Z177" s="13">
        <v>1</v>
      </c>
      <c r="AA177" s="9"/>
      <c r="AB177" s="9"/>
      <c r="AC177" s="9"/>
      <c r="AD177" s="9"/>
      <c r="AE177" s="9"/>
      <c r="AF177" s="9"/>
      <c r="AG177" s="9"/>
      <c r="AH177" s="9"/>
      <c r="AI177" s="9">
        <v>1</v>
      </c>
      <c r="AJ177" s="9">
        <v>0</v>
      </c>
      <c r="AK177" s="14" t="e">
        <f t="shared" si="0"/>
        <v>#DIV/0!</v>
      </c>
      <c r="AL177" s="9"/>
      <c r="AM177" s="9"/>
      <c r="AN177" s="9"/>
      <c r="AO177" s="6"/>
      <c r="AP177" s="9"/>
      <c r="AQ177" s="9"/>
      <c r="AR177" s="9"/>
      <c r="AS177" s="9"/>
      <c r="AT177" s="9"/>
      <c r="AU177" s="9"/>
      <c r="AV177" s="9"/>
      <c r="AW177" s="9"/>
      <c r="AX177" s="9"/>
      <c r="AY177" s="9"/>
      <c r="AZ177" s="9"/>
      <c r="BA177" s="9"/>
      <c r="BB177" s="9"/>
      <c r="BC177" s="9"/>
      <c r="BD177" s="9"/>
      <c r="BE177" s="9"/>
      <c r="BF177" s="9"/>
      <c r="BG177" s="9"/>
      <c r="BH177" s="9"/>
    </row>
    <row r="178" spans="1:60" ht="12.5" hidden="1">
      <c r="A178" s="6" t="s">
        <v>908</v>
      </c>
      <c r="B178" s="7">
        <v>45605</v>
      </c>
      <c r="C178" s="8">
        <v>45614</v>
      </c>
      <c r="D178" s="9" t="s">
        <v>41</v>
      </c>
      <c r="E178" s="9" t="s">
        <v>909</v>
      </c>
      <c r="F178" s="9"/>
      <c r="G178" s="9" t="s">
        <v>43</v>
      </c>
      <c r="H178" s="10">
        <v>19.36</v>
      </c>
      <c r="I178" s="9" t="s">
        <v>44</v>
      </c>
      <c r="J178" s="9" t="s">
        <v>45</v>
      </c>
      <c r="K178" s="9" t="s">
        <v>910</v>
      </c>
      <c r="L178" s="11" t="s">
        <v>47</v>
      </c>
      <c r="M178" s="9" t="s">
        <v>48</v>
      </c>
      <c r="N178" s="9" t="s">
        <v>48</v>
      </c>
      <c r="O178" s="12" t="s">
        <v>911</v>
      </c>
      <c r="P178" s="6" t="s">
        <v>912</v>
      </c>
      <c r="Q178" s="9" t="s">
        <v>913</v>
      </c>
      <c r="R178" s="13">
        <v>1</v>
      </c>
      <c r="S178" s="9" t="s">
        <v>99</v>
      </c>
      <c r="T178" s="9" t="s">
        <v>53</v>
      </c>
      <c r="U178" s="9" t="s">
        <v>54</v>
      </c>
      <c r="V178" s="9" t="s">
        <v>240</v>
      </c>
      <c r="W178" s="9"/>
      <c r="X178" s="9"/>
      <c r="Y178" s="13">
        <v>272.52999999999997</v>
      </c>
      <c r="Z178" s="13">
        <v>1</v>
      </c>
      <c r="AA178" s="9"/>
      <c r="AB178" s="9"/>
      <c r="AC178" s="9"/>
      <c r="AD178" s="9"/>
      <c r="AE178" s="9"/>
      <c r="AF178" s="13">
        <v>272.52999999999997</v>
      </c>
      <c r="AG178" s="9"/>
      <c r="AH178" s="9"/>
      <c r="AI178" s="9">
        <v>1</v>
      </c>
      <c r="AJ178" s="9">
        <v>3</v>
      </c>
      <c r="AK178" s="14">
        <f t="shared" si="0"/>
        <v>0.33333333333333331</v>
      </c>
      <c r="AL178" s="9"/>
      <c r="AM178" s="9"/>
      <c r="AN178" s="9"/>
      <c r="AO178" s="6"/>
      <c r="AP178" s="9"/>
      <c r="AQ178" s="9"/>
      <c r="AR178" s="9"/>
      <c r="AS178" s="9"/>
      <c r="AT178" s="9"/>
      <c r="AU178" s="9"/>
      <c r="AV178" s="9"/>
      <c r="AW178" s="9"/>
      <c r="AX178" s="9"/>
      <c r="AY178" s="9"/>
      <c r="AZ178" s="9"/>
      <c r="BA178" s="9"/>
      <c r="BB178" s="9"/>
      <c r="BC178" s="9"/>
      <c r="BD178" s="9"/>
      <c r="BE178" s="9"/>
      <c r="BF178" s="9"/>
      <c r="BG178" s="9"/>
      <c r="BH178" s="9"/>
    </row>
    <row r="179" spans="1:60" ht="12.5" hidden="1">
      <c r="A179" s="6"/>
      <c r="B179" s="20"/>
      <c r="C179" s="21"/>
      <c r="D179" s="9"/>
      <c r="E179" s="9"/>
      <c r="F179" s="9"/>
      <c r="G179" s="9"/>
      <c r="H179" s="15"/>
      <c r="I179" s="9"/>
      <c r="J179" s="9"/>
      <c r="K179" s="9"/>
      <c r="L179" s="11"/>
      <c r="M179" s="9"/>
      <c r="N179" s="9"/>
      <c r="O179" s="12"/>
      <c r="P179" s="6"/>
      <c r="Q179" s="9"/>
      <c r="R179" s="9"/>
      <c r="S179" s="9"/>
      <c r="T179" s="9"/>
      <c r="U179" s="9"/>
      <c r="V179" s="9"/>
      <c r="W179" s="9"/>
      <c r="X179" s="9"/>
      <c r="Y179" s="9"/>
      <c r="Z179" s="9"/>
      <c r="AA179" s="9"/>
      <c r="AB179" s="9"/>
      <c r="AC179" s="9"/>
      <c r="AD179" s="9"/>
      <c r="AE179" s="9"/>
      <c r="AF179" s="9"/>
      <c r="AG179" s="9"/>
      <c r="AH179" s="9"/>
      <c r="AI179" s="9"/>
      <c r="AJ179" s="9"/>
      <c r="AK179" s="14" t="e">
        <f t="shared" si="0"/>
        <v>#DIV/0!</v>
      </c>
      <c r="AL179" s="9"/>
      <c r="AM179" s="9"/>
      <c r="AN179" s="9"/>
      <c r="AO179" s="6"/>
      <c r="AP179" s="9"/>
      <c r="AQ179" s="9"/>
      <c r="AR179" s="9"/>
      <c r="AS179" s="9"/>
      <c r="AT179" s="9"/>
      <c r="AU179" s="9"/>
      <c r="AV179" s="9"/>
      <c r="AW179" s="9"/>
      <c r="AX179" s="9"/>
      <c r="AY179" s="9"/>
      <c r="AZ179" s="9"/>
      <c r="BA179" s="9"/>
      <c r="BB179" s="9"/>
      <c r="BC179" s="9"/>
      <c r="BD179" s="9"/>
      <c r="BE179" s="9"/>
      <c r="BF179" s="9"/>
      <c r="BG179" s="9"/>
      <c r="BH179" s="9"/>
    </row>
    <row r="180" spans="1:60" ht="12.5" hidden="1">
      <c r="A180" s="22"/>
      <c r="B180" s="23"/>
      <c r="C180" s="24"/>
      <c r="D180" s="25"/>
      <c r="E180" s="25"/>
      <c r="F180" s="25"/>
      <c r="G180" s="25"/>
      <c r="H180" s="25"/>
      <c r="I180" s="25"/>
      <c r="J180" s="25"/>
      <c r="K180" s="25"/>
      <c r="L180" s="26"/>
      <c r="M180" s="25"/>
      <c r="N180" s="25"/>
      <c r="O180" s="12"/>
      <c r="P180" s="22"/>
      <c r="Q180" s="25"/>
      <c r="R180" s="25"/>
      <c r="S180" s="25"/>
      <c r="T180" s="25"/>
      <c r="U180" s="25"/>
      <c r="V180" s="25"/>
      <c r="W180" s="25"/>
      <c r="X180" s="25"/>
      <c r="Y180" s="25"/>
      <c r="Z180" s="25"/>
      <c r="AA180" s="25"/>
      <c r="AB180" s="25"/>
      <c r="AC180" s="25"/>
      <c r="AD180" s="25"/>
      <c r="AE180" s="25"/>
      <c r="AF180" s="25"/>
      <c r="AG180" s="25"/>
      <c r="AH180" s="25"/>
      <c r="AI180" s="25"/>
      <c r="AJ180" s="25"/>
      <c r="AK180" s="14" t="e">
        <f t="shared" si="0"/>
        <v>#DIV/0!</v>
      </c>
      <c r="AL180" s="25"/>
      <c r="AM180" s="9"/>
      <c r="AN180" s="9"/>
      <c r="AO180" s="22"/>
      <c r="AP180" s="25"/>
      <c r="AQ180" s="25"/>
      <c r="AR180" s="25"/>
      <c r="AS180" s="25"/>
      <c r="AT180" s="25"/>
      <c r="AU180" s="25"/>
      <c r="AV180" s="25"/>
      <c r="AW180" s="25"/>
      <c r="AX180" s="25"/>
      <c r="AY180" s="25"/>
      <c r="AZ180" s="25"/>
      <c r="BA180" s="25"/>
      <c r="BB180" s="25"/>
      <c r="BC180" s="25"/>
      <c r="BD180" s="25"/>
      <c r="BE180" s="25"/>
      <c r="BF180" s="25"/>
      <c r="BG180" s="25"/>
      <c r="BH180" s="25"/>
    </row>
    <row r="181" spans="1:60" ht="12.5" hidden="1">
      <c r="A181" s="6"/>
      <c r="B181" s="20"/>
      <c r="C181" s="21"/>
      <c r="D181" s="9"/>
      <c r="E181" s="9"/>
      <c r="F181" s="9"/>
      <c r="G181" s="9"/>
      <c r="H181" s="15"/>
      <c r="I181" s="9"/>
      <c r="J181" s="9"/>
      <c r="K181" s="9"/>
      <c r="L181" s="11"/>
      <c r="M181" s="9"/>
      <c r="N181" s="9"/>
      <c r="O181" s="12"/>
      <c r="P181" s="6"/>
      <c r="Q181" s="9"/>
      <c r="R181" s="9"/>
      <c r="S181" s="9"/>
      <c r="T181" s="9"/>
      <c r="U181" s="9"/>
      <c r="V181" s="9"/>
      <c r="W181" s="9"/>
      <c r="X181" s="9"/>
      <c r="Y181" s="9"/>
      <c r="Z181" s="9"/>
      <c r="AA181" s="9"/>
      <c r="AB181" s="9"/>
      <c r="AC181" s="9"/>
      <c r="AD181" s="9"/>
      <c r="AE181" s="9"/>
      <c r="AF181" s="9"/>
      <c r="AG181" s="9"/>
      <c r="AH181" s="9"/>
      <c r="AI181" s="9"/>
      <c r="AJ181" s="9"/>
      <c r="AK181" s="14" t="e">
        <f t="shared" si="0"/>
        <v>#DIV/0!</v>
      </c>
      <c r="AL181" s="9"/>
      <c r="AM181" s="9"/>
      <c r="AN181" s="9"/>
      <c r="AO181" s="6"/>
      <c r="AP181" s="9"/>
      <c r="AQ181" s="9"/>
      <c r="AR181" s="9"/>
      <c r="AS181" s="9"/>
      <c r="AT181" s="9"/>
      <c r="AU181" s="9"/>
      <c r="AV181" s="9"/>
      <c r="AW181" s="9"/>
      <c r="AX181" s="9"/>
      <c r="AY181" s="9"/>
      <c r="AZ181" s="9"/>
      <c r="BA181" s="9"/>
      <c r="BB181" s="9"/>
      <c r="BC181" s="9"/>
      <c r="BD181" s="9"/>
      <c r="BE181" s="9"/>
      <c r="BF181" s="9"/>
      <c r="BG181" s="9"/>
      <c r="BH181" s="9"/>
    </row>
    <row r="182" spans="1:60" ht="12.5" hidden="1">
      <c r="A182" s="6"/>
      <c r="B182" s="20"/>
      <c r="C182" s="21"/>
      <c r="D182" s="9"/>
      <c r="E182" s="9"/>
      <c r="F182" s="9"/>
      <c r="G182" s="9"/>
      <c r="H182" s="15"/>
      <c r="I182" s="9"/>
      <c r="J182" s="9"/>
      <c r="K182" s="9"/>
      <c r="L182" s="11"/>
      <c r="M182" s="9"/>
      <c r="N182" s="9"/>
      <c r="O182" s="12"/>
      <c r="P182" s="6"/>
      <c r="Q182" s="9"/>
      <c r="R182" s="9"/>
      <c r="S182" s="9"/>
      <c r="T182" s="9"/>
      <c r="U182" s="9"/>
      <c r="V182" s="9"/>
      <c r="W182" s="9"/>
      <c r="X182" s="9"/>
      <c r="Y182" s="9"/>
      <c r="Z182" s="9"/>
      <c r="AA182" s="9"/>
      <c r="AB182" s="9"/>
      <c r="AC182" s="9"/>
      <c r="AD182" s="9"/>
      <c r="AE182" s="9"/>
      <c r="AF182" s="9"/>
      <c r="AG182" s="9"/>
      <c r="AH182" s="9"/>
      <c r="AI182" s="9"/>
      <c r="AJ182" s="9"/>
      <c r="AK182" s="14" t="e">
        <f t="shared" si="0"/>
        <v>#DIV/0!</v>
      </c>
      <c r="AL182" s="9"/>
      <c r="AM182" s="9"/>
      <c r="AN182" s="9"/>
      <c r="AO182" s="6"/>
      <c r="AP182" s="9"/>
      <c r="AQ182" s="9"/>
      <c r="AR182" s="9"/>
      <c r="AS182" s="9"/>
      <c r="AT182" s="9"/>
      <c r="AU182" s="9"/>
      <c r="AV182" s="9"/>
      <c r="AW182" s="9"/>
      <c r="AX182" s="9"/>
      <c r="AY182" s="9"/>
      <c r="AZ182" s="9"/>
      <c r="BA182" s="9"/>
      <c r="BB182" s="9"/>
      <c r="BC182" s="9"/>
      <c r="BD182" s="9"/>
      <c r="BE182" s="9"/>
      <c r="BF182" s="9"/>
      <c r="BG182" s="9"/>
      <c r="BH182" s="9"/>
    </row>
    <row r="183" spans="1:60" ht="12.5" hidden="1">
      <c r="A183" s="6" t="s">
        <v>914</v>
      </c>
      <c r="B183" s="16">
        <v>45628</v>
      </c>
      <c r="C183" s="8">
        <v>45632</v>
      </c>
      <c r="D183" s="9" t="s">
        <v>41</v>
      </c>
      <c r="E183" s="9" t="s">
        <v>915</v>
      </c>
      <c r="F183" s="9"/>
      <c r="G183" s="9" t="s">
        <v>43</v>
      </c>
      <c r="H183" s="10">
        <v>13.51</v>
      </c>
      <c r="I183" s="9" t="s">
        <v>44</v>
      </c>
      <c r="J183" s="9" t="s">
        <v>45</v>
      </c>
      <c r="K183" s="9" t="s">
        <v>916</v>
      </c>
      <c r="L183" s="11" t="s">
        <v>47</v>
      </c>
      <c r="M183" s="9" t="s">
        <v>48</v>
      </c>
      <c r="N183" s="9" t="s">
        <v>48</v>
      </c>
      <c r="O183" s="12" t="s">
        <v>49</v>
      </c>
      <c r="P183" s="6" t="s">
        <v>50</v>
      </c>
      <c r="Q183" s="9" t="s">
        <v>51</v>
      </c>
      <c r="R183" s="13">
        <v>1</v>
      </c>
      <c r="S183" s="9" t="s">
        <v>52</v>
      </c>
      <c r="T183" s="9" t="s">
        <v>53</v>
      </c>
      <c r="U183" s="9" t="s">
        <v>54</v>
      </c>
      <c r="V183" s="9" t="s">
        <v>61</v>
      </c>
      <c r="W183" s="9"/>
      <c r="X183" s="9"/>
      <c r="Y183" s="13">
        <v>96.49</v>
      </c>
      <c r="Z183" s="13">
        <v>1</v>
      </c>
      <c r="AA183" s="9"/>
      <c r="AB183" s="9"/>
      <c r="AC183" s="9"/>
      <c r="AD183" s="9"/>
      <c r="AE183" s="9"/>
      <c r="AF183" s="9"/>
      <c r="AG183" s="9"/>
      <c r="AH183" s="9"/>
      <c r="AI183" s="9">
        <v>1</v>
      </c>
      <c r="AJ183" s="9">
        <v>15</v>
      </c>
      <c r="AK183" s="14">
        <f t="shared" si="0"/>
        <v>6.6666666666666666E-2</v>
      </c>
      <c r="AL183" s="9"/>
      <c r="AM183" s="9"/>
      <c r="AN183" s="9"/>
      <c r="AO183" s="6"/>
      <c r="AP183" s="9"/>
      <c r="AQ183" s="9"/>
      <c r="AR183" s="9"/>
      <c r="AS183" s="9"/>
      <c r="AT183" s="9"/>
      <c r="AU183" s="9"/>
      <c r="AV183" s="9"/>
      <c r="AW183" s="9"/>
      <c r="AX183" s="9"/>
      <c r="AY183" s="9"/>
      <c r="AZ183" s="9"/>
      <c r="BA183" s="9"/>
      <c r="BB183" s="9"/>
      <c r="BC183" s="9"/>
      <c r="BD183" s="9"/>
      <c r="BE183" s="9"/>
      <c r="BF183" s="9"/>
      <c r="BG183" s="9"/>
      <c r="BH183" s="9"/>
    </row>
    <row r="184" spans="1:60" ht="12.5" hidden="1">
      <c r="A184" s="6" t="s">
        <v>917</v>
      </c>
      <c r="B184" s="16">
        <v>45634</v>
      </c>
      <c r="C184" s="8">
        <v>45643</v>
      </c>
      <c r="D184" s="9" t="s">
        <v>41</v>
      </c>
      <c r="E184" s="9" t="s">
        <v>918</v>
      </c>
      <c r="F184" s="9"/>
      <c r="G184" s="9" t="s">
        <v>43</v>
      </c>
      <c r="H184" s="10">
        <v>9.99</v>
      </c>
      <c r="I184" s="9" t="s">
        <v>44</v>
      </c>
      <c r="J184" s="9" t="s">
        <v>45</v>
      </c>
      <c r="K184" s="9" t="s">
        <v>919</v>
      </c>
      <c r="L184" s="11" t="s">
        <v>47</v>
      </c>
      <c r="M184" s="9" t="s">
        <v>48</v>
      </c>
      <c r="N184" s="9" t="s">
        <v>48</v>
      </c>
      <c r="O184" s="12" t="s">
        <v>65</v>
      </c>
      <c r="P184" s="6" t="s">
        <v>66</v>
      </c>
      <c r="Q184" s="9" t="s">
        <v>67</v>
      </c>
      <c r="R184" s="13">
        <v>1</v>
      </c>
      <c r="S184" s="9" t="s">
        <v>99</v>
      </c>
      <c r="T184" s="9" t="s">
        <v>53</v>
      </c>
      <c r="U184" s="9" t="s">
        <v>54</v>
      </c>
      <c r="V184" s="9" t="s">
        <v>61</v>
      </c>
      <c r="W184" s="9"/>
      <c r="X184" s="9"/>
      <c r="Y184" s="13">
        <v>76.790000000000006</v>
      </c>
      <c r="Z184" s="13">
        <v>1</v>
      </c>
      <c r="AA184" s="9"/>
      <c r="AB184" s="9"/>
      <c r="AC184" s="9"/>
      <c r="AD184" s="9"/>
      <c r="AE184" s="9"/>
      <c r="AF184" s="9"/>
      <c r="AG184" s="9"/>
      <c r="AH184" s="9"/>
      <c r="AI184" s="9">
        <v>2</v>
      </c>
      <c r="AJ184" s="9">
        <v>9</v>
      </c>
      <c r="AK184" s="14">
        <f t="shared" si="0"/>
        <v>0.22222222222222221</v>
      </c>
      <c r="AL184" s="9"/>
      <c r="AM184" s="9"/>
      <c r="AN184" s="9"/>
      <c r="AO184" s="6"/>
      <c r="AP184" s="9"/>
      <c r="AQ184" s="9"/>
      <c r="AR184" s="9"/>
      <c r="AS184" s="9"/>
      <c r="AT184" s="9"/>
      <c r="AU184" s="9"/>
      <c r="AV184" s="9"/>
      <c r="AW184" s="9"/>
      <c r="AX184" s="9"/>
      <c r="AY184" s="9"/>
      <c r="AZ184" s="9"/>
      <c r="BA184" s="9"/>
      <c r="BB184" s="9"/>
      <c r="BC184" s="9"/>
      <c r="BD184" s="9"/>
      <c r="BE184" s="9"/>
      <c r="BF184" s="9"/>
      <c r="BG184" s="9"/>
      <c r="BH184" s="9"/>
    </row>
    <row r="185" spans="1:60" ht="12.5" hidden="1">
      <c r="A185" s="6" t="s">
        <v>920</v>
      </c>
      <c r="B185" s="16">
        <v>45636</v>
      </c>
      <c r="C185" s="8">
        <v>45641</v>
      </c>
      <c r="D185" s="9" t="s">
        <v>41</v>
      </c>
      <c r="E185" s="9" t="s">
        <v>921</v>
      </c>
      <c r="F185" s="9"/>
      <c r="G185" s="9" t="s">
        <v>43</v>
      </c>
      <c r="H185" s="10">
        <v>9.99</v>
      </c>
      <c r="I185" s="9" t="s">
        <v>44</v>
      </c>
      <c r="J185" s="9" t="s">
        <v>45</v>
      </c>
      <c r="K185" s="9" t="s">
        <v>922</v>
      </c>
      <c r="L185" s="11" t="s">
        <v>58</v>
      </c>
      <c r="M185" s="9" t="s">
        <v>48</v>
      </c>
      <c r="N185" s="9" t="s">
        <v>48</v>
      </c>
      <c r="O185" s="12" t="s">
        <v>65</v>
      </c>
      <c r="P185" s="6" t="s">
        <v>66</v>
      </c>
      <c r="Q185" s="9" t="s">
        <v>67</v>
      </c>
      <c r="R185" s="13">
        <v>1</v>
      </c>
      <c r="S185" s="9" t="s">
        <v>75</v>
      </c>
      <c r="T185" s="9" t="s">
        <v>53</v>
      </c>
      <c r="U185" s="9" t="s">
        <v>54</v>
      </c>
      <c r="V185" s="9" t="s">
        <v>55</v>
      </c>
      <c r="W185" s="9"/>
      <c r="X185" s="9"/>
      <c r="Y185" s="13">
        <v>78.77</v>
      </c>
      <c r="Z185" s="13">
        <v>1</v>
      </c>
      <c r="AA185" s="9"/>
      <c r="AB185" s="9"/>
      <c r="AC185" s="9"/>
      <c r="AD185" s="9"/>
      <c r="AE185" s="9"/>
      <c r="AF185" s="13">
        <v>68.78</v>
      </c>
      <c r="AG185" s="9"/>
      <c r="AH185" s="9"/>
      <c r="AI185" s="9"/>
      <c r="AJ185" s="9"/>
      <c r="AK185" s="14" t="e">
        <f t="shared" si="0"/>
        <v>#DIV/0!</v>
      </c>
      <c r="AL185" s="9"/>
      <c r="AM185" s="9"/>
      <c r="AN185" s="9"/>
      <c r="AO185" s="6"/>
      <c r="AP185" s="9"/>
      <c r="AQ185" s="9"/>
      <c r="AR185" s="9"/>
      <c r="AS185" s="9"/>
      <c r="AT185" s="9"/>
      <c r="AU185" s="9"/>
      <c r="AV185" s="9"/>
      <c r="AW185" s="9"/>
      <c r="AX185" s="9"/>
      <c r="AY185" s="9"/>
      <c r="AZ185" s="9"/>
      <c r="BA185" s="9"/>
      <c r="BB185" s="9"/>
      <c r="BC185" s="9"/>
      <c r="BD185" s="9"/>
      <c r="BE185" s="9"/>
      <c r="BF185" s="9"/>
      <c r="BG185" s="9"/>
      <c r="BH185" s="9"/>
    </row>
    <row r="186" spans="1:60" ht="12.5" hidden="1">
      <c r="A186" s="6" t="s">
        <v>923</v>
      </c>
      <c r="B186" s="16">
        <v>45645</v>
      </c>
      <c r="C186" s="8">
        <v>45650</v>
      </c>
      <c r="D186" s="9" t="s">
        <v>41</v>
      </c>
      <c r="E186" s="9" t="s">
        <v>924</v>
      </c>
      <c r="F186" s="9"/>
      <c r="G186" s="9" t="s">
        <v>43</v>
      </c>
      <c r="H186" s="10">
        <v>11.07</v>
      </c>
      <c r="I186" s="9" t="s">
        <v>44</v>
      </c>
      <c r="J186" s="9" t="s">
        <v>45</v>
      </c>
      <c r="K186" s="9" t="s">
        <v>925</v>
      </c>
      <c r="L186" s="11" t="s">
        <v>58</v>
      </c>
      <c r="M186" s="9" t="s">
        <v>48</v>
      </c>
      <c r="N186" s="9" t="s">
        <v>48</v>
      </c>
      <c r="O186" s="12" t="s">
        <v>926</v>
      </c>
      <c r="P186" s="6" t="s">
        <v>927</v>
      </c>
      <c r="Q186" s="9" t="s">
        <v>928</v>
      </c>
      <c r="R186" s="13">
        <v>1</v>
      </c>
      <c r="S186" s="9" t="s">
        <v>75</v>
      </c>
      <c r="T186" s="9" t="s">
        <v>53</v>
      </c>
      <c r="U186" s="9" t="s">
        <v>54</v>
      </c>
      <c r="V186" s="9" t="s">
        <v>61</v>
      </c>
      <c r="W186" s="9"/>
      <c r="X186" s="9"/>
      <c r="Y186" s="13">
        <v>71.62</v>
      </c>
      <c r="Z186" s="13">
        <v>1</v>
      </c>
      <c r="AA186" s="9"/>
      <c r="AB186" s="9"/>
      <c r="AC186" s="9"/>
      <c r="AD186" s="9"/>
      <c r="AE186" s="9"/>
      <c r="AF186" s="9"/>
      <c r="AG186" s="9"/>
      <c r="AH186" s="9"/>
      <c r="AI186" s="9">
        <v>1</v>
      </c>
      <c r="AJ186" s="9">
        <v>14</v>
      </c>
      <c r="AK186" s="14">
        <f t="shared" si="0"/>
        <v>7.1428571428571425E-2</v>
      </c>
      <c r="AL186" s="9"/>
      <c r="AM186" s="9"/>
      <c r="AN186" s="9"/>
      <c r="AO186" s="6"/>
      <c r="AP186" s="9"/>
      <c r="AQ186" s="9"/>
      <c r="AR186" s="9"/>
      <c r="AS186" s="9"/>
      <c r="AT186" s="9"/>
      <c r="AU186" s="9"/>
      <c r="AV186" s="9"/>
      <c r="AW186" s="9"/>
      <c r="AX186" s="9"/>
      <c r="AY186" s="9"/>
      <c r="AZ186" s="9"/>
      <c r="BA186" s="9"/>
      <c r="BB186" s="9"/>
      <c r="BC186" s="9"/>
      <c r="BD186" s="9"/>
      <c r="BE186" s="9"/>
      <c r="BF186" s="9"/>
      <c r="BG186" s="9"/>
      <c r="BH186" s="9"/>
    </row>
    <row r="187" spans="1:60" ht="12.5" hidden="1">
      <c r="A187" s="6" t="s">
        <v>929</v>
      </c>
      <c r="B187" s="16">
        <v>45640</v>
      </c>
      <c r="C187" s="8">
        <v>45649</v>
      </c>
      <c r="D187" s="9" t="s">
        <v>41</v>
      </c>
      <c r="E187" s="9" t="s">
        <v>930</v>
      </c>
      <c r="F187" s="9"/>
      <c r="G187" s="9" t="s">
        <v>43</v>
      </c>
      <c r="H187" s="10">
        <v>10.69</v>
      </c>
      <c r="I187" s="9" t="s">
        <v>44</v>
      </c>
      <c r="J187" s="9" t="s">
        <v>45</v>
      </c>
      <c r="K187" s="9" t="s">
        <v>931</v>
      </c>
      <c r="L187" s="11" t="s">
        <v>47</v>
      </c>
      <c r="M187" s="9" t="s">
        <v>48</v>
      </c>
      <c r="N187" s="9" t="s">
        <v>48</v>
      </c>
      <c r="O187" s="12" t="s">
        <v>79</v>
      </c>
      <c r="P187" s="6" t="s">
        <v>80</v>
      </c>
      <c r="Q187" s="9" t="s">
        <v>81</v>
      </c>
      <c r="R187" s="13">
        <v>1</v>
      </c>
      <c r="S187" s="9" t="s">
        <v>92</v>
      </c>
      <c r="T187" s="9" t="s">
        <v>53</v>
      </c>
      <c r="U187" s="9" t="s">
        <v>54</v>
      </c>
      <c r="V187" s="9" t="s">
        <v>61</v>
      </c>
      <c r="W187" s="9"/>
      <c r="X187" s="9"/>
      <c r="Y187" s="13">
        <v>52.93</v>
      </c>
      <c r="Z187" s="13">
        <v>1</v>
      </c>
      <c r="AA187" s="9"/>
      <c r="AB187" s="9"/>
      <c r="AC187" s="9"/>
      <c r="AD187" s="9"/>
      <c r="AE187" s="9"/>
      <c r="AF187" s="9"/>
      <c r="AG187" s="9"/>
      <c r="AH187" s="9"/>
      <c r="AI187" s="9">
        <v>5</v>
      </c>
      <c r="AJ187" s="9">
        <v>54</v>
      </c>
      <c r="AK187" s="14">
        <f t="shared" si="0"/>
        <v>9.2592592592592587E-2</v>
      </c>
      <c r="AL187" s="9"/>
      <c r="AM187" s="9"/>
      <c r="AN187" s="9"/>
      <c r="AO187" s="6"/>
      <c r="AP187" s="9"/>
      <c r="AQ187" s="9"/>
      <c r="AR187" s="9"/>
      <c r="AS187" s="9"/>
      <c r="AT187" s="9"/>
      <c r="AU187" s="9"/>
      <c r="AV187" s="9"/>
      <c r="AW187" s="9"/>
      <c r="AX187" s="9"/>
      <c r="AY187" s="9"/>
      <c r="AZ187" s="9"/>
      <c r="BA187" s="9"/>
      <c r="BB187" s="9"/>
      <c r="BC187" s="9"/>
      <c r="BD187" s="9"/>
      <c r="BE187" s="9"/>
      <c r="BF187" s="9"/>
      <c r="BG187" s="9"/>
      <c r="BH187" s="9"/>
    </row>
    <row r="188" spans="1:60" ht="12.5" hidden="1">
      <c r="A188" s="6" t="s">
        <v>932</v>
      </c>
      <c r="B188" s="16">
        <v>45639</v>
      </c>
      <c r="C188" s="8">
        <v>45647</v>
      </c>
      <c r="D188" s="9" t="s">
        <v>41</v>
      </c>
      <c r="E188" s="9" t="s">
        <v>933</v>
      </c>
      <c r="F188" s="9"/>
      <c r="G188" s="9" t="s">
        <v>43</v>
      </c>
      <c r="H188" s="10">
        <v>10.69</v>
      </c>
      <c r="I188" s="9" t="s">
        <v>44</v>
      </c>
      <c r="J188" s="9" t="s">
        <v>45</v>
      </c>
      <c r="K188" s="9" t="s">
        <v>934</v>
      </c>
      <c r="L188" s="11" t="s">
        <v>47</v>
      </c>
      <c r="M188" s="9" t="s">
        <v>48</v>
      </c>
      <c r="N188" s="9" t="s">
        <v>48</v>
      </c>
      <c r="O188" s="12" t="s">
        <v>79</v>
      </c>
      <c r="P188" s="6" t="s">
        <v>80</v>
      </c>
      <c r="Q188" s="9" t="s">
        <v>81</v>
      </c>
      <c r="R188" s="13">
        <v>1</v>
      </c>
      <c r="S188" s="9" t="s">
        <v>184</v>
      </c>
      <c r="T188" s="9" t="s">
        <v>53</v>
      </c>
      <c r="U188" s="9" t="s">
        <v>54</v>
      </c>
      <c r="V188" s="9" t="s">
        <v>55</v>
      </c>
      <c r="W188" s="9"/>
      <c r="X188" s="9"/>
      <c r="Y188" s="13">
        <v>51.8</v>
      </c>
      <c r="Z188" s="13">
        <v>1</v>
      </c>
      <c r="AA188" s="9"/>
      <c r="AB188" s="9"/>
      <c r="AC188" s="9"/>
      <c r="AD188" s="9"/>
      <c r="AE188" s="9"/>
      <c r="AF188" s="13">
        <v>51.8</v>
      </c>
      <c r="AG188" s="9"/>
      <c r="AH188" s="9"/>
      <c r="AI188" s="9"/>
      <c r="AJ188" s="9"/>
      <c r="AK188" s="14" t="e">
        <f t="shared" si="0"/>
        <v>#DIV/0!</v>
      </c>
      <c r="AL188" s="9"/>
      <c r="AM188" s="9"/>
      <c r="AN188" s="9"/>
      <c r="AO188" s="6"/>
      <c r="AP188" s="9"/>
      <c r="AQ188" s="9"/>
      <c r="AR188" s="9"/>
      <c r="AS188" s="9"/>
      <c r="AT188" s="9"/>
      <c r="AU188" s="9"/>
      <c r="AV188" s="9"/>
      <c r="AW188" s="9"/>
      <c r="AX188" s="9"/>
      <c r="AY188" s="9"/>
      <c r="AZ188" s="9"/>
      <c r="BA188" s="9"/>
      <c r="BB188" s="9"/>
      <c r="BC188" s="9"/>
      <c r="BD188" s="9"/>
      <c r="BE188" s="9"/>
      <c r="BF188" s="9"/>
      <c r="BG188" s="9"/>
      <c r="BH188" s="9"/>
    </row>
    <row r="189" spans="1:60" ht="12.5" hidden="1">
      <c r="A189" s="6" t="s">
        <v>935</v>
      </c>
      <c r="B189" s="16">
        <v>45634</v>
      </c>
      <c r="C189" s="8">
        <v>45641</v>
      </c>
      <c r="D189" s="9" t="s">
        <v>41</v>
      </c>
      <c r="E189" s="9" t="s">
        <v>936</v>
      </c>
      <c r="F189" s="9"/>
      <c r="G189" s="9" t="s">
        <v>43</v>
      </c>
      <c r="H189" s="10">
        <v>10.69</v>
      </c>
      <c r="I189" s="9" t="s">
        <v>44</v>
      </c>
      <c r="J189" s="9" t="s">
        <v>45</v>
      </c>
      <c r="K189" s="9" t="s">
        <v>937</v>
      </c>
      <c r="L189" s="11" t="s">
        <v>58</v>
      </c>
      <c r="M189" s="9" t="s">
        <v>48</v>
      </c>
      <c r="N189" s="9" t="s">
        <v>48</v>
      </c>
      <c r="O189" s="12" t="s">
        <v>79</v>
      </c>
      <c r="P189" s="6" t="s">
        <v>80</v>
      </c>
      <c r="Q189" s="9" t="s">
        <v>81</v>
      </c>
      <c r="R189" s="13">
        <v>1</v>
      </c>
      <c r="S189" s="9" t="s">
        <v>75</v>
      </c>
      <c r="T189" s="9" t="s">
        <v>53</v>
      </c>
      <c r="U189" s="9" t="s">
        <v>54</v>
      </c>
      <c r="V189" s="9" t="s">
        <v>55</v>
      </c>
      <c r="W189" s="9"/>
      <c r="X189" s="9"/>
      <c r="Y189" s="13">
        <v>54.05</v>
      </c>
      <c r="Z189" s="13">
        <v>1</v>
      </c>
      <c r="AA189" s="9"/>
      <c r="AB189" s="9"/>
      <c r="AC189" s="9"/>
      <c r="AD189" s="9"/>
      <c r="AE189" s="9"/>
      <c r="AF189" s="13">
        <v>43.36</v>
      </c>
      <c r="AG189" s="9"/>
      <c r="AH189" s="9"/>
      <c r="AI189" s="9"/>
      <c r="AJ189" s="9"/>
      <c r="AK189" s="14" t="e">
        <f t="shared" si="0"/>
        <v>#DIV/0!</v>
      </c>
      <c r="AL189" s="9"/>
      <c r="AM189" s="9"/>
      <c r="AN189" s="9"/>
      <c r="AO189" s="6"/>
      <c r="AP189" s="9"/>
      <c r="AQ189" s="9"/>
      <c r="AR189" s="9"/>
      <c r="AS189" s="9"/>
      <c r="AT189" s="9"/>
      <c r="AU189" s="9"/>
      <c r="AV189" s="9"/>
      <c r="AW189" s="9"/>
      <c r="AX189" s="9"/>
      <c r="AY189" s="9"/>
      <c r="AZ189" s="9"/>
      <c r="BA189" s="9"/>
      <c r="BB189" s="9"/>
      <c r="BC189" s="9"/>
      <c r="BD189" s="9"/>
      <c r="BE189" s="9"/>
      <c r="BF189" s="9"/>
      <c r="BG189" s="9"/>
      <c r="BH189" s="9"/>
    </row>
    <row r="190" spans="1:60" ht="12.5" hidden="1">
      <c r="A190" s="6" t="s">
        <v>938</v>
      </c>
      <c r="B190" s="16">
        <v>45635</v>
      </c>
      <c r="C190" s="8">
        <v>45637</v>
      </c>
      <c r="D190" s="9" t="s">
        <v>41</v>
      </c>
      <c r="E190" s="9" t="s">
        <v>939</v>
      </c>
      <c r="F190" s="9"/>
      <c r="G190" s="9" t="s">
        <v>43</v>
      </c>
      <c r="H190" s="10">
        <v>10.69</v>
      </c>
      <c r="I190" s="9" t="s">
        <v>44</v>
      </c>
      <c r="J190" s="9" t="s">
        <v>45</v>
      </c>
      <c r="K190" s="9" t="s">
        <v>940</v>
      </c>
      <c r="L190" s="11" t="s">
        <v>58</v>
      </c>
      <c r="M190" s="9" t="s">
        <v>48</v>
      </c>
      <c r="N190" s="9" t="s">
        <v>48</v>
      </c>
      <c r="O190" s="12" t="s">
        <v>79</v>
      </c>
      <c r="P190" s="6" t="s">
        <v>80</v>
      </c>
      <c r="Q190" s="9" t="s">
        <v>81</v>
      </c>
      <c r="R190" s="13">
        <v>1</v>
      </c>
      <c r="S190" s="9" t="s">
        <v>68</v>
      </c>
      <c r="T190" s="9" t="s">
        <v>53</v>
      </c>
      <c r="U190" s="9" t="s">
        <v>54</v>
      </c>
      <c r="V190" s="9" t="s">
        <v>55</v>
      </c>
      <c r="W190" s="9"/>
      <c r="X190" s="9"/>
      <c r="Y190" s="13">
        <v>54.68</v>
      </c>
      <c r="Z190" s="13">
        <v>1</v>
      </c>
      <c r="AA190" s="9"/>
      <c r="AB190" s="9"/>
      <c r="AC190" s="9"/>
      <c r="AD190" s="9"/>
      <c r="AE190" s="9"/>
      <c r="AF190" s="13">
        <v>43.99</v>
      </c>
      <c r="AG190" s="9"/>
      <c r="AH190" s="9"/>
      <c r="AI190" s="9"/>
      <c r="AJ190" s="9"/>
      <c r="AK190" s="14" t="e">
        <f t="shared" si="0"/>
        <v>#DIV/0!</v>
      </c>
      <c r="AL190" s="9"/>
      <c r="AM190" s="9"/>
      <c r="AN190" s="9"/>
      <c r="AO190" s="6"/>
      <c r="AP190" s="9"/>
      <c r="AQ190" s="9"/>
      <c r="AR190" s="9"/>
      <c r="AS190" s="9"/>
      <c r="AT190" s="9"/>
      <c r="AU190" s="9"/>
      <c r="AV190" s="9"/>
      <c r="AW190" s="9"/>
      <c r="AX190" s="9"/>
      <c r="AY190" s="9"/>
      <c r="AZ190" s="9"/>
      <c r="BA190" s="9"/>
      <c r="BB190" s="9"/>
      <c r="BC190" s="9"/>
      <c r="BD190" s="9"/>
      <c r="BE190" s="9"/>
      <c r="BF190" s="9"/>
      <c r="BG190" s="9"/>
      <c r="BH190" s="9"/>
    </row>
    <row r="191" spans="1:60" ht="12.5" hidden="1">
      <c r="A191" s="6" t="s">
        <v>941</v>
      </c>
      <c r="B191" s="16">
        <v>45624</v>
      </c>
      <c r="C191" s="8">
        <v>45634</v>
      </c>
      <c r="D191" s="9" t="s">
        <v>41</v>
      </c>
      <c r="E191" s="9" t="s">
        <v>942</v>
      </c>
      <c r="F191" s="9"/>
      <c r="G191" s="9" t="s">
        <v>43</v>
      </c>
      <c r="H191" s="10">
        <v>10.69</v>
      </c>
      <c r="I191" s="9" t="s">
        <v>44</v>
      </c>
      <c r="J191" s="9" t="s">
        <v>45</v>
      </c>
      <c r="K191" s="9" t="s">
        <v>943</v>
      </c>
      <c r="L191" s="11" t="s">
        <v>47</v>
      </c>
      <c r="M191" s="9" t="s">
        <v>48</v>
      </c>
      <c r="N191" s="9" t="s">
        <v>48</v>
      </c>
      <c r="O191" s="12" t="s">
        <v>79</v>
      </c>
      <c r="P191" s="6" t="s">
        <v>80</v>
      </c>
      <c r="Q191" s="9" t="s">
        <v>81</v>
      </c>
      <c r="R191" s="13">
        <v>1</v>
      </c>
      <c r="S191" s="9" t="s">
        <v>99</v>
      </c>
      <c r="T191" s="9" t="s">
        <v>53</v>
      </c>
      <c r="U191" s="9" t="s">
        <v>54</v>
      </c>
      <c r="V191" s="9" t="s">
        <v>61</v>
      </c>
      <c r="W191" s="9"/>
      <c r="X191" s="9"/>
      <c r="Y191" s="13">
        <v>54.19</v>
      </c>
      <c r="Z191" s="13">
        <v>1</v>
      </c>
      <c r="AA191" s="9"/>
      <c r="AB191" s="9"/>
      <c r="AC191" s="9"/>
      <c r="AD191" s="9"/>
      <c r="AE191" s="9"/>
      <c r="AF191" s="9"/>
      <c r="AG191" s="9"/>
      <c r="AH191" s="9"/>
      <c r="AI191" s="9"/>
      <c r="AJ191" s="9"/>
      <c r="AK191" s="14" t="e">
        <f t="shared" si="0"/>
        <v>#DIV/0!</v>
      </c>
      <c r="AL191" s="9"/>
      <c r="AM191" s="9"/>
      <c r="AN191" s="9"/>
      <c r="AO191" s="6"/>
      <c r="AP191" s="9"/>
      <c r="AQ191" s="9"/>
      <c r="AR191" s="9"/>
      <c r="AS191" s="9"/>
      <c r="AT191" s="9"/>
      <c r="AU191" s="9"/>
      <c r="AV191" s="9"/>
      <c r="AW191" s="9"/>
      <c r="AX191" s="9"/>
      <c r="AY191" s="9"/>
      <c r="AZ191" s="9"/>
      <c r="BA191" s="9"/>
      <c r="BB191" s="9"/>
      <c r="BC191" s="9"/>
      <c r="BD191" s="9"/>
      <c r="BE191" s="9"/>
      <c r="BF191" s="9"/>
      <c r="BG191" s="9"/>
      <c r="BH191" s="9"/>
    </row>
    <row r="192" spans="1:60" ht="12.5" hidden="1">
      <c r="A192" s="6" t="s">
        <v>944</v>
      </c>
      <c r="B192" s="16">
        <v>45645</v>
      </c>
      <c r="C192" s="8">
        <v>45649</v>
      </c>
      <c r="D192" s="9" t="s">
        <v>41</v>
      </c>
      <c r="E192" s="9" t="s">
        <v>945</v>
      </c>
      <c r="F192" s="9"/>
      <c r="G192" s="9" t="s">
        <v>43</v>
      </c>
      <c r="H192" s="10">
        <v>10.69</v>
      </c>
      <c r="I192" s="9" t="s">
        <v>44</v>
      </c>
      <c r="J192" s="9" t="s">
        <v>45</v>
      </c>
      <c r="K192" s="9" t="s">
        <v>946</v>
      </c>
      <c r="L192" s="11" t="s">
        <v>47</v>
      </c>
      <c r="M192" s="9" t="s">
        <v>48</v>
      </c>
      <c r="N192" s="9" t="s">
        <v>48</v>
      </c>
      <c r="O192" s="12" t="s">
        <v>947</v>
      </c>
      <c r="P192" s="6" t="s">
        <v>948</v>
      </c>
      <c r="Q192" s="9" t="s">
        <v>949</v>
      </c>
      <c r="R192" s="13">
        <v>1</v>
      </c>
      <c r="S192" s="9" t="s">
        <v>99</v>
      </c>
      <c r="T192" s="9" t="s">
        <v>53</v>
      </c>
      <c r="U192" s="9" t="s">
        <v>54</v>
      </c>
      <c r="V192" s="9" t="s">
        <v>61</v>
      </c>
      <c r="W192" s="9"/>
      <c r="X192" s="9"/>
      <c r="Y192" s="13">
        <v>67.040000000000006</v>
      </c>
      <c r="Z192" s="13">
        <v>1</v>
      </c>
      <c r="AA192" s="9"/>
      <c r="AB192" s="9"/>
      <c r="AC192" s="9"/>
      <c r="AD192" s="9"/>
      <c r="AE192" s="9"/>
      <c r="AF192" s="9"/>
      <c r="AG192" s="9"/>
      <c r="AH192" s="9"/>
      <c r="AI192" s="9">
        <v>1</v>
      </c>
      <c r="AJ192" s="9">
        <v>5</v>
      </c>
      <c r="AK192" s="14">
        <f t="shared" si="0"/>
        <v>0.2</v>
      </c>
      <c r="AL192" s="9"/>
      <c r="AM192" s="9"/>
      <c r="AN192" s="9"/>
      <c r="AO192" s="6"/>
      <c r="AP192" s="9"/>
      <c r="AQ192" s="9"/>
      <c r="AR192" s="9"/>
      <c r="AS192" s="9"/>
      <c r="AT192" s="9"/>
      <c r="AU192" s="9"/>
      <c r="AV192" s="9"/>
      <c r="AW192" s="9"/>
      <c r="AX192" s="9"/>
      <c r="AY192" s="9"/>
      <c r="AZ192" s="9"/>
      <c r="BA192" s="9"/>
      <c r="BB192" s="9"/>
      <c r="BC192" s="9"/>
      <c r="BD192" s="9"/>
      <c r="BE192" s="9"/>
      <c r="BF192" s="9"/>
      <c r="BG192" s="9"/>
      <c r="BH192" s="9"/>
    </row>
    <row r="193" spans="1:60" ht="12.5" hidden="1">
      <c r="A193" s="6" t="s">
        <v>950</v>
      </c>
      <c r="B193" s="16">
        <v>45624</v>
      </c>
      <c r="C193" s="8">
        <v>45657</v>
      </c>
      <c r="D193" s="9" t="s">
        <v>41</v>
      </c>
      <c r="E193" s="9" t="s">
        <v>951</v>
      </c>
      <c r="F193" s="9"/>
      <c r="G193" s="9" t="s">
        <v>43</v>
      </c>
      <c r="H193" s="10">
        <v>12.1</v>
      </c>
      <c r="I193" s="9" t="s">
        <v>44</v>
      </c>
      <c r="J193" s="9" t="s">
        <v>45</v>
      </c>
      <c r="K193" s="9" t="s">
        <v>952</v>
      </c>
      <c r="L193" s="11" t="s">
        <v>47</v>
      </c>
      <c r="M193" s="9" t="s">
        <v>48</v>
      </c>
      <c r="N193" s="9" t="s">
        <v>48</v>
      </c>
      <c r="O193" s="12" t="s">
        <v>96</v>
      </c>
      <c r="P193" s="6" t="s">
        <v>97</v>
      </c>
      <c r="Q193" s="9" t="s">
        <v>98</v>
      </c>
      <c r="R193" s="13">
        <v>1</v>
      </c>
      <c r="S193" s="9" t="s">
        <v>82</v>
      </c>
      <c r="T193" s="9" t="s">
        <v>53</v>
      </c>
      <c r="U193" s="9" t="s">
        <v>54</v>
      </c>
      <c r="V193" s="9" t="s">
        <v>560</v>
      </c>
      <c r="W193" s="9"/>
      <c r="X193" s="9"/>
      <c r="Y193" s="13">
        <v>75.95</v>
      </c>
      <c r="Z193" s="13">
        <v>1</v>
      </c>
      <c r="AA193" s="9"/>
      <c r="AB193" s="9"/>
      <c r="AC193" s="9"/>
      <c r="AD193" s="9"/>
      <c r="AE193" s="9"/>
      <c r="AF193" s="9"/>
      <c r="AG193" s="9"/>
      <c r="AH193" s="9"/>
      <c r="AI193" s="9">
        <v>2</v>
      </c>
      <c r="AJ193" s="9">
        <v>53</v>
      </c>
      <c r="AK193" s="14">
        <f t="shared" si="0"/>
        <v>3.7735849056603772E-2</v>
      </c>
      <c r="AL193" s="9"/>
      <c r="AM193" s="9"/>
      <c r="AN193" s="9" t="s">
        <v>953</v>
      </c>
      <c r="AO193" s="6"/>
      <c r="AP193" s="9"/>
      <c r="AQ193" s="9"/>
      <c r="AR193" s="9"/>
      <c r="AS193" s="9"/>
      <c r="AT193" s="9"/>
      <c r="AU193" s="9"/>
      <c r="AV193" s="9"/>
      <c r="AW193" s="9"/>
      <c r="AX193" s="9"/>
      <c r="AY193" s="9"/>
      <c r="AZ193" s="9"/>
      <c r="BA193" s="9"/>
      <c r="BB193" s="9"/>
      <c r="BC193" s="9"/>
      <c r="BD193" s="9"/>
      <c r="BE193" s="9"/>
      <c r="BF193" s="9"/>
      <c r="BG193" s="9"/>
      <c r="BH193" s="9"/>
    </row>
    <row r="194" spans="1:60" ht="12.5" hidden="1">
      <c r="A194" s="6" t="s">
        <v>954</v>
      </c>
      <c r="B194" s="16">
        <v>45636</v>
      </c>
      <c r="C194" s="8">
        <v>45639</v>
      </c>
      <c r="D194" s="9" t="s">
        <v>41</v>
      </c>
      <c r="E194" s="9" t="s">
        <v>955</v>
      </c>
      <c r="F194" s="9"/>
      <c r="G194" s="9" t="s">
        <v>43</v>
      </c>
      <c r="H194" s="10">
        <v>11.74</v>
      </c>
      <c r="I194" s="9" t="s">
        <v>44</v>
      </c>
      <c r="J194" s="9" t="s">
        <v>45</v>
      </c>
      <c r="K194" s="9" t="s">
        <v>956</v>
      </c>
      <c r="L194" s="11" t="s">
        <v>58</v>
      </c>
      <c r="M194" s="9" t="s">
        <v>48</v>
      </c>
      <c r="N194" s="9" t="s">
        <v>48</v>
      </c>
      <c r="O194" s="12" t="s">
        <v>96</v>
      </c>
      <c r="P194" s="6" t="s">
        <v>97</v>
      </c>
      <c r="Q194" s="9" t="s">
        <v>98</v>
      </c>
      <c r="R194" s="13">
        <v>1</v>
      </c>
      <c r="S194" s="9" t="s">
        <v>75</v>
      </c>
      <c r="T194" s="9" t="s">
        <v>53</v>
      </c>
      <c r="U194" s="9" t="s">
        <v>54</v>
      </c>
      <c r="V194" s="9" t="s">
        <v>55</v>
      </c>
      <c r="W194" s="9"/>
      <c r="X194" s="9"/>
      <c r="Y194" s="13">
        <v>81.84</v>
      </c>
      <c r="Z194" s="13">
        <v>1</v>
      </c>
      <c r="AA194" s="9"/>
      <c r="AB194" s="9"/>
      <c r="AC194" s="9"/>
      <c r="AD194" s="9"/>
      <c r="AE194" s="9"/>
      <c r="AF194" s="13">
        <v>70.099999999999994</v>
      </c>
      <c r="AG194" s="9"/>
      <c r="AH194" s="9"/>
      <c r="AI194" s="9"/>
      <c r="AJ194" s="9"/>
      <c r="AK194" s="14" t="e">
        <f t="shared" si="0"/>
        <v>#DIV/0!</v>
      </c>
      <c r="AL194" s="9"/>
      <c r="AM194" s="9"/>
      <c r="AN194" s="9"/>
      <c r="AO194" s="6"/>
      <c r="AP194" s="9"/>
      <c r="AQ194" s="9"/>
      <c r="AR194" s="9"/>
      <c r="AS194" s="9"/>
      <c r="AT194" s="9"/>
      <c r="AU194" s="9"/>
      <c r="AV194" s="9"/>
      <c r="AW194" s="9"/>
      <c r="AX194" s="9"/>
      <c r="AY194" s="9"/>
      <c r="AZ194" s="9"/>
      <c r="BA194" s="9"/>
      <c r="BB194" s="9"/>
      <c r="BC194" s="9"/>
      <c r="BD194" s="9"/>
      <c r="BE194" s="9"/>
      <c r="BF194" s="9"/>
      <c r="BG194" s="9"/>
      <c r="BH194" s="9"/>
    </row>
    <row r="195" spans="1:60" ht="12.5" hidden="1">
      <c r="A195" s="6" t="s">
        <v>957</v>
      </c>
      <c r="B195" s="16">
        <v>45633</v>
      </c>
      <c r="C195" s="8">
        <v>45640</v>
      </c>
      <c r="D195" s="9" t="s">
        <v>41</v>
      </c>
      <c r="E195" s="9" t="s">
        <v>958</v>
      </c>
      <c r="F195" s="9"/>
      <c r="G195" s="9" t="s">
        <v>43</v>
      </c>
      <c r="H195" s="10">
        <v>9.99</v>
      </c>
      <c r="I195" s="9" t="s">
        <v>44</v>
      </c>
      <c r="J195" s="9" t="s">
        <v>45</v>
      </c>
      <c r="K195" s="9" t="s">
        <v>959</v>
      </c>
      <c r="L195" s="11" t="s">
        <v>47</v>
      </c>
      <c r="M195" s="9" t="s">
        <v>48</v>
      </c>
      <c r="N195" s="9" t="s">
        <v>48</v>
      </c>
      <c r="O195" s="12" t="s">
        <v>960</v>
      </c>
      <c r="P195" s="6" t="s">
        <v>961</v>
      </c>
      <c r="Q195" s="9" t="s">
        <v>962</v>
      </c>
      <c r="R195" s="13">
        <v>1</v>
      </c>
      <c r="S195" s="9" t="s">
        <v>82</v>
      </c>
      <c r="T195" s="9" t="s">
        <v>53</v>
      </c>
      <c r="U195" s="9" t="s">
        <v>54</v>
      </c>
      <c r="V195" s="9" t="s">
        <v>560</v>
      </c>
      <c r="W195" s="9"/>
      <c r="X195" s="9"/>
      <c r="Y195" s="13">
        <v>74.63</v>
      </c>
      <c r="Z195" s="13">
        <v>1</v>
      </c>
      <c r="AA195" s="9"/>
      <c r="AB195" s="9"/>
      <c r="AC195" s="9"/>
      <c r="AD195" s="9"/>
      <c r="AE195" s="9"/>
      <c r="AF195" s="9"/>
      <c r="AG195" s="9"/>
      <c r="AH195" s="9"/>
      <c r="AI195" s="9">
        <v>1</v>
      </c>
      <c r="AJ195" s="9">
        <v>5</v>
      </c>
      <c r="AK195" s="14">
        <f t="shared" si="0"/>
        <v>0.2</v>
      </c>
      <c r="AL195" s="9"/>
      <c r="AM195" s="9"/>
      <c r="AN195" s="9" t="s">
        <v>953</v>
      </c>
      <c r="AO195" s="6"/>
      <c r="AP195" s="9"/>
      <c r="AQ195" s="9"/>
      <c r="AR195" s="9"/>
      <c r="AS195" s="9"/>
      <c r="AT195" s="9"/>
      <c r="AU195" s="9"/>
      <c r="AV195" s="9"/>
      <c r="AW195" s="9"/>
      <c r="AX195" s="9"/>
      <c r="AY195" s="9"/>
      <c r="AZ195" s="9"/>
      <c r="BA195" s="9"/>
      <c r="BB195" s="9"/>
      <c r="BC195" s="9"/>
      <c r="BD195" s="9"/>
      <c r="BE195" s="9"/>
      <c r="BF195" s="9"/>
      <c r="BG195" s="9"/>
      <c r="BH195" s="9"/>
    </row>
    <row r="196" spans="1:60" ht="12.5" hidden="1">
      <c r="A196" s="6" t="s">
        <v>963</v>
      </c>
      <c r="B196" s="16">
        <v>45623</v>
      </c>
      <c r="C196" s="8">
        <v>45634</v>
      </c>
      <c r="D196" s="9" t="s">
        <v>41</v>
      </c>
      <c r="E196" s="9" t="s">
        <v>964</v>
      </c>
      <c r="F196" s="9"/>
      <c r="G196" s="9" t="s">
        <v>43</v>
      </c>
      <c r="H196" s="10">
        <v>12.63</v>
      </c>
      <c r="I196" s="9" t="s">
        <v>44</v>
      </c>
      <c r="J196" s="9" t="s">
        <v>45</v>
      </c>
      <c r="K196" s="9" t="s">
        <v>965</v>
      </c>
      <c r="L196" s="11" t="s">
        <v>58</v>
      </c>
      <c r="M196" s="9" t="s">
        <v>48</v>
      </c>
      <c r="N196" s="9" t="s">
        <v>48</v>
      </c>
      <c r="O196" s="12" t="s">
        <v>966</v>
      </c>
      <c r="P196" s="6" t="s">
        <v>967</v>
      </c>
      <c r="Q196" s="9" t="s">
        <v>968</v>
      </c>
      <c r="R196" s="13">
        <v>1</v>
      </c>
      <c r="S196" s="9" t="s">
        <v>75</v>
      </c>
      <c r="T196" s="9" t="s">
        <v>53</v>
      </c>
      <c r="U196" s="9" t="s">
        <v>54</v>
      </c>
      <c r="V196" s="9" t="s">
        <v>55</v>
      </c>
      <c r="W196" s="9"/>
      <c r="X196" s="9"/>
      <c r="Y196" s="13">
        <v>79.11</v>
      </c>
      <c r="Z196" s="13">
        <v>1</v>
      </c>
      <c r="AA196" s="9"/>
      <c r="AB196" s="9"/>
      <c r="AC196" s="9"/>
      <c r="AD196" s="9"/>
      <c r="AE196" s="9"/>
      <c r="AF196" s="13">
        <v>66.48</v>
      </c>
      <c r="AG196" s="9"/>
      <c r="AH196" s="9"/>
      <c r="AI196" s="9">
        <v>1</v>
      </c>
      <c r="AJ196" s="9">
        <v>11</v>
      </c>
      <c r="AK196" s="14">
        <f t="shared" si="0"/>
        <v>9.0909090909090912E-2</v>
      </c>
      <c r="AL196" s="9"/>
      <c r="AM196" s="9"/>
      <c r="AN196" s="9"/>
      <c r="AO196" s="6"/>
      <c r="AP196" s="9"/>
      <c r="AQ196" s="9"/>
      <c r="AR196" s="9"/>
      <c r="AS196" s="9"/>
      <c r="AT196" s="9"/>
      <c r="AU196" s="9"/>
      <c r="AV196" s="9"/>
      <c r="AW196" s="9"/>
      <c r="AX196" s="9"/>
      <c r="AY196" s="9"/>
      <c r="AZ196" s="9"/>
      <c r="BA196" s="9"/>
      <c r="BB196" s="9"/>
      <c r="BC196" s="9"/>
      <c r="BD196" s="9"/>
      <c r="BE196" s="9"/>
      <c r="BF196" s="9"/>
      <c r="BG196" s="9"/>
      <c r="BH196" s="9"/>
    </row>
    <row r="197" spans="1:60" ht="12.5" hidden="1">
      <c r="A197" s="6" t="s">
        <v>969</v>
      </c>
      <c r="B197" s="16">
        <v>45633</v>
      </c>
      <c r="C197" s="8">
        <v>45646</v>
      </c>
      <c r="D197" s="9" t="s">
        <v>41</v>
      </c>
      <c r="E197" s="9" t="s">
        <v>970</v>
      </c>
      <c r="F197" s="9"/>
      <c r="G197" s="9" t="s">
        <v>43</v>
      </c>
      <c r="H197" s="10">
        <v>7.04</v>
      </c>
      <c r="I197" s="9" t="s">
        <v>44</v>
      </c>
      <c r="J197" s="9" t="s">
        <v>45</v>
      </c>
      <c r="K197" s="9" t="s">
        <v>971</v>
      </c>
      <c r="L197" s="11" t="s">
        <v>58</v>
      </c>
      <c r="M197" s="9" t="s">
        <v>48</v>
      </c>
      <c r="N197" s="9" t="s">
        <v>48</v>
      </c>
      <c r="O197" s="12" t="s">
        <v>972</v>
      </c>
      <c r="P197" s="6" t="s">
        <v>973</v>
      </c>
      <c r="Q197" s="9" t="s">
        <v>974</v>
      </c>
      <c r="R197" s="13">
        <v>1</v>
      </c>
      <c r="S197" s="9" t="s">
        <v>75</v>
      </c>
      <c r="T197" s="9" t="s">
        <v>53</v>
      </c>
      <c r="U197" s="9" t="s">
        <v>54</v>
      </c>
      <c r="V197" s="9" t="s">
        <v>61</v>
      </c>
      <c r="W197" s="9"/>
      <c r="X197" s="9"/>
      <c r="Y197" s="13">
        <v>54.91</v>
      </c>
      <c r="Z197" s="13">
        <v>1</v>
      </c>
      <c r="AA197" s="9"/>
      <c r="AB197" s="9"/>
      <c r="AC197" s="9"/>
      <c r="AD197" s="9"/>
      <c r="AE197" s="9"/>
      <c r="AF197" s="9"/>
      <c r="AG197" s="9"/>
      <c r="AH197" s="9"/>
      <c r="AI197" s="9">
        <v>2</v>
      </c>
      <c r="AJ197" s="9">
        <v>32</v>
      </c>
      <c r="AK197" s="14">
        <f t="shared" si="0"/>
        <v>6.25E-2</v>
      </c>
      <c r="AL197" s="9"/>
      <c r="AM197" s="9"/>
      <c r="AN197" s="9"/>
      <c r="AO197" s="6"/>
      <c r="AP197" s="9"/>
      <c r="AQ197" s="9"/>
      <c r="AR197" s="9"/>
      <c r="AS197" s="9"/>
      <c r="AT197" s="9"/>
      <c r="AU197" s="9"/>
      <c r="AV197" s="9"/>
      <c r="AW197" s="9"/>
      <c r="AX197" s="9"/>
      <c r="AY197" s="9"/>
      <c r="AZ197" s="9"/>
      <c r="BA197" s="9"/>
      <c r="BB197" s="9"/>
      <c r="BC197" s="9"/>
      <c r="BD197" s="9"/>
      <c r="BE197" s="9"/>
      <c r="BF197" s="9"/>
      <c r="BG197" s="9"/>
      <c r="BH197" s="9"/>
    </row>
    <row r="198" spans="1:60" ht="12.5" hidden="1">
      <c r="A198" s="6" t="s">
        <v>975</v>
      </c>
      <c r="B198" s="16">
        <v>45609</v>
      </c>
      <c r="C198" s="8">
        <v>45637</v>
      </c>
      <c r="D198" s="9" t="s">
        <v>41</v>
      </c>
      <c r="E198" s="9" t="s">
        <v>976</v>
      </c>
      <c r="F198" s="9"/>
      <c r="G198" s="9" t="s">
        <v>43</v>
      </c>
      <c r="H198" s="10">
        <v>7.04</v>
      </c>
      <c r="I198" s="9" t="s">
        <v>44</v>
      </c>
      <c r="J198" s="9" t="s">
        <v>45</v>
      </c>
      <c r="K198" s="9" t="s">
        <v>977</v>
      </c>
      <c r="L198" s="11" t="s">
        <v>47</v>
      </c>
      <c r="M198" s="9" t="s">
        <v>48</v>
      </c>
      <c r="N198" s="9" t="s">
        <v>48</v>
      </c>
      <c r="O198" s="12" t="s">
        <v>972</v>
      </c>
      <c r="P198" s="6" t="s">
        <v>973</v>
      </c>
      <c r="Q198" s="9" t="s">
        <v>974</v>
      </c>
      <c r="R198" s="13">
        <v>1</v>
      </c>
      <c r="S198" s="9" t="s">
        <v>92</v>
      </c>
      <c r="T198" s="9" t="s">
        <v>53</v>
      </c>
      <c r="U198" s="9" t="s">
        <v>54</v>
      </c>
      <c r="V198" s="9" t="s">
        <v>240</v>
      </c>
      <c r="W198" s="9"/>
      <c r="X198" s="9"/>
      <c r="Y198" s="13">
        <v>56.9</v>
      </c>
      <c r="Z198" s="13">
        <v>1</v>
      </c>
      <c r="AA198" s="9" t="s">
        <v>978</v>
      </c>
      <c r="AB198" s="9" t="s">
        <v>979</v>
      </c>
      <c r="AC198" s="9" t="s">
        <v>980</v>
      </c>
      <c r="AD198" s="16">
        <v>45656</v>
      </c>
      <c r="AE198" s="9"/>
      <c r="AF198" s="13">
        <v>56.9</v>
      </c>
      <c r="AG198" s="9"/>
      <c r="AH198" s="9"/>
      <c r="AI198" s="9"/>
      <c r="AJ198" s="9"/>
      <c r="AK198" s="14" t="e">
        <f t="shared" si="0"/>
        <v>#DIV/0!</v>
      </c>
      <c r="AL198" s="9"/>
      <c r="AM198" s="9"/>
      <c r="AN198" s="9"/>
      <c r="AO198" s="6"/>
      <c r="AP198" s="9"/>
      <c r="AQ198" s="9"/>
      <c r="AR198" s="9"/>
      <c r="AS198" s="9"/>
      <c r="AT198" s="9"/>
      <c r="AU198" s="9"/>
      <c r="AV198" s="9"/>
      <c r="AW198" s="9"/>
      <c r="AX198" s="9"/>
      <c r="AY198" s="9"/>
      <c r="AZ198" s="9"/>
      <c r="BA198" s="9"/>
      <c r="BB198" s="9"/>
      <c r="BC198" s="9"/>
      <c r="BD198" s="9"/>
      <c r="BE198" s="9"/>
      <c r="BF198" s="9"/>
      <c r="BG198" s="9"/>
      <c r="BH198" s="9"/>
    </row>
    <row r="199" spans="1:60" ht="12.5" hidden="1">
      <c r="A199" s="6" t="s">
        <v>981</v>
      </c>
      <c r="B199" s="16">
        <v>45631</v>
      </c>
      <c r="C199" s="8">
        <v>45646</v>
      </c>
      <c r="D199" s="9" t="s">
        <v>41</v>
      </c>
      <c r="E199" s="9" t="s">
        <v>982</v>
      </c>
      <c r="F199" s="9"/>
      <c r="G199" s="9" t="s">
        <v>43</v>
      </c>
      <c r="H199" s="10">
        <v>6.04</v>
      </c>
      <c r="I199" s="9" t="s">
        <v>44</v>
      </c>
      <c r="J199" s="9" t="s">
        <v>45</v>
      </c>
      <c r="K199" s="9" t="s">
        <v>983</v>
      </c>
      <c r="L199" s="11" t="s">
        <v>47</v>
      </c>
      <c r="M199" s="9" t="s">
        <v>48</v>
      </c>
      <c r="N199" s="9" t="s">
        <v>48</v>
      </c>
      <c r="O199" s="12" t="s">
        <v>103</v>
      </c>
      <c r="P199" s="6" t="s">
        <v>104</v>
      </c>
      <c r="Q199" s="9" t="s">
        <v>105</v>
      </c>
      <c r="R199" s="13">
        <v>1</v>
      </c>
      <c r="S199" s="9" t="s">
        <v>82</v>
      </c>
      <c r="T199" s="9" t="s">
        <v>53</v>
      </c>
      <c r="U199" s="9" t="s">
        <v>54</v>
      </c>
      <c r="V199" s="9" t="s">
        <v>61</v>
      </c>
      <c r="W199" s="9"/>
      <c r="X199" s="9"/>
      <c r="Y199" s="13">
        <v>100.27</v>
      </c>
      <c r="Z199" s="13">
        <v>1</v>
      </c>
      <c r="AA199" s="9"/>
      <c r="AB199" s="9"/>
      <c r="AC199" s="9"/>
      <c r="AD199" s="9"/>
      <c r="AE199" s="9"/>
      <c r="AF199" s="9"/>
      <c r="AG199" s="9"/>
      <c r="AH199" s="9"/>
      <c r="AI199" s="9">
        <v>1</v>
      </c>
      <c r="AJ199" s="9">
        <v>9</v>
      </c>
      <c r="AK199" s="14">
        <f t="shared" si="0"/>
        <v>0.1111111111111111</v>
      </c>
      <c r="AL199" s="9"/>
      <c r="AM199" s="9"/>
      <c r="AN199" s="9"/>
      <c r="AO199" s="6"/>
      <c r="AP199" s="9"/>
      <c r="AQ199" s="9"/>
      <c r="AR199" s="9"/>
      <c r="AS199" s="9"/>
      <c r="AT199" s="9"/>
      <c r="AU199" s="9"/>
      <c r="AV199" s="9"/>
      <c r="AW199" s="9"/>
      <c r="AX199" s="9"/>
      <c r="AY199" s="9"/>
      <c r="AZ199" s="9"/>
      <c r="BA199" s="9"/>
      <c r="BB199" s="9"/>
      <c r="BC199" s="9"/>
      <c r="BD199" s="9"/>
      <c r="BE199" s="9"/>
      <c r="BF199" s="9"/>
      <c r="BG199" s="9"/>
      <c r="BH199" s="9"/>
    </row>
    <row r="200" spans="1:60" ht="12.5" hidden="1">
      <c r="A200" s="6" t="s">
        <v>984</v>
      </c>
      <c r="B200" s="16">
        <v>45621</v>
      </c>
      <c r="C200" s="8">
        <v>45635</v>
      </c>
      <c r="D200" s="9" t="s">
        <v>41</v>
      </c>
      <c r="E200" s="9" t="s">
        <v>985</v>
      </c>
      <c r="F200" s="9"/>
      <c r="G200" s="9" t="s">
        <v>43</v>
      </c>
      <c r="H200" s="10">
        <v>7.6</v>
      </c>
      <c r="I200" s="9" t="s">
        <v>44</v>
      </c>
      <c r="J200" s="9" t="s">
        <v>45</v>
      </c>
      <c r="K200" s="9" t="s">
        <v>986</v>
      </c>
      <c r="L200" s="11" t="s">
        <v>58</v>
      </c>
      <c r="M200" s="9" t="s">
        <v>48</v>
      </c>
      <c r="N200" s="9" t="s">
        <v>48</v>
      </c>
      <c r="O200" s="12" t="s">
        <v>987</v>
      </c>
      <c r="P200" s="6" t="s">
        <v>988</v>
      </c>
      <c r="Q200" s="9" t="s">
        <v>989</v>
      </c>
      <c r="R200" s="13">
        <v>1</v>
      </c>
      <c r="S200" s="9" t="s">
        <v>75</v>
      </c>
      <c r="T200" s="9" t="s">
        <v>53</v>
      </c>
      <c r="U200" s="9" t="s">
        <v>54</v>
      </c>
      <c r="V200" s="9" t="s">
        <v>55</v>
      </c>
      <c r="W200" s="9"/>
      <c r="X200" s="9"/>
      <c r="Y200" s="13">
        <v>54.72</v>
      </c>
      <c r="Z200" s="13">
        <v>1</v>
      </c>
      <c r="AA200" s="9"/>
      <c r="AB200" s="9"/>
      <c r="AC200" s="9"/>
      <c r="AD200" s="9"/>
      <c r="AE200" s="9"/>
      <c r="AF200" s="13">
        <v>47.12</v>
      </c>
      <c r="AG200" s="9"/>
      <c r="AH200" s="9"/>
      <c r="AI200" s="9">
        <v>3</v>
      </c>
      <c r="AJ200" s="9">
        <v>3</v>
      </c>
      <c r="AK200" s="14">
        <f t="shared" si="0"/>
        <v>1</v>
      </c>
      <c r="AL200" s="9"/>
      <c r="AM200" s="9"/>
      <c r="AN200" s="9"/>
      <c r="AO200" s="6"/>
      <c r="AP200" s="9"/>
      <c r="AQ200" s="9"/>
      <c r="AR200" s="9"/>
      <c r="AS200" s="9"/>
      <c r="AT200" s="9"/>
      <c r="AU200" s="9"/>
      <c r="AV200" s="9"/>
      <c r="AW200" s="9"/>
      <c r="AX200" s="9"/>
      <c r="AY200" s="9"/>
      <c r="AZ200" s="9"/>
      <c r="BA200" s="9"/>
      <c r="BB200" s="9"/>
      <c r="BC200" s="9"/>
      <c r="BD200" s="9"/>
      <c r="BE200" s="9"/>
      <c r="BF200" s="9"/>
      <c r="BG200" s="9"/>
      <c r="BH200" s="9"/>
    </row>
    <row r="201" spans="1:60" ht="12.5" hidden="1">
      <c r="A201" s="6" t="s">
        <v>984</v>
      </c>
      <c r="B201" s="16">
        <v>45621</v>
      </c>
      <c r="C201" s="8">
        <v>45629</v>
      </c>
      <c r="D201" s="9" t="s">
        <v>41</v>
      </c>
      <c r="E201" s="9" t="s">
        <v>990</v>
      </c>
      <c r="F201" s="9"/>
      <c r="G201" s="9" t="s">
        <v>43</v>
      </c>
      <c r="H201" s="10">
        <v>7.6</v>
      </c>
      <c r="I201" s="9" t="s">
        <v>44</v>
      </c>
      <c r="J201" s="9" t="s">
        <v>45</v>
      </c>
      <c r="K201" s="9" t="s">
        <v>991</v>
      </c>
      <c r="L201" s="11" t="s">
        <v>58</v>
      </c>
      <c r="M201" s="9" t="s">
        <v>48</v>
      </c>
      <c r="N201" s="9" t="s">
        <v>48</v>
      </c>
      <c r="O201" s="12" t="s">
        <v>987</v>
      </c>
      <c r="P201" s="6" t="s">
        <v>988</v>
      </c>
      <c r="Q201" s="9" t="s">
        <v>989</v>
      </c>
      <c r="R201" s="13">
        <v>1</v>
      </c>
      <c r="S201" s="9" t="s">
        <v>75</v>
      </c>
      <c r="T201" s="9" t="s">
        <v>53</v>
      </c>
      <c r="U201" s="9" t="s">
        <v>54</v>
      </c>
      <c r="V201" s="9" t="s">
        <v>61</v>
      </c>
      <c r="W201" s="9"/>
      <c r="X201" s="9"/>
      <c r="Y201" s="13">
        <v>54.72</v>
      </c>
      <c r="Z201" s="13">
        <v>1</v>
      </c>
      <c r="AA201" s="9"/>
      <c r="AB201" s="9"/>
      <c r="AC201" s="9"/>
      <c r="AD201" s="9"/>
      <c r="AE201" s="9"/>
      <c r="AF201" s="9"/>
      <c r="AG201" s="9"/>
      <c r="AH201" s="9"/>
      <c r="AI201" s="9"/>
      <c r="AJ201" s="9"/>
      <c r="AK201" s="14" t="e">
        <f t="shared" si="0"/>
        <v>#DIV/0!</v>
      </c>
      <c r="AL201" s="9"/>
      <c r="AM201" s="9"/>
      <c r="AN201" s="9"/>
      <c r="AO201" s="6"/>
      <c r="AP201" s="9"/>
      <c r="AQ201" s="9"/>
      <c r="AR201" s="9"/>
      <c r="AS201" s="9"/>
      <c r="AT201" s="9"/>
      <c r="AU201" s="9"/>
      <c r="AV201" s="9"/>
      <c r="AW201" s="9"/>
      <c r="AX201" s="9"/>
      <c r="AY201" s="9"/>
      <c r="AZ201" s="9"/>
      <c r="BA201" s="9"/>
      <c r="BB201" s="9"/>
      <c r="BC201" s="9"/>
      <c r="BD201" s="9"/>
      <c r="BE201" s="9"/>
      <c r="BF201" s="9"/>
      <c r="BG201" s="9"/>
      <c r="BH201" s="9"/>
    </row>
    <row r="202" spans="1:60" ht="12.5" hidden="1">
      <c r="A202" s="6" t="s">
        <v>984</v>
      </c>
      <c r="B202" s="16">
        <v>45621</v>
      </c>
      <c r="C202" s="8">
        <v>45629</v>
      </c>
      <c r="D202" s="9" t="s">
        <v>41</v>
      </c>
      <c r="E202" s="9" t="s">
        <v>992</v>
      </c>
      <c r="F202" s="9"/>
      <c r="G202" s="9" t="s">
        <v>43</v>
      </c>
      <c r="H202" s="10">
        <v>7.6</v>
      </c>
      <c r="I202" s="9" t="s">
        <v>44</v>
      </c>
      <c r="J202" s="9" t="s">
        <v>45</v>
      </c>
      <c r="K202" s="9" t="s">
        <v>993</v>
      </c>
      <c r="L202" s="11" t="s">
        <v>58</v>
      </c>
      <c r="M202" s="9" t="s">
        <v>48</v>
      </c>
      <c r="N202" s="9" t="s">
        <v>48</v>
      </c>
      <c r="O202" s="12" t="s">
        <v>987</v>
      </c>
      <c r="P202" s="6" t="s">
        <v>988</v>
      </c>
      <c r="Q202" s="9" t="s">
        <v>989</v>
      </c>
      <c r="R202" s="13">
        <v>1</v>
      </c>
      <c r="S202" s="9" t="s">
        <v>75</v>
      </c>
      <c r="T202" s="9" t="s">
        <v>53</v>
      </c>
      <c r="U202" s="9" t="s">
        <v>54</v>
      </c>
      <c r="V202" s="9" t="s">
        <v>61</v>
      </c>
      <c r="W202" s="9"/>
      <c r="X202" s="9"/>
      <c r="Y202" s="13">
        <v>54.72</v>
      </c>
      <c r="Z202" s="13">
        <v>1</v>
      </c>
      <c r="AA202" s="9"/>
      <c r="AB202" s="9"/>
      <c r="AC202" s="9"/>
      <c r="AD202" s="9"/>
      <c r="AE202" s="9"/>
      <c r="AF202" s="9"/>
      <c r="AG202" s="9"/>
      <c r="AH202" s="9"/>
      <c r="AI202" s="9"/>
      <c r="AJ202" s="9"/>
      <c r="AK202" s="14" t="e">
        <f t="shared" si="0"/>
        <v>#DIV/0!</v>
      </c>
      <c r="AL202" s="9"/>
      <c r="AM202" s="9"/>
      <c r="AN202" s="9"/>
      <c r="AO202" s="6"/>
      <c r="AP202" s="9"/>
      <c r="AQ202" s="9"/>
      <c r="AR202" s="9"/>
      <c r="AS202" s="9"/>
      <c r="AT202" s="9"/>
      <c r="AU202" s="9"/>
      <c r="AV202" s="9"/>
      <c r="AW202" s="9"/>
      <c r="AX202" s="9"/>
      <c r="AY202" s="9"/>
      <c r="AZ202" s="9"/>
      <c r="BA202" s="9"/>
      <c r="BB202" s="9"/>
      <c r="BC202" s="9"/>
      <c r="BD202" s="9"/>
      <c r="BE202" s="9"/>
      <c r="BF202" s="9"/>
      <c r="BG202" s="9"/>
      <c r="BH202" s="9"/>
    </row>
    <row r="203" spans="1:60" ht="12.5" hidden="1">
      <c r="A203" s="6" t="s">
        <v>994</v>
      </c>
      <c r="B203" s="16">
        <v>45629</v>
      </c>
      <c r="C203" s="8">
        <v>45634</v>
      </c>
      <c r="D203" s="9" t="s">
        <v>41</v>
      </c>
      <c r="E203" s="9" t="s">
        <v>995</v>
      </c>
      <c r="F203" s="9"/>
      <c r="G203" s="9" t="s">
        <v>43</v>
      </c>
      <c r="H203" s="10">
        <v>9.65</v>
      </c>
      <c r="I203" s="9" t="s">
        <v>44</v>
      </c>
      <c r="J203" s="9" t="s">
        <v>45</v>
      </c>
      <c r="K203" s="9" t="s">
        <v>996</v>
      </c>
      <c r="L203" s="11" t="s">
        <v>58</v>
      </c>
      <c r="M203" s="9" t="s">
        <v>48</v>
      </c>
      <c r="N203" s="9" t="s">
        <v>48</v>
      </c>
      <c r="O203" s="12" t="s">
        <v>115</v>
      </c>
      <c r="P203" s="6" t="s">
        <v>116</v>
      </c>
      <c r="Q203" s="9" t="s">
        <v>117</v>
      </c>
      <c r="R203" s="13">
        <v>1</v>
      </c>
      <c r="S203" s="9" t="s">
        <v>68</v>
      </c>
      <c r="T203" s="9" t="s">
        <v>53</v>
      </c>
      <c r="U203" s="9" t="s">
        <v>54</v>
      </c>
      <c r="V203" s="9" t="s">
        <v>61</v>
      </c>
      <c r="W203" s="9"/>
      <c r="X203" s="9"/>
      <c r="Y203" s="13">
        <v>54.3</v>
      </c>
      <c r="Z203" s="13">
        <v>1</v>
      </c>
      <c r="AA203" s="9"/>
      <c r="AB203" s="9"/>
      <c r="AC203" s="9"/>
      <c r="AD203" s="9"/>
      <c r="AE203" s="9"/>
      <c r="AF203" s="9"/>
      <c r="AG203" s="9"/>
      <c r="AH203" s="9"/>
      <c r="AI203" s="9">
        <v>1</v>
      </c>
      <c r="AJ203" s="9">
        <v>10</v>
      </c>
      <c r="AK203" s="14">
        <f t="shared" si="0"/>
        <v>0.1</v>
      </c>
      <c r="AL203" s="9"/>
      <c r="AM203" s="9"/>
      <c r="AN203" s="9"/>
      <c r="AO203" s="6"/>
      <c r="AP203" s="9"/>
      <c r="AQ203" s="9"/>
      <c r="AR203" s="9"/>
      <c r="AS203" s="9"/>
      <c r="AT203" s="9"/>
      <c r="AU203" s="9"/>
      <c r="AV203" s="9"/>
      <c r="AW203" s="9"/>
      <c r="AX203" s="9"/>
      <c r="AY203" s="9"/>
      <c r="AZ203" s="9"/>
      <c r="BA203" s="9"/>
      <c r="BB203" s="9"/>
      <c r="BC203" s="9"/>
      <c r="BD203" s="9"/>
      <c r="BE203" s="9"/>
      <c r="BF203" s="9"/>
      <c r="BG203" s="9"/>
      <c r="BH203" s="9"/>
    </row>
    <row r="204" spans="1:60" ht="12.5" hidden="1">
      <c r="A204" s="6" t="s">
        <v>997</v>
      </c>
      <c r="B204" s="16">
        <v>45608</v>
      </c>
      <c r="C204" s="8">
        <v>45644</v>
      </c>
      <c r="D204" s="9" t="s">
        <v>41</v>
      </c>
      <c r="E204" s="9" t="s">
        <v>998</v>
      </c>
      <c r="F204" s="9"/>
      <c r="G204" s="9" t="s">
        <v>43</v>
      </c>
      <c r="H204" s="10">
        <v>9.65</v>
      </c>
      <c r="I204" s="9" t="s">
        <v>44</v>
      </c>
      <c r="J204" s="9" t="s">
        <v>45</v>
      </c>
      <c r="K204" s="9" t="s">
        <v>999</v>
      </c>
      <c r="L204" s="11" t="s">
        <v>47</v>
      </c>
      <c r="M204" s="9" t="s">
        <v>48</v>
      </c>
      <c r="N204" s="9" t="s">
        <v>48</v>
      </c>
      <c r="O204" s="12" t="s">
        <v>121</v>
      </c>
      <c r="P204" s="6" t="s">
        <v>122</v>
      </c>
      <c r="Q204" s="9" t="s">
        <v>123</v>
      </c>
      <c r="R204" s="13">
        <v>1</v>
      </c>
      <c r="S204" s="9" t="s">
        <v>52</v>
      </c>
      <c r="T204" s="9" t="s">
        <v>53</v>
      </c>
      <c r="U204" s="9" t="s">
        <v>54</v>
      </c>
      <c r="V204" s="9" t="s">
        <v>55</v>
      </c>
      <c r="W204" s="9"/>
      <c r="X204" s="9"/>
      <c r="Y204" s="13">
        <v>69.72</v>
      </c>
      <c r="Z204" s="13">
        <v>1</v>
      </c>
      <c r="AA204" s="9"/>
      <c r="AB204" s="9"/>
      <c r="AC204" s="9"/>
      <c r="AD204" s="9"/>
      <c r="AE204" s="9"/>
      <c r="AF204" s="13">
        <v>69.72</v>
      </c>
      <c r="AG204" s="9"/>
      <c r="AH204" s="9"/>
      <c r="AI204" s="9">
        <v>1</v>
      </c>
      <c r="AJ204" s="9">
        <v>14</v>
      </c>
      <c r="AK204" s="14">
        <f t="shared" si="0"/>
        <v>7.1428571428571425E-2</v>
      </c>
      <c r="AL204" s="9"/>
      <c r="AM204" s="9"/>
      <c r="AN204" s="9"/>
      <c r="AO204" s="6"/>
      <c r="AP204" s="9"/>
      <c r="AQ204" s="9"/>
      <c r="AR204" s="9"/>
      <c r="AS204" s="9"/>
      <c r="AT204" s="9"/>
      <c r="AU204" s="9"/>
      <c r="AV204" s="9"/>
      <c r="AW204" s="9"/>
      <c r="AX204" s="9"/>
      <c r="AY204" s="9"/>
      <c r="AZ204" s="9"/>
      <c r="BA204" s="9"/>
      <c r="BB204" s="9"/>
      <c r="BC204" s="9"/>
      <c r="BD204" s="9"/>
      <c r="BE204" s="9"/>
      <c r="BF204" s="9"/>
      <c r="BG204" s="9"/>
      <c r="BH204" s="9"/>
    </row>
    <row r="205" spans="1:60" ht="12.5" hidden="1">
      <c r="A205" s="6" t="s">
        <v>1000</v>
      </c>
      <c r="B205" s="16">
        <v>45632</v>
      </c>
      <c r="C205" s="8">
        <v>45637</v>
      </c>
      <c r="D205" s="9" t="s">
        <v>41</v>
      </c>
      <c r="E205" s="9" t="s">
        <v>1001</v>
      </c>
      <c r="F205" s="9"/>
      <c r="G205" s="9" t="s">
        <v>43</v>
      </c>
      <c r="H205" s="10">
        <v>11.31</v>
      </c>
      <c r="I205" s="9" t="s">
        <v>44</v>
      </c>
      <c r="J205" s="9" t="s">
        <v>45</v>
      </c>
      <c r="K205" s="9" t="s">
        <v>1002</v>
      </c>
      <c r="L205" s="11" t="s">
        <v>47</v>
      </c>
      <c r="M205" s="9" t="s">
        <v>48</v>
      </c>
      <c r="N205" s="9" t="s">
        <v>48</v>
      </c>
      <c r="O205" s="12" t="s">
        <v>1003</v>
      </c>
      <c r="P205" s="6" t="s">
        <v>1004</v>
      </c>
      <c r="Q205" s="9" t="s">
        <v>1005</v>
      </c>
      <c r="R205" s="13">
        <v>1</v>
      </c>
      <c r="S205" s="9" t="s">
        <v>99</v>
      </c>
      <c r="T205" s="9" t="s">
        <v>53</v>
      </c>
      <c r="U205" s="9" t="s">
        <v>54</v>
      </c>
      <c r="V205" s="9" t="s">
        <v>55</v>
      </c>
      <c r="W205" s="9"/>
      <c r="X205" s="9"/>
      <c r="Y205" s="13">
        <v>94.82</v>
      </c>
      <c r="Z205" s="13">
        <v>1</v>
      </c>
      <c r="AA205" s="9"/>
      <c r="AB205" s="9"/>
      <c r="AC205" s="9"/>
      <c r="AD205" s="9"/>
      <c r="AE205" s="9"/>
      <c r="AF205" s="13">
        <v>94.82</v>
      </c>
      <c r="AG205" s="9"/>
      <c r="AH205" s="9"/>
      <c r="AI205" s="9">
        <v>2</v>
      </c>
      <c r="AJ205" s="9">
        <v>3</v>
      </c>
      <c r="AK205" s="14">
        <f t="shared" si="0"/>
        <v>0.66666666666666663</v>
      </c>
      <c r="AL205" s="9"/>
      <c r="AM205" s="9"/>
      <c r="AN205" s="9"/>
      <c r="AO205" s="6"/>
      <c r="AP205" s="9"/>
      <c r="AQ205" s="9"/>
      <c r="AR205" s="9"/>
      <c r="AS205" s="9"/>
      <c r="AT205" s="9"/>
      <c r="AU205" s="9"/>
      <c r="AV205" s="9"/>
      <c r="AW205" s="9"/>
      <c r="AX205" s="9"/>
      <c r="AY205" s="9"/>
      <c r="AZ205" s="9"/>
      <c r="BA205" s="9"/>
      <c r="BB205" s="9"/>
      <c r="BC205" s="9"/>
      <c r="BD205" s="9"/>
      <c r="BE205" s="9"/>
      <c r="BF205" s="9"/>
      <c r="BG205" s="9"/>
      <c r="BH205" s="9"/>
    </row>
    <row r="206" spans="1:60" ht="12.5" hidden="1">
      <c r="A206" s="6" t="s">
        <v>1006</v>
      </c>
      <c r="B206" s="16">
        <v>45610</v>
      </c>
      <c r="C206" s="8">
        <v>45634</v>
      </c>
      <c r="D206" s="9" t="s">
        <v>41</v>
      </c>
      <c r="E206" s="9" t="s">
        <v>1007</v>
      </c>
      <c r="F206" s="9"/>
      <c r="G206" s="9" t="s">
        <v>137</v>
      </c>
      <c r="H206" s="10">
        <v>0</v>
      </c>
      <c r="I206" s="9"/>
      <c r="J206" s="9"/>
      <c r="K206" s="9"/>
      <c r="L206" s="11" t="s">
        <v>47</v>
      </c>
      <c r="M206" s="9" t="s">
        <v>48</v>
      </c>
      <c r="N206" s="9" t="s">
        <v>48</v>
      </c>
      <c r="O206" s="12" t="s">
        <v>1003</v>
      </c>
      <c r="P206" s="6" t="s">
        <v>1004</v>
      </c>
      <c r="Q206" s="9" t="s">
        <v>1005</v>
      </c>
      <c r="R206" s="13">
        <v>1</v>
      </c>
      <c r="S206" s="9" t="s">
        <v>99</v>
      </c>
      <c r="T206" s="9" t="s">
        <v>53</v>
      </c>
      <c r="U206" s="9" t="s">
        <v>54</v>
      </c>
      <c r="V206" s="9" t="s">
        <v>61</v>
      </c>
      <c r="W206" s="9"/>
      <c r="X206" s="9"/>
      <c r="Y206" s="13">
        <v>74.47</v>
      </c>
      <c r="Z206" s="13">
        <v>1</v>
      </c>
      <c r="AA206" s="9"/>
      <c r="AB206" s="9"/>
      <c r="AC206" s="9"/>
      <c r="AD206" s="9"/>
      <c r="AE206" s="9"/>
      <c r="AF206" s="9"/>
      <c r="AG206" s="9"/>
      <c r="AH206" s="9"/>
      <c r="AI206" s="9"/>
      <c r="AJ206" s="9"/>
      <c r="AK206" s="14" t="e">
        <f t="shared" si="0"/>
        <v>#DIV/0!</v>
      </c>
      <c r="AL206" s="9"/>
      <c r="AM206" s="9"/>
      <c r="AN206" s="9"/>
      <c r="AO206" s="6"/>
      <c r="AP206" s="9"/>
      <c r="AQ206" s="9"/>
      <c r="AR206" s="9"/>
      <c r="AS206" s="9"/>
      <c r="AT206" s="9"/>
      <c r="AU206" s="9"/>
      <c r="AV206" s="9"/>
      <c r="AW206" s="9"/>
      <c r="AX206" s="9"/>
      <c r="AY206" s="9"/>
      <c r="AZ206" s="9"/>
      <c r="BA206" s="9"/>
      <c r="BB206" s="9"/>
      <c r="BC206" s="9"/>
      <c r="BD206" s="9"/>
      <c r="BE206" s="9"/>
      <c r="BF206" s="9"/>
      <c r="BG206" s="9"/>
      <c r="BH206" s="9"/>
    </row>
    <row r="207" spans="1:60" ht="12.5" hidden="1">
      <c r="A207" s="6" t="s">
        <v>1008</v>
      </c>
      <c r="B207" s="16">
        <v>45625</v>
      </c>
      <c r="C207" s="8">
        <v>45631</v>
      </c>
      <c r="D207" s="9" t="s">
        <v>41</v>
      </c>
      <c r="E207" s="9"/>
      <c r="F207" s="9"/>
      <c r="G207" s="9" t="s">
        <v>137</v>
      </c>
      <c r="H207" s="10">
        <v>0</v>
      </c>
      <c r="I207" s="9"/>
      <c r="J207" s="9"/>
      <c r="K207" s="9"/>
      <c r="L207" s="11" t="s">
        <v>47</v>
      </c>
      <c r="M207" s="9" t="s">
        <v>48</v>
      </c>
      <c r="N207" s="9" t="s">
        <v>48</v>
      </c>
      <c r="O207" s="12" t="s">
        <v>138</v>
      </c>
      <c r="P207" s="6" t="s">
        <v>139</v>
      </c>
      <c r="Q207" s="9" t="s">
        <v>140</v>
      </c>
      <c r="R207" s="13">
        <v>1</v>
      </c>
      <c r="S207" s="9" t="s">
        <v>92</v>
      </c>
      <c r="T207" s="9" t="s">
        <v>53</v>
      </c>
      <c r="U207" s="9" t="s">
        <v>54</v>
      </c>
      <c r="V207" s="9" t="s">
        <v>141</v>
      </c>
      <c r="W207" s="9"/>
      <c r="X207" s="9"/>
      <c r="Y207" s="13">
        <v>62.43</v>
      </c>
      <c r="Z207" s="13">
        <v>1</v>
      </c>
      <c r="AA207" s="9"/>
      <c r="AB207" s="9"/>
      <c r="AC207" s="9"/>
      <c r="AD207" s="9"/>
      <c r="AE207" s="9"/>
      <c r="AF207" s="13">
        <v>62.43</v>
      </c>
      <c r="AG207" s="9"/>
      <c r="AH207" s="9"/>
      <c r="AI207" s="9">
        <v>1</v>
      </c>
      <c r="AJ207" s="9">
        <v>0</v>
      </c>
      <c r="AK207" s="14" t="e">
        <f t="shared" si="0"/>
        <v>#DIV/0!</v>
      </c>
      <c r="AL207" s="9"/>
      <c r="AM207" s="9"/>
      <c r="AN207" s="9"/>
      <c r="AO207" s="6"/>
      <c r="AP207" s="9"/>
      <c r="AQ207" s="9"/>
      <c r="AR207" s="9"/>
      <c r="AS207" s="9"/>
      <c r="AT207" s="9"/>
      <c r="AU207" s="9"/>
      <c r="AV207" s="9"/>
      <c r="AW207" s="9"/>
      <c r="AX207" s="9"/>
      <c r="AY207" s="9"/>
      <c r="AZ207" s="9"/>
      <c r="BA207" s="9"/>
      <c r="BB207" s="9"/>
      <c r="BC207" s="9"/>
      <c r="BD207" s="9"/>
      <c r="BE207" s="9"/>
      <c r="BF207" s="9"/>
      <c r="BG207" s="9"/>
      <c r="BH207" s="9"/>
    </row>
    <row r="208" spans="1:60" ht="13" hidden="1">
      <c r="A208" s="6" t="s">
        <v>1009</v>
      </c>
      <c r="B208" s="16">
        <v>45630</v>
      </c>
      <c r="C208" s="8">
        <v>45640</v>
      </c>
      <c r="D208" s="9" t="s">
        <v>41</v>
      </c>
      <c r="E208" s="9" t="s">
        <v>1010</v>
      </c>
      <c r="F208" s="9"/>
      <c r="G208" s="9" t="s">
        <v>43</v>
      </c>
      <c r="H208" s="19">
        <v>74.510000000000005</v>
      </c>
      <c r="I208" s="9" t="s">
        <v>44</v>
      </c>
      <c r="J208" s="9" t="s">
        <v>45</v>
      </c>
      <c r="K208" s="9" t="s">
        <v>1011</v>
      </c>
      <c r="L208" s="11" t="s">
        <v>47</v>
      </c>
      <c r="M208" s="9" t="s">
        <v>48</v>
      </c>
      <c r="N208" s="9" t="s">
        <v>48</v>
      </c>
      <c r="O208" s="12" t="s">
        <v>1012</v>
      </c>
      <c r="P208" s="6" t="s">
        <v>1013</v>
      </c>
      <c r="Q208" s="9" t="s">
        <v>1014</v>
      </c>
      <c r="R208" s="13">
        <v>1</v>
      </c>
      <c r="S208" s="9" t="s">
        <v>92</v>
      </c>
      <c r="T208" s="9" t="s">
        <v>53</v>
      </c>
      <c r="U208" s="9" t="s">
        <v>54</v>
      </c>
      <c r="V208" s="9" t="s">
        <v>61</v>
      </c>
      <c r="W208" s="9"/>
      <c r="X208" s="9"/>
      <c r="Y208" s="13">
        <v>195.75</v>
      </c>
      <c r="Z208" s="13">
        <v>1</v>
      </c>
      <c r="AA208" s="9"/>
      <c r="AB208" s="9"/>
      <c r="AC208" s="9"/>
      <c r="AD208" s="9"/>
      <c r="AE208" s="9"/>
      <c r="AF208" s="9"/>
      <c r="AG208" s="9"/>
      <c r="AH208" s="9"/>
      <c r="AI208" s="9">
        <v>2</v>
      </c>
      <c r="AJ208" s="9">
        <v>2</v>
      </c>
      <c r="AK208" s="14">
        <f t="shared" si="0"/>
        <v>1</v>
      </c>
      <c r="AL208" s="9"/>
      <c r="AM208" s="9"/>
      <c r="AN208" s="9"/>
      <c r="AO208" s="6"/>
      <c r="AP208" s="9"/>
      <c r="AQ208" s="9"/>
      <c r="AR208" s="9"/>
      <c r="AS208" s="9"/>
      <c r="AT208" s="9"/>
      <c r="AU208" s="9"/>
      <c r="AV208" s="9"/>
      <c r="AW208" s="9"/>
      <c r="AX208" s="9"/>
      <c r="AY208" s="9"/>
      <c r="AZ208" s="9"/>
      <c r="BA208" s="9"/>
      <c r="BB208" s="9"/>
      <c r="BC208" s="9"/>
      <c r="BD208" s="9"/>
      <c r="BE208" s="9"/>
      <c r="BF208" s="9"/>
      <c r="BG208" s="9"/>
      <c r="BH208" s="9"/>
    </row>
    <row r="209" spans="1:60" ht="13" hidden="1">
      <c r="A209" s="6" t="s">
        <v>1015</v>
      </c>
      <c r="B209" s="16">
        <v>45627</v>
      </c>
      <c r="C209" s="8">
        <v>45632</v>
      </c>
      <c r="D209" s="9" t="s">
        <v>41</v>
      </c>
      <c r="E209" s="9" t="s">
        <v>1016</v>
      </c>
      <c r="F209" s="9"/>
      <c r="G209" s="9" t="s">
        <v>43</v>
      </c>
      <c r="H209" s="19">
        <v>74.510000000000005</v>
      </c>
      <c r="I209" s="9" t="s">
        <v>44</v>
      </c>
      <c r="J209" s="9" t="s">
        <v>45</v>
      </c>
      <c r="K209" s="9" t="s">
        <v>1017</v>
      </c>
      <c r="L209" s="11" t="s">
        <v>47</v>
      </c>
      <c r="M209" s="9" t="s">
        <v>48</v>
      </c>
      <c r="N209" s="9" t="s">
        <v>48</v>
      </c>
      <c r="O209" s="12" t="s">
        <v>1012</v>
      </c>
      <c r="P209" s="6" t="s">
        <v>1013</v>
      </c>
      <c r="Q209" s="9" t="s">
        <v>1014</v>
      </c>
      <c r="R209" s="13">
        <v>1</v>
      </c>
      <c r="S209" s="9" t="s">
        <v>99</v>
      </c>
      <c r="T209" s="9" t="s">
        <v>53</v>
      </c>
      <c r="U209" s="9" t="s">
        <v>54</v>
      </c>
      <c r="V209" s="9" t="s">
        <v>61</v>
      </c>
      <c r="W209" s="9"/>
      <c r="X209" s="9"/>
      <c r="Y209" s="13">
        <v>189.7</v>
      </c>
      <c r="Z209" s="13">
        <v>1</v>
      </c>
      <c r="AA209" s="9"/>
      <c r="AB209" s="9"/>
      <c r="AC209" s="9"/>
      <c r="AD209" s="9"/>
      <c r="AE209" s="9"/>
      <c r="AF209" s="9"/>
      <c r="AG209" s="9"/>
      <c r="AH209" s="9"/>
      <c r="AI209" s="9"/>
      <c r="AJ209" s="9"/>
      <c r="AK209" s="14" t="e">
        <f t="shared" si="0"/>
        <v>#DIV/0!</v>
      </c>
      <c r="AL209" s="9"/>
      <c r="AM209" s="9"/>
      <c r="AN209" s="9"/>
      <c r="AO209" s="6"/>
      <c r="AP209" s="9"/>
      <c r="AQ209" s="9"/>
      <c r="AR209" s="9"/>
      <c r="AS209" s="9"/>
      <c r="AT209" s="9"/>
      <c r="AU209" s="9"/>
      <c r="AV209" s="9"/>
      <c r="AW209" s="9"/>
      <c r="AX209" s="9"/>
      <c r="AY209" s="9"/>
      <c r="AZ209" s="9"/>
      <c r="BA209" s="9"/>
      <c r="BB209" s="9"/>
      <c r="BC209" s="9"/>
      <c r="BD209" s="9"/>
      <c r="BE209" s="9"/>
      <c r="BF209" s="9"/>
      <c r="BG209" s="9"/>
      <c r="BH209" s="9"/>
    </row>
    <row r="210" spans="1:60" ht="12.5" hidden="1">
      <c r="A210" s="6" t="s">
        <v>1018</v>
      </c>
      <c r="B210" s="16">
        <v>45623</v>
      </c>
      <c r="C210" s="8">
        <v>45631</v>
      </c>
      <c r="D210" s="9" t="s">
        <v>41</v>
      </c>
      <c r="E210" s="9" t="s">
        <v>1019</v>
      </c>
      <c r="F210" s="9"/>
      <c r="G210" s="9" t="s">
        <v>137</v>
      </c>
      <c r="H210" s="10">
        <v>0</v>
      </c>
      <c r="I210" s="9"/>
      <c r="J210" s="9"/>
      <c r="K210" s="9"/>
      <c r="L210" s="11" t="s">
        <v>58</v>
      </c>
      <c r="M210" s="9" t="s">
        <v>48</v>
      </c>
      <c r="N210" s="9" t="s">
        <v>48</v>
      </c>
      <c r="O210" s="12" t="s">
        <v>1020</v>
      </c>
      <c r="P210" s="6" t="s">
        <v>1021</v>
      </c>
      <c r="Q210" s="9" t="s">
        <v>1022</v>
      </c>
      <c r="R210" s="13">
        <v>1</v>
      </c>
      <c r="S210" s="9" t="s">
        <v>68</v>
      </c>
      <c r="T210" s="9" t="s">
        <v>53</v>
      </c>
      <c r="U210" s="9" t="s">
        <v>54</v>
      </c>
      <c r="V210" s="9" t="s">
        <v>61</v>
      </c>
      <c r="W210" s="9"/>
      <c r="X210" s="9"/>
      <c r="Y210" s="13">
        <v>300.93</v>
      </c>
      <c r="Z210" s="13">
        <v>1</v>
      </c>
      <c r="AA210" s="9"/>
      <c r="AB210" s="9"/>
      <c r="AC210" s="9"/>
      <c r="AD210" s="9"/>
      <c r="AE210" s="9"/>
      <c r="AF210" s="9"/>
      <c r="AG210" s="9"/>
      <c r="AH210" s="9"/>
      <c r="AI210" s="9">
        <v>1</v>
      </c>
      <c r="AJ210" s="9">
        <v>11</v>
      </c>
      <c r="AK210" s="14">
        <f t="shared" si="0"/>
        <v>9.0909090909090912E-2</v>
      </c>
      <c r="AL210" s="9"/>
      <c r="AM210" s="9"/>
      <c r="AN210" s="9"/>
      <c r="AO210" s="6"/>
      <c r="AP210" s="9"/>
      <c r="AQ210" s="9"/>
      <c r="AR210" s="9"/>
      <c r="AS210" s="9"/>
      <c r="AT210" s="9"/>
      <c r="AU210" s="9"/>
      <c r="AV210" s="9"/>
      <c r="AW210" s="9"/>
      <c r="AX210" s="9"/>
      <c r="AY210" s="9"/>
      <c r="AZ210" s="9"/>
      <c r="BA210" s="9"/>
      <c r="BB210" s="9"/>
      <c r="BC210" s="9"/>
      <c r="BD210" s="9"/>
      <c r="BE210" s="9"/>
      <c r="BF210" s="9"/>
      <c r="BG210" s="9"/>
      <c r="BH210" s="9"/>
    </row>
    <row r="211" spans="1:60" ht="12.5" hidden="1">
      <c r="A211" s="6" t="s">
        <v>1023</v>
      </c>
      <c r="B211" s="16">
        <v>45637</v>
      </c>
      <c r="C211" s="8">
        <v>45653</v>
      </c>
      <c r="D211" s="9" t="s">
        <v>41</v>
      </c>
      <c r="E211" s="9" t="s">
        <v>1024</v>
      </c>
      <c r="F211" s="9"/>
      <c r="G211" s="9" t="s">
        <v>43</v>
      </c>
      <c r="H211" s="10">
        <v>11.31</v>
      </c>
      <c r="I211" s="9" t="s">
        <v>44</v>
      </c>
      <c r="J211" s="9" t="s">
        <v>45</v>
      </c>
      <c r="K211" s="9" t="s">
        <v>1025</v>
      </c>
      <c r="L211" s="11" t="s">
        <v>58</v>
      </c>
      <c r="M211" s="9" t="s">
        <v>48</v>
      </c>
      <c r="N211" s="9" t="s">
        <v>48</v>
      </c>
      <c r="O211" s="12" t="s">
        <v>160</v>
      </c>
      <c r="P211" s="6" t="s">
        <v>161</v>
      </c>
      <c r="Q211" s="9" t="s">
        <v>188</v>
      </c>
      <c r="R211" s="13">
        <v>1</v>
      </c>
      <c r="S211" s="9" t="s">
        <v>68</v>
      </c>
      <c r="T211" s="9" t="s">
        <v>53</v>
      </c>
      <c r="U211" s="9" t="s">
        <v>54</v>
      </c>
      <c r="V211" s="9" t="s">
        <v>61</v>
      </c>
      <c r="W211" s="9"/>
      <c r="X211" s="9"/>
      <c r="Y211" s="13">
        <v>52.93</v>
      </c>
      <c r="Z211" s="13">
        <v>1</v>
      </c>
      <c r="AA211" s="9"/>
      <c r="AB211" s="9"/>
      <c r="AC211" s="9"/>
      <c r="AD211" s="9"/>
      <c r="AE211" s="9"/>
      <c r="AF211" s="9"/>
      <c r="AG211" s="9"/>
      <c r="AH211" s="9"/>
      <c r="AI211" s="9">
        <v>3</v>
      </c>
      <c r="AJ211" s="9">
        <v>15</v>
      </c>
      <c r="AK211" s="14">
        <f t="shared" si="0"/>
        <v>0.2</v>
      </c>
      <c r="AL211" s="9"/>
      <c r="AM211" s="9"/>
      <c r="AN211" s="9"/>
      <c r="AO211" s="6"/>
      <c r="AP211" s="9"/>
      <c r="AQ211" s="9"/>
      <c r="AR211" s="9"/>
      <c r="AS211" s="9"/>
      <c r="AT211" s="9"/>
      <c r="AU211" s="9"/>
      <c r="AV211" s="9"/>
      <c r="AW211" s="9"/>
      <c r="AX211" s="9"/>
      <c r="AY211" s="9"/>
      <c r="AZ211" s="9"/>
      <c r="BA211" s="9"/>
      <c r="BB211" s="9"/>
      <c r="BC211" s="9"/>
      <c r="BD211" s="9"/>
      <c r="BE211" s="9"/>
      <c r="BF211" s="9"/>
      <c r="BG211" s="9"/>
      <c r="BH211" s="9"/>
    </row>
    <row r="212" spans="1:60" ht="12.5" hidden="1">
      <c r="A212" s="6" t="s">
        <v>1026</v>
      </c>
      <c r="B212" s="16">
        <v>45625</v>
      </c>
      <c r="C212" s="8">
        <v>45641</v>
      </c>
      <c r="D212" s="9" t="s">
        <v>41</v>
      </c>
      <c r="E212" s="9" t="s">
        <v>1027</v>
      </c>
      <c r="F212" s="9"/>
      <c r="G212" s="9" t="s">
        <v>43</v>
      </c>
      <c r="H212" s="10">
        <v>11.31</v>
      </c>
      <c r="I212" s="9" t="s">
        <v>44</v>
      </c>
      <c r="J212" s="9" t="s">
        <v>45</v>
      </c>
      <c r="K212" s="9" t="s">
        <v>1028</v>
      </c>
      <c r="L212" s="11" t="s">
        <v>47</v>
      </c>
      <c r="M212" s="9" t="s">
        <v>48</v>
      </c>
      <c r="N212" s="9" t="s">
        <v>48</v>
      </c>
      <c r="O212" s="12" t="s">
        <v>160</v>
      </c>
      <c r="P212" s="6" t="s">
        <v>161</v>
      </c>
      <c r="Q212" s="9" t="s">
        <v>188</v>
      </c>
      <c r="R212" s="13">
        <v>1</v>
      </c>
      <c r="S212" s="9" t="s">
        <v>99</v>
      </c>
      <c r="T212" s="9" t="s">
        <v>53</v>
      </c>
      <c r="U212" s="9" t="s">
        <v>54</v>
      </c>
      <c r="V212" s="9" t="s">
        <v>55</v>
      </c>
      <c r="W212" s="9"/>
      <c r="X212" s="9"/>
      <c r="Y212" s="13">
        <v>54.24</v>
      </c>
      <c r="Z212" s="13">
        <v>1</v>
      </c>
      <c r="AA212" s="9"/>
      <c r="AB212" s="9"/>
      <c r="AC212" s="9"/>
      <c r="AD212" s="9"/>
      <c r="AE212" s="9"/>
      <c r="AF212" s="13">
        <v>54.24</v>
      </c>
      <c r="AG212" s="9"/>
      <c r="AH212" s="9"/>
      <c r="AI212" s="9"/>
      <c r="AJ212" s="9"/>
      <c r="AK212" s="14" t="e">
        <f t="shared" si="0"/>
        <v>#DIV/0!</v>
      </c>
      <c r="AL212" s="9"/>
      <c r="AM212" s="9"/>
      <c r="AN212" s="9"/>
      <c r="AO212" s="6"/>
      <c r="AP212" s="9"/>
      <c r="AQ212" s="9"/>
      <c r="AR212" s="9"/>
      <c r="AS212" s="9"/>
      <c r="AT212" s="9"/>
      <c r="AU212" s="9"/>
      <c r="AV212" s="9"/>
      <c r="AW212" s="9"/>
      <c r="AX212" s="9"/>
      <c r="AY212" s="9"/>
      <c r="AZ212" s="9"/>
      <c r="BA212" s="9"/>
      <c r="BB212" s="9"/>
      <c r="BC212" s="9"/>
      <c r="BD212" s="9"/>
      <c r="BE212" s="9"/>
      <c r="BF212" s="9"/>
      <c r="BG212" s="9"/>
      <c r="BH212" s="9"/>
    </row>
    <row r="213" spans="1:60" ht="12.5" hidden="1">
      <c r="A213" s="6" t="s">
        <v>1029</v>
      </c>
      <c r="B213" s="16">
        <v>45602</v>
      </c>
      <c r="C213" s="8">
        <v>45635</v>
      </c>
      <c r="D213" s="9" t="s">
        <v>41</v>
      </c>
      <c r="E213" s="9" t="s">
        <v>1030</v>
      </c>
      <c r="F213" s="9"/>
      <c r="G213" s="9" t="s">
        <v>43</v>
      </c>
      <c r="H213" s="10">
        <v>11.31</v>
      </c>
      <c r="I213" s="9" t="s">
        <v>44</v>
      </c>
      <c r="J213" s="9" t="s">
        <v>45</v>
      </c>
      <c r="K213" s="9" t="s">
        <v>1031</v>
      </c>
      <c r="L213" s="11" t="s">
        <v>47</v>
      </c>
      <c r="M213" s="9" t="s">
        <v>48</v>
      </c>
      <c r="N213" s="9" t="s">
        <v>48</v>
      </c>
      <c r="O213" s="12" t="s">
        <v>160</v>
      </c>
      <c r="P213" s="6" t="s">
        <v>161</v>
      </c>
      <c r="Q213" s="9" t="s">
        <v>188</v>
      </c>
      <c r="R213" s="13">
        <v>1</v>
      </c>
      <c r="S213" s="9" t="s">
        <v>99</v>
      </c>
      <c r="T213" s="9" t="s">
        <v>53</v>
      </c>
      <c r="U213" s="9" t="s">
        <v>54</v>
      </c>
      <c r="V213" s="9" t="s">
        <v>55</v>
      </c>
      <c r="W213" s="9"/>
      <c r="X213" s="9"/>
      <c r="Y213" s="13">
        <v>54.05</v>
      </c>
      <c r="Z213" s="13">
        <v>1</v>
      </c>
      <c r="AA213" s="9"/>
      <c r="AB213" s="9"/>
      <c r="AC213" s="9"/>
      <c r="AD213" s="9"/>
      <c r="AE213" s="9"/>
      <c r="AF213" s="13">
        <v>54.05</v>
      </c>
      <c r="AG213" s="9"/>
      <c r="AH213" s="9"/>
      <c r="AI213" s="9"/>
      <c r="AJ213" s="9"/>
      <c r="AK213" s="14" t="e">
        <f t="shared" si="0"/>
        <v>#DIV/0!</v>
      </c>
      <c r="AL213" s="9"/>
      <c r="AM213" s="9"/>
      <c r="AN213" s="9"/>
      <c r="AO213" s="6"/>
      <c r="AP213" s="9"/>
      <c r="AQ213" s="9"/>
      <c r="AR213" s="9"/>
      <c r="AS213" s="9"/>
      <c r="AT213" s="9"/>
      <c r="AU213" s="9"/>
      <c r="AV213" s="9"/>
      <c r="AW213" s="9"/>
      <c r="AX213" s="9"/>
      <c r="AY213" s="9"/>
      <c r="AZ213" s="9"/>
      <c r="BA213" s="9"/>
      <c r="BB213" s="9"/>
      <c r="BC213" s="9"/>
      <c r="BD213" s="9"/>
      <c r="BE213" s="9"/>
      <c r="BF213" s="9"/>
      <c r="BG213" s="9"/>
      <c r="BH213" s="9"/>
    </row>
    <row r="214" spans="1:60" ht="12.5" hidden="1">
      <c r="A214" s="6" t="s">
        <v>1032</v>
      </c>
      <c r="B214" s="16">
        <v>45626</v>
      </c>
      <c r="C214" s="8">
        <v>45640</v>
      </c>
      <c r="D214" s="9" t="s">
        <v>41</v>
      </c>
      <c r="E214" s="9"/>
      <c r="F214" s="9"/>
      <c r="G214" s="9" t="s">
        <v>137</v>
      </c>
      <c r="H214" s="10">
        <v>0</v>
      </c>
      <c r="I214" s="9"/>
      <c r="J214" s="9"/>
      <c r="K214" s="9"/>
      <c r="L214" s="11" t="s">
        <v>58</v>
      </c>
      <c r="M214" s="9" t="s">
        <v>48</v>
      </c>
      <c r="N214" s="9" t="s">
        <v>48</v>
      </c>
      <c r="O214" s="12" t="s">
        <v>1033</v>
      </c>
      <c r="P214" s="6" t="s">
        <v>1034</v>
      </c>
      <c r="Q214" s="9" t="s">
        <v>1035</v>
      </c>
      <c r="R214" s="13">
        <v>1</v>
      </c>
      <c r="S214" s="9" t="s">
        <v>75</v>
      </c>
      <c r="T214" s="9" t="s">
        <v>53</v>
      </c>
      <c r="U214" s="9" t="s">
        <v>54</v>
      </c>
      <c r="V214" s="9" t="s">
        <v>141</v>
      </c>
      <c r="W214" s="9"/>
      <c r="X214" s="9"/>
      <c r="Y214" s="13">
        <v>32.42</v>
      </c>
      <c r="Z214" s="13">
        <v>1</v>
      </c>
      <c r="AA214" s="9"/>
      <c r="AB214" s="9"/>
      <c r="AC214" s="9"/>
      <c r="AD214" s="9"/>
      <c r="AE214" s="9"/>
      <c r="AF214" s="13">
        <v>32.42</v>
      </c>
      <c r="AG214" s="9"/>
      <c r="AH214" s="9"/>
      <c r="AI214" s="9">
        <v>1</v>
      </c>
      <c r="AJ214" s="9">
        <v>1</v>
      </c>
      <c r="AK214" s="14">
        <f t="shared" si="0"/>
        <v>1</v>
      </c>
      <c r="AL214" s="9"/>
      <c r="AM214" s="9"/>
      <c r="AN214" s="9"/>
      <c r="AO214" s="6"/>
      <c r="AP214" s="9"/>
      <c r="AQ214" s="9"/>
      <c r="AR214" s="9"/>
      <c r="AS214" s="9"/>
      <c r="AT214" s="9"/>
      <c r="AU214" s="9"/>
      <c r="AV214" s="9"/>
      <c r="AW214" s="9"/>
      <c r="AX214" s="9"/>
      <c r="AY214" s="9"/>
      <c r="AZ214" s="9"/>
      <c r="BA214" s="9"/>
      <c r="BB214" s="9"/>
      <c r="BC214" s="9"/>
      <c r="BD214" s="9"/>
      <c r="BE214" s="9"/>
      <c r="BF214" s="9"/>
      <c r="BG214" s="9"/>
      <c r="BH214" s="9"/>
    </row>
    <row r="215" spans="1:60" ht="12.5" hidden="1">
      <c r="A215" s="6" t="s">
        <v>1036</v>
      </c>
      <c r="B215" s="16">
        <v>45630</v>
      </c>
      <c r="C215" s="8">
        <v>45652</v>
      </c>
      <c r="D215" s="9" t="s">
        <v>41</v>
      </c>
      <c r="E215" s="9" t="s">
        <v>1037</v>
      </c>
      <c r="F215" s="9"/>
      <c r="G215" s="9" t="s">
        <v>43</v>
      </c>
      <c r="H215" s="10">
        <v>11.31</v>
      </c>
      <c r="I215" s="9" t="s">
        <v>44</v>
      </c>
      <c r="J215" s="9" t="s">
        <v>45</v>
      </c>
      <c r="K215" s="9" t="s">
        <v>1038</v>
      </c>
      <c r="L215" s="11" t="s">
        <v>47</v>
      </c>
      <c r="M215" s="9" t="s">
        <v>48</v>
      </c>
      <c r="N215" s="9" t="s">
        <v>48</v>
      </c>
      <c r="O215" s="12" t="s">
        <v>204</v>
      </c>
      <c r="P215" s="6" t="s">
        <v>205</v>
      </c>
      <c r="Q215" s="9" t="s">
        <v>206</v>
      </c>
      <c r="R215" s="13">
        <v>1</v>
      </c>
      <c r="S215" s="9" t="s">
        <v>421</v>
      </c>
      <c r="T215" s="9" t="s">
        <v>53</v>
      </c>
      <c r="U215" s="9" t="s">
        <v>54</v>
      </c>
      <c r="V215" s="9" t="s">
        <v>560</v>
      </c>
      <c r="W215" s="9"/>
      <c r="X215" s="9"/>
      <c r="Y215" s="13">
        <v>69.150000000000006</v>
      </c>
      <c r="Z215" s="13">
        <v>1</v>
      </c>
      <c r="AA215" s="9"/>
      <c r="AB215" s="9"/>
      <c r="AC215" s="9"/>
      <c r="AD215" s="9"/>
      <c r="AE215" s="9"/>
      <c r="AF215" s="9"/>
      <c r="AG215" s="9"/>
      <c r="AH215" s="9"/>
      <c r="AI215" s="9">
        <v>1</v>
      </c>
      <c r="AJ215" s="9">
        <v>5</v>
      </c>
      <c r="AK215" s="14">
        <f t="shared" si="0"/>
        <v>0.2</v>
      </c>
      <c r="AL215" s="9"/>
      <c r="AM215" s="9"/>
      <c r="AN215" s="9" t="s">
        <v>953</v>
      </c>
      <c r="AO215" s="6"/>
      <c r="AP215" s="9"/>
      <c r="AQ215" s="9"/>
      <c r="AR215" s="9"/>
      <c r="AS215" s="9"/>
      <c r="AT215" s="9"/>
      <c r="AU215" s="9"/>
      <c r="AV215" s="9"/>
      <c r="AW215" s="9"/>
      <c r="AX215" s="9"/>
      <c r="AY215" s="9"/>
      <c r="AZ215" s="9"/>
      <c r="BA215" s="9"/>
      <c r="BB215" s="9"/>
      <c r="BC215" s="9"/>
      <c r="BD215" s="9"/>
      <c r="BE215" s="9"/>
      <c r="BF215" s="9"/>
      <c r="BG215" s="9"/>
      <c r="BH215" s="9"/>
    </row>
    <row r="216" spans="1:60" ht="12.5" hidden="1">
      <c r="A216" s="6" t="s">
        <v>1039</v>
      </c>
      <c r="B216" s="16">
        <v>45638</v>
      </c>
      <c r="C216" s="8">
        <v>45654</v>
      </c>
      <c r="D216" s="9" t="s">
        <v>41</v>
      </c>
      <c r="E216" s="9" t="s">
        <v>1040</v>
      </c>
      <c r="F216" s="9"/>
      <c r="G216" s="9" t="s">
        <v>43</v>
      </c>
      <c r="H216" s="10">
        <v>13.45</v>
      </c>
      <c r="I216" s="9" t="s">
        <v>44</v>
      </c>
      <c r="J216" s="9" t="s">
        <v>45</v>
      </c>
      <c r="K216" s="9" t="s">
        <v>1041</v>
      </c>
      <c r="L216" s="11" t="s">
        <v>47</v>
      </c>
      <c r="M216" s="9" t="s">
        <v>48</v>
      </c>
      <c r="N216" s="9" t="s">
        <v>48</v>
      </c>
      <c r="O216" s="12" t="s">
        <v>219</v>
      </c>
      <c r="P216" s="6" t="s">
        <v>220</v>
      </c>
      <c r="Q216" s="9" t="s">
        <v>221</v>
      </c>
      <c r="R216" s="13">
        <v>1</v>
      </c>
      <c r="S216" s="9" t="s">
        <v>99</v>
      </c>
      <c r="T216" s="9" t="s">
        <v>53</v>
      </c>
      <c r="U216" s="9" t="s">
        <v>54</v>
      </c>
      <c r="V216" s="9" t="s">
        <v>55</v>
      </c>
      <c r="W216" s="9"/>
      <c r="X216" s="9"/>
      <c r="Y216" s="13">
        <v>82.58</v>
      </c>
      <c r="Z216" s="13">
        <v>1</v>
      </c>
      <c r="AA216" s="9"/>
      <c r="AB216" s="9"/>
      <c r="AC216" s="9"/>
      <c r="AD216" s="9"/>
      <c r="AE216" s="9"/>
      <c r="AF216" s="13">
        <v>82.58</v>
      </c>
      <c r="AG216" s="9"/>
      <c r="AH216" s="9"/>
      <c r="AI216" s="9">
        <v>3</v>
      </c>
      <c r="AJ216" s="9">
        <v>52</v>
      </c>
      <c r="AK216" s="14">
        <f t="shared" si="0"/>
        <v>5.7692307692307696E-2</v>
      </c>
      <c r="AL216" s="9"/>
      <c r="AM216" s="9"/>
      <c r="AN216" s="9"/>
      <c r="AO216" s="6"/>
      <c r="AP216" s="9"/>
      <c r="AQ216" s="9"/>
      <c r="AR216" s="9"/>
      <c r="AS216" s="9"/>
      <c r="AT216" s="9"/>
      <c r="AU216" s="9"/>
      <c r="AV216" s="9"/>
      <c r="AW216" s="9"/>
      <c r="AX216" s="9"/>
      <c r="AY216" s="9"/>
      <c r="AZ216" s="9"/>
      <c r="BA216" s="9"/>
      <c r="BB216" s="9"/>
      <c r="BC216" s="9"/>
      <c r="BD216" s="9"/>
      <c r="BE216" s="9"/>
      <c r="BF216" s="9"/>
      <c r="BG216" s="9"/>
      <c r="BH216" s="9"/>
    </row>
    <row r="217" spans="1:60" ht="12.5" hidden="1">
      <c r="A217" s="6" t="s">
        <v>1042</v>
      </c>
      <c r="B217" s="16">
        <v>45636</v>
      </c>
      <c r="C217" s="8">
        <v>45647</v>
      </c>
      <c r="D217" s="9" t="s">
        <v>41</v>
      </c>
      <c r="E217" s="9" t="s">
        <v>1043</v>
      </c>
      <c r="F217" s="9"/>
      <c r="G217" s="9" t="s">
        <v>43</v>
      </c>
      <c r="H217" s="10">
        <v>13.06</v>
      </c>
      <c r="I217" s="9" t="s">
        <v>44</v>
      </c>
      <c r="J217" s="9" t="s">
        <v>45</v>
      </c>
      <c r="K217" s="9" t="s">
        <v>1044</v>
      </c>
      <c r="L217" s="11" t="s">
        <v>47</v>
      </c>
      <c r="M217" s="9" t="s">
        <v>48</v>
      </c>
      <c r="N217" s="9" t="s">
        <v>48</v>
      </c>
      <c r="O217" s="12" t="s">
        <v>219</v>
      </c>
      <c r="P217" s="6" t="s">
        <v>220</v>
      </c>
      <c r="Q217" s="9" t="s">
        <v>221</v>
      </c>
      <c r="R217" s="13">
        <v>1</v>
      </c>
      <c r="S217" s="9" t="s">
        <v>99</v>
      </c>
      <c r="T217" s="9" t="s">
        <v>53</v>
      </c>
      <c r="U217" s="9" t="s">
        <v>54</v>
      </c>
      <c r="V217" s="9" t="s">
        <v>55</v>
      </c>
      <c r="W217" s="9"/>
      <c r="X217" s="9"/>
      <c r="Y217" s="13">
        <v>81.06</v>
      </c>
      <c r="Z217" s="13">
        <v>1</v>
      </c>
      <c r="AA217" s="9"/>
      <c r="AB217" s="9"/>
      <c r="AC217" s="9"/>
      <c r="AD217" s="9"/>
      <c r="AE217" s="9"/>
      <c r="AF217" s="13">
        <v>81.06</v>
      </c>
      <c r="AG217" s="9"/>
      <c r="AH217" s="9"/>
      <c r="AI217" s="9"/>
      <c r="AJ217" s="9"/>
      <c r="AK217" s="14" t="e">
        <f t="shared" si="0"/>
        <v>#DIV/0!</v>
      </c>
      <c r="AL217" s="9"/>
      <c r="AM217" s="9"/>
      <c r="AN217" s="9"/>
      <c r="AO217" s="6"/>
      <c r="AP217" s="9"/>
      <c r="AQ217" s="9"/>
      <c r="AR217" s="9"/>
      <c r="AS217" s="9"/>
      <c r="AT217" s="9"/>
      <c r="AU217" s="9"/>
      <c r="AV217" s="9"/>
      <c r="AW217" s="9"/>
      <c r="AX217" s="9"/>
      <c r="AY217" s="9"/>
      <c r="AZ217" s="9"/>
      <c r="BA217" s="9"/>
      <c r="BB217" s="9"/>
      <c r="BC217" s="9"/>
      <c r="BD217" s="9"/>
      <c r="BE217" s="9"/>
      <c r="BF217" s="9"/>
      <c r="BG217" s="9"/>
      <c r="BH217" s="9"/>
    </row>
    <row r="218" spans="1:60" ht="12.5" hidden="1">
      <c r="A218" s="6" t="s">
        <v>1045</v>
      </c>
      <c r="B218" s="16">
        <v>45623</v>
      </c>
      <c r="C218" s="8">
        <v>45628</v>
      </c>
      <c r="D218" s="9" t="s">
        <v>41</v>
      </c>
      <c r="E218" s="9" t="s">
        <v>1046</v>
      </c>
      <c r="F218" s="9"/>
      <c r="G218" s="9" t="s">
        <v>43</v>
      </c>
      <c r="H218" s="10">
        <v>13.06</v>
      </c>
      <c r="I218" s="9" t="s">
        <v>44</v>
      </c>
      <c r="J218" s="9" t="s">
        <v>45</v>
      </c>
      <c r="K218" s="9" t="s">
        <v>1047</v>
      </c>
      <c r="L218" s="11" t="s">
        <v>47</v>
      </c>
      <c r="M218" s="9" t="s">
        <v>48</v>
      </c>
      <c r="N218" s="9" t="s">
        <v>48</v>
      </c>
      <c r="O218" s="12" t="s">
        <v>219</v>
      </c>
      <c r="P218" s="6" t="s">
        <v>220</v>
      </c>
      <c r="Q218" s="9" t="s">
        <v>221</v>
      </c>
      <c r="R218" s="13">
        <v>1</v>
      </c>
      <c r="S218" s="9" t="s">
        <v>856</v>
      </c>
      <c r="T218" s="9" t="s">
        <v>53</v>
      </c>
      <c r="U218" s="9" t="s">
        <v>54</v>
      </c>
      <c r="V218" s="9" t="s">
        <v>55</v>
      </c>
      <c r="W218" s="9"/>
      <c r="X218" s="9"/>
      <c r="Y218" s="13">
        <v>76.59</v>
      </c>
      <c r="Z218" s="13">
        <v>1</v>
      </c>
      <c r="AA218" s="9"/>
      <c r="AB218" s="9"/>
      <c r="AC218" s="9"/>
      <c r="AD218" s="9"/>
      <c r="AE218" s="9"/>
      <c r="AF218" s="13">
        <v>76.59</v>
      </c>
      <c r="AG218" s="9"/>
      <c r="AH218" s="9"/>
      <c r="AI218" s="9"/>
      <c r="AJ218" s="9"/>
      <c r="AK218" s="14" t="e">
        <f t="shared" si="0"/>
        <v>#DIV/0!</v>
      </c>
      <c r="AL218" s="9"/>
      <c r="AM218" s="9"/>
      <c r="AN218" s="9"/>
      <c r="AO218" s="6"/>
      <c r="AP218" s="9"/>
      <c r="AQ218" s="9"/>
      <c r="AR218" s="9"/>
      <c r="AS218" s="9"/>
      <c r="AT218" s="9"/>
      <c r="AU218" s="9"/>
      <c r="AV218" s="9"/>
      <c r="AW218" s="9"/>
      <c r="AX218" s="9"/>
      <c r="AY218" s="9"/>
      <c r="AZ218" s="9"/>
      <c r="BA218" s="9"/>
      <c r="BB218" s="9"/>
      <c r="BC218" s="9"/>
      <c r="BD218" s="9"/>
      <c r="BE218" s="9"/>
      <c r="BF218" s="9"/>
      <c r="BG218" s="9"/>
      <c r="BH218" s="9"/>
    </row>
    <row r="219" spans="1:60" ht="12.5" hidden="1">
      <c r="A219" s="6" t="s">
        <v>1048</v>
      </c>
      <c r="B219" s="16">
        <v>45653</v>
      </c>
      <c r="C219" s="8">
        <v>45655</v>
      </c>
      <c r="D219" s="9" t="s">
        <v>41</v>
      </c>
      <c r="E219" s="9" t="s">
        <v>1049</v>
      </c>
      <c r="F219" s="9"/>
      <c r="G219" s="9" t="s">
        <v>43</v>
      </c>
      <c r="H219" s="10">
        <v>13.45</v>
      </c>
      <c r="I219" s="9" t="s">
        <v>44</v>
      </c>
      <c r="J219" s="9" t="s">
        <v>45</v>
      </c>
      <c r="K219" s="9" t="s">
        <v>1050</v>
      </c>
      <c r="L219" s="11" t="s">
        <v>47</v>
      </c>
      <c r="M219" s="9" t="s">
        <v>48</v>
      </c>
      <c r="N219" s="9" t="s">
        <v>48</v>
      </c>
      <c r="O219" s="12" t="s">
        <v>1051</v>
      </c>
      <c r="P219" s="6" t="s">
        <v>1052</v>
      </c>
      <c r="Q219" s="9" t="s">
        <v>1053</v>
      </c>
      <c r="R219" s="13">
        <v>1</v>
      </c>
      <c r="S219" s="9" t="s">
        <v>99</v>
      </c>
      <c r="T219" s="9" t="s">
        <v>53</v>
      </c>
      <c r="U219" s="9" t="s">
        <v>54</v>
      </c>
      <c r="V219" s="9" t="s">
        <v>61</v>
      </c>
      <c r="W219" s="9"/>
      <c r="X219" s="9"/>
      <c r="Y219" s="13">
        <v>81.84</v>
      </c>
      <c r="Z219" s="13">
        <v>1</v>
      </c>
      <c r="AA219" s="9"/>
      <c r="AB219" s="9"/>
      <c r="AC219" s="9"/>
      <c r="AD219" s="9"/>
      <c r="AE219" s="9"/>
      <c r="AF219" s="9"/>
      <c r="AG219" s="9"/>
      <c r="AH219" s="9"/>
      <c r="AI219" s="9">
        <v>1</v>
      </c>
      <c r="AJ219" s="9">
        <v>3</v>
      </c>
      <c r="AK219" s="14">
        <f t="shared" si="0"/>
        <v>0.33333333333333331</v>
      </c>
      <c r="AL219" s="9"/>
      <c r="AM219" s="9"/>
      <c r="AN219" s="9"/>
      <c r="AO219" s="6"/>
      <c r="AP219" s="9"/>
      <c r="AQ219" s="9"/>
      <c r="AR219" s="9"/>
      <c r="AS219" s="9"/>
      <c r="AT219" s="9"/>
      <c r="AU219" s="9"/>
      <c r="AV219" s="9"/>
      <c r="AW219" s="9"/>
      <c r="AX219" s="9"/>
      <c r="AY219" s="9"/>
      <c r="AZ219" s="9"/>
      <c r="BA219" s="9"/>
      <c r="BB219" s="9"/>
      <c r="BC219" s="9"/>
      <c r="BD219" s="9"/>
      <c r="BE219" s="9"/>
      <c r="BF219" s="9"/>
      <c r="BG219" s="9"/>
      <c r="BH219" s="9"/>
    </row>
    <row r="220" spans="1:60" ht="12.5" hidden="1">
      <c r="A220" s="6" t="s">
        <v>1054</v>
      </c>
      <c r="B220" s="16">
        <v>45641</v>
      </c>
      <c r="C220" s="8">
        <v>45647</v>
      </c>
      <c r="D220" s="9" t="s">
        <v>41</v>
      </c>
      <c r="E220" s="9" t="s">
        <v>1055</v>
      </c>
      <c r="F220" s="9"/>
      <c r="G220" s="9" t="s">
        <v>43</v>
      </c>
      <c r="H220" s="10">
        <v>7.6</v>
      </c>
      <c r="I220" s="9" t="s">
        <v>44</v>
      </c>
      <c r="J220" s="9" t="s">
        <v>45</v>
      </c>
      <c r="K220" s="9" t="s">
        <v>1056</v>
      </c>
      <c r="L220" s="11" t="s">
        <v>58</v>
      </c>
      <c r="M220" s="9" t="s">
        <v>48</v>
      </c>
      <c r="N220" s="9" t="s">
        <v>48</v>
      </c>
      <c r="O220" s="12" t="s">
        <v>273</v>
      </c>
      <c r="P220" s="6" t="s">
        <v>274</v>
      </c>
      <c r="Q220" s="9" t="s">
        <v>275</v>
      </c>
      <c r="R220" s="13">
        <v>1</v>
      </c>
      <c r="S220" s="9" t="s">
        <v>75</v>
      </c>
      <c r="T220" s="9" t="s">
        <v>53</v>
      </c>
      <c r="U220" s="9" t="s">
        <v>54</v>
      </c>
      <c r="V220" s="9" t="s">
        <v>61</v>
      </c>
      <c r="W220" s="9"/>
      <c r="X220" s="9"/>
      <c r="Y220" s="13">
        <v>71.099999999999994</v>
      </c>
      <c r="Z220" s="13">
        <v>1</v>
      </c>
      <c r="AA220" s="9"/>
      <c r="AB220" s="9"/>
      <c r="AC220" s="9"/>
      <c r="AD220" s="9"/>
      <c r="AE220" s="9"/>
      <c r="AF220" s="9"/>
      <c r="AG220" s="9"/>
      <c r="AH220" s="9"/>
      <c r="AI220" s="9">
        <v>3</v>
      </c>
      <c r="AJ220" s="9">
        <v>7</v>
      </c>
      <c r="AK220" s="14">
        <f t="shared" si="0"/>
        <v>0.42857142857142855</v>
      </c>
      <c r="AL220" s="9"/>
      <c r="AM220" s="9"/>
      <c r="AN220" s="9"/>
      <c r="AO220" s="6"/>
      <c r="AP220" s="9"/>
      <c r="AQ220" s="9"/>
      <c r="AR220" s="9"/>
      <c r="AS220" s="9"/>
      <c r="AT220" s="9"/>
      <c r="AU220" s="9"/>
      <c r="AV220" s="9"/>
      <c r="AW220" s="9"/>
      <c r="AX220" s="9"/>
      <c r="AY220" s="9"/>
      <c r="AZ220" s="9"/>
      <c r="BA220" s="9"/>
      <c r="BB220" s="9"/>
      <c r="BC220" s="9"/>
      <c r="BD220" s="9"/>
      <c r="BE220" s="9"/>
      <c r="BF220" s="9"/>
      <c r="BG220" s="9"/>
      <c r="BH220" s="9"/>
    </row>
    <row r="221" spans="1:60" ht="12.5" hidden="1">
      <c r="A221" s="6" t="s">
        <v>1057</v>
      </c>
      <c r="B221" s="16">
        <v>45617</v>
      </c>
      <c r="C221" s="8">
        <v>45642</v>
      </c>
      <c r="D221" s="9" t="s">
        <v>41</v>
      </c>
      <c r="E221" s="9" t="s">
        <v>1058</v>
      </c>
      <c r="F221" s="9"/>
      <c r="G221" s="9" t="s">
        <v>43</v>
      </c>
      <c r="H221" s="10">
        <v>7.6</v>
      </c>
      <c r="I221" s="9" t="s">
        <v>44</v>
      </c>
      <c r="J221" s="9" t="s">
        <v>45</v>
      </c>
      <c r="K221" s="9" t="s">
        <v>1059</v>
      </c>
      <c r="L221" s="11" t="s">
        <v>47</v>
      </c>
      <c r="M221" s="9" t="s">
        <v>48</v>
      </c>
      <c r="N221" s="9" t="s">
        <v>48</v>
      </c>
      <c r="O221" s="12" t="s">
        <v>273</v>
      </c>
      <c r="P221" s="6" t="s">
        <v>274</v>
      </c>
      <c r="Q221" s="9" t="s">
        <v>275</v>
      </c>
      <c r="R221" s="13">
        <v>1</v>
      </c>
      <c r="S221" s="9" t="s">
        <v>156</v>
      </c>
      <c r="T221" s="9" t="s">
        <v>53</v>
      </c>
      <c r="U221" s="9" t="s">
        <v>54</v>
      </c>
      <c r="V221" s="9" t="s">
        <v>55</v>
      </c>
      <c r="W221" s="9"/>
      <c r="X221" s="9"/>
      <c r="Y221" s="13">
        <v>68.08</v>
      </c>
      <c r="Z221" s="13">
        <v>1</v>
      </c>
      <c r="AA221" s="9"/>
      <c r="AB221" s="9"/>
      <c r="AC221" s="9"/>
      <c r="AD221" s="9"/>
      <c r="AE221" s="9"/>
      <c r="AF221" s="13">
        <v>68.08</v>
      </c>
      <c r="AG221" s="9"/>
      <c r="AH221" s="9"/>
      <c r="AI221" s="9"/>
      <c r="AJ221" s="9"/>
      <c r="AK221" s="14" t="e">
        <f t="shared" si="0"/>
        <v>#DIV/0!</v>
      </c>
      <c r="AL221" s="9"/>
      <c r="AM221" s="9"/>
      <c r="AN221" s="9"/>
      <c r="AO221" s="6"/>
      <c r="AP221" s="9"/>
      <c r="AQ221" s="9"/>
      <c r="AR221" s="9"/>
      <c r="AS221" s="9"/>
      <c r="AT221" s="9"/>
      <c r="AU221" s="9"/>
      <c r="AV221" s="9"/>
      <c r="AW221" s="9"/>
      <c r="AX221" s="9"/>
      <c r="AY221" s="9"/>
      <c r="AZ221" s="9"/>
      <c r="BA221" s="9"/>
      <c r="BB221" s="9"/>
      <c r="BC221" s="9"/>
      <c r="BD221" s="9"/>
      <c r="BE221" s="9"/>
      <c r="BF221" s="9"/>
      <c r="BG221" s="9"/>
      <c r="BH221" s="9"/>
    </row>
    <row r="222" spans="1:60" ht="12.5" hidden="1">
      <c r="A222" s="6" t="s">
        <v>1060</v>
      </c>
      <c r="B222" s="16">
        <v>45635</v>
      </c>
      <c r="C222" s="8">
        <v>45639</v>
      </c>
      <c r="D222" s="9" t="s">
        <v>41</v>
      </c>
      <c r="E222" s="9" t="s">
        <v>1061</v>
      </c>
      <c r="F222" s="9"/>
      <c r="G222" s="9" t="s">
        <v>43</v>
      </c>
      <c r="H222" s="10">
        <v>9.65</v>
      </c>
      <c r="I222" s="9" t="s">
        <v>44</v>
      </c>
      <c r="J222" s="9" t="s">
        <v>45</v>
      </c>
      <c r="K222" s="9" t="s">
        <v>1062</v>
      </c>
      <c r="L222" s="11" t="s">
        <v>47</v>
      </c>
      <c r="M222" s="9" t="s">
        <v>48</v>
      </c>
      <c r="N222" s="9" t="s">
        <v>48</v>
      </c>
      <c r="O222" s="12" t="s">
        <v>273</v>
      </c>
      <c r="P222" s="6" t="s">
        <v>274</v>
      </c>
      <c r="Q222" s="9" t="s">
        <v>275</v>
      </c>
      <c r="R222" s="13">
        <v>1</v>
      </c>
      <c r="S222" s="9" t="s">
        <v>52</v>
      </c>
      <c r="T222" s="9" t="s">
        <v>53</v>
      </c>
      <c r="U222" s="9" t="s">
        <v>54</v>
      </c>
      <c r="V222" s="9" t="s">
        <v>240</v>
      </c>
      <c r="W222" s="9"/>
      <c r="X222" s="9"/>
      <c r="Y222" s="13">
        <v>67.63</v>
      </c>
      <c r="Z222" s="13">
        <v>1</v>
      </c>
      <c r="AA222" s="9"/>
      <c r="AB222" s="9"/>
      <c r="AC222" s="9"/>
      <c r="AD222" s="9"/>
      <c r="AE222" s="9"/>
      <c r="AF222" s="13">
        <v>67.63</v>
      </c>
      <c r="AG222" s="9"/>
      <c r="AH222" s="9"/>
      <c r="AI222" s="9"/>
      <c r="AJ222" s="9"/>
      <c r="AK222" s="14" t="e">
        <f t="shared" si="0"/>
        <v>#DIV/0!</v>
      </c>
      <c r="AL222" s="9"/>
      <c r="AM222" s="9"/>
      <c r="AN222" s="9"/>
      <c r="AO222" s="6"/>
      <c r="AP222" s="9"/>
      <c r="AQ222" s="9"/>
      <c r="AR222" s="9"/>
      <c r="AS222" s="9"/>
      <c r="AT222" s="9"/>
      <c r="AU222" s="9"/>
      <c r="AV222" s="9"/>
      <c r="AW222" s="9"/>
      <c r="AX222" s="9"/>
      <c r="AY222" s="9"/>
      <c r="AZ222" s="9"/>
      <c r="BA222" s="9"/>
      <c r="BB222" s="9"/>
      <c r="BC222" s="9"/>
      <c r="BD222" s="9"/>
      <c r="BE222" s="9"/>
      <c r="BF222" s="9"/>
      <c r="BG222" s="9"/>
      <c r="BH222" s="9"/>
    </row>
    <row r="223" spans="1:60" ht="12.5" hidden="1">
      <c r="A223" s="6" t="s">
        <v>1063</v>
      </c>
      <c r="B223" s="16">
        <v>45640</v>
      </c>
      <c r="C223" s="8">
        <v>45645</v>
      </c>
      <c r="D223" s="9" t="s">
        <v>41</v>
      </c>
      <c r="E223" s="9" t="s">
        <v>1064</v>
      </c>
      <c r="F223" s="9"/>
      <c r="G223" s="9" t="s">
        <v>43</v>
      </c>
      <c r="H223" s="10">
        <v>10.26</v>
      </c>
      <c r="I223" s="9" t="s">
        <v>44</v>
      </c>
      <c r="J223" s="9" t="s">
        <v>45</v>
      </c>
      <c r="K223" s="9" t="s">
        <v>1065</v>
      </c>
      <c r="L223" s="11" t="s">
        <v>47</v>
      </c>
      <c r="M223" s="9" t="s">
        <v>48</v>
      </c>
      <c r="N223" s="9" t="s">
        <v>48</v>
      </c>
      <c r="O223" s="12" t="s">
        <v>1066</v>
      </c>
      <c r="P223" s="6" t="s">
        <v>1067</v>
      </c>
      <c r="Q223" s="9" t="s">
        <v>1068</v>
      </c>
      <c r="R223" s="13">
        <v>1</v>
      </c>
      <c r="S223" s="9" t="s">
        <v>92</v>
      </c>
      <c r="T223" s="9" t="s">
        <v>53</v>
      </c>
      <c r="U223" s="9" t="s">
        <v>54</v>
      </c>
      <c r="V223" s="9" t="s">
        <v>61</v>
      </c>
      <c r="W223" s="9"/>
      <c r="X223" s="9"/>
      <c r="Y223" s="13">
        <v>70.95</v>
      </c>
      <c r="Z223" s="13">
        <v>1</v>
      </c>
      <c r="AA223" s="9"/>
      <c r="AB223" s="9"/>
      <c r="AC223" s="9"/>
      <c r="AD223" s="9"/>
      <c r="AE223" s="9"/>
      <c r="AF223" s="9"/>
      <c r="AG223" s="9"/>
      <c r="AH223" s="9"/>
      <c r="AI223" s="9">
        <v>1</v>
      </c>
      <c r="AJ223" s="9">
        <v>12</v>
      </c>
      <c r="AK223" s="14">
        <f t="shared" si="0"/>
        <v>8.3333333333333329E-2</v>
      </c>
      <c r="AL223" s="9"/>
      <c r="AM223" s="9"/>
      <c r="AN223" s="9"/>
      <c r="AO223" s="6"/>
      <c r="AP223" s="9"/>
      <c r="AQ223" s="9"/>
      <c r="AR223" s="9"/>
      <c r="AS223" s="9"/>
      <c r="AT223" s="9"/>
      <c r="AU223" s="9"/>
      <c r="AV223" s="9"/>
      <c r="AW223" s="9"/>
      <c r="AX223" s="9"/>
      <c r="AY223" s="9"/>
      <c r="AZ223" s="9"/>
      <c r="BA223" s="9"/>
      <c r="BB223" s="9"/>
      <c r="BC223" s="9"/>
      <c r="BD223" s="9"/>
      <c r="BE223" s="9"/>
      <c r="BF223" s="9"/>
      <c r="BG223" s="9"/>
      <c r="BH223" s="9"/>
    </row>
    <row r="224" spans="1:60" ht="12.5" hidden="1">
      <c r="A224" s="6" t="s">
        <v>1069</v>
      </c>
      <c r="B224" s="16">
        <v>45628</v>
      </c>
      <c r="C224" s="8">
        <v>45636</v>
      </c>
      <c r="D224" s="9" t="s">
        <v>41</v>
      </c>
      <c r="E224" s="9"/>
      <c r="F224" s="9"/>
      <c r="G224" s="9" t="s">
        <v>137</v>
      </c>
      <c r="H224" s="10">
        <v>0</v>
      </c>
      <c r="I224" s="9"/>
      <c r="J224" s="9"/>
      <c r="K224" s="9"/>
      <c r="L224" s="11" t="s">
        <v>47</v>
      </c>
      <c r="M224" s="9" t="s">
        <v>48</v>
      </c>
      <c r="N224" s="9" t="s">
        <v>48</v>
      </c>
      <c r="O224" s="12" t="s">
        <v>277</v>
      </c>
      <c r="P224" s="6" t="s">
        <v>278</v>
      </c>
      <c r="Q224" s="9" t="s">
        <v>279</v>
      </c>
      <c r="R224" s="13">
        <v>1</v>
      </c>
      <c r="S224" s="9" t="s">
        <v>52</v>
      </c>
      <c r="T224" s="9" t="s">
        <v>53</v>
      </c>
      <c r="U224" s="9" t="s">
        <v>54</v>
      </c>
      <c r="V224" s="9" t="s">
        <v>141</v>
      </c>
      <c r="W224" s="9"/>
      <c r="X224" s="9"/>
      <c r="Y224" s="13">
        <v>30.26</v>
      </c>
      <c r="Z224" s="13">
        <v>1</v>
      </c>
      <c r="AA224" s="9"/>
      <c r="AB224" s="9"/>
      <c r="AC224" s="9"/>
      <c r="AD224" s="9"/>
      <c r="AE224" s="9"/>
      <c r="AF224" s="13">
        <v>30.26</v>
      </c>
      <c r="AG224" s="9"/>
      <c r="AH224" s="9"/>
      <c r="AI224" s="9">
        <v>1</v>
      </c>
      <c r="AJ224" s="9">
        <v>1</v>
      </c>
      <c r="AK224" s="14">
        <f t="shared" si="0"/>
        <v>1</v>
      </c>
      <c r="AL224" s="9"/>
      <c r="AM224" s="9"/>
      <c r="AN224" s="9"/>
      <c r="AO224" s="6"/>
      <c r="AP224" s="9"/>
      <c r="AQ224" s="9"/>
      <c r="AR224" s="9"/>
      <c r="AS224" s="9"/>
      <c r="AT224" s="9"/>
      <c r="AU224" s="9"/>
      <c r="AV224" s="9"/>
      <c r="AW224" s="9"/>
      <c r="AX224" s="9"/>
      <c r="AY224" s="9"/>
      <c r="AZ224" s="9"/>
      <c r="BA224" s="9"/>
      <c r="BB224" s="9"/>
      <c r="BC224" s="9"/>
      <c r="BD224" s="9"/>
      <c r="BE224" s="9"/>
      <c r="BF224" s="9"/>
      <c r="BG224" s="9"/>
      <c r="BH224" s="9"/>
    </row>
    <row r="225" spans="1:60" ht="13" hidden="1">
      <c r="A225" s="6" t="s">
        <v>1070</v>
      </c>
      <c r="B225" s="16">
        <v>45628</v>
      </c>
      <c r="C225" s="8">
        <v>45646</v>
      </c>
      <c r="D225" s="9" t="s">
        <v>41</v>
      </c>
      <c r="E225" s="9" t="s">
        <v>1071</v>
      </c>
      <c r="F225" s="9"/>
      <c r="G225" s="9" t="s">
        <v>43</v>
      </c>
      <c r="H225" s="19">
        <v>65.540000000000006</v>
      </c>
      <c r="I225" s="9" t="s">
        <v>44</v>
      </c>
      <c r="J225" s="9" t="s">
        <v>45</v>
      </c>
      <c r="K225" s="9" t="s">
        <v>1072</v>
      </c>
      <c r="L225" s="11" t="s">
        <v>47</v>
      </c>
      <c r="M225" s="9" t="s">
        <v>48</v>
      </c>
      <c r="N225" s="9" t="s">
        <v>48</v>
      </c>
      <c r="O225" s="12" t="s">
        <v>283</v>
      </c>
      <c r="P225" s="6" t="s">
        <v>284</v>
      </c>
      <c r="Q225" s="9" t="s">
        <v>285</v>
      </c>
      <c r="R225" s="13">
        <v>1</v>
      </c>
      <c r="S225" s="9" t="s">
        <v>52</v>
      </c>
      <c r="T225" s="9" t="s">
        <v>53</v>
      </c>
      <c r="U225" s="9" t="s">
        <v>54</v>
      </c>
      <c r="V225" s="9" t="s">
        <v>61</v>
      </c>
      <c r="W225" s="9"/>
      <c r="X225" s="9"/>
      <c r="Y225" s="13">
        <v>156.76</v>
      </c>
      <c r="Z225" s="13">
        <v>1</v>
      </c>
      <c r="AA225" s="9"/>
      <c r="AB225" s="9"/>
      <c r="AC225" s="9"/>
      <c r="AD225" s="9"/>
      <c r="AE225" s="9"/>
      <c r="AF225" s="9"/>
      <c r="AG225" s="9"/>
      <c r="AH225" s="9"/>
      <c r="AI225" s="9">
        <v>1</v>
      </c>
      <c r="AJ225" s="9">
        <v>19</v>
      </c>
      <c r="AK225" s="14">
        <f t="shared" si="0"/>
        <v>5.2631578947368418E-2</v>
      </c>
      <c r="AL225" s="9"/>
      <c r="AM225" s="9"/>
      <c r="AN225" s="9"/>
      <c r="AO225" s="6"/>
      <c r="AP225" s="9"/>
      <c r="AQ225" s="9"/>
      <c r="AR225" s="9"/>
      <c r="AS225" s="9"/>
      <c r="AT225" s="9"/>
      <c r="AU225" s="9"/>
      <c r="AV225" s="9"/>
      <c r="AW225" s="9"/>
      <c r="AX225" s="9"/>
      <c r="AY225" s="9"/>
      <c r="AZ225" s="9"/>
      <c r="BA225" s="9"/>
      <c r="BB225" s="9"/>
      <c r="BC225" s="9"/>
      <c r="BD225" s="9"/>
      <c r="BE225" s="9"/>
      <c r="BF225" s="9"/>
      <c r="BG225" s="9"/>
      <c r="BH225" s="9"/>
    </row>
    <row r="226" spans="1:60" ht="12.5" hidden="1">
      <c r="A226" s="6" t="s">
        <v>1073</v>
      </c>
      <c r="B226" s="16">
        <v>45638</v>
      </c>
      <c r="C226" s="8">
        <v>45648</v>
      </c>
      <c r="D226" s="9" t="s">
        <v>41</v>
      </c>
      <c r="E226" s="9"/>
      <c r="F226" s="9"/>
      <c r="G226" s="9" t="s">
        <v>137</v>
      </c>
      <c r="H226" s="10">
        <v>0</v>
      </c>
      <c r="I226" s="9"/>
      <c r="J226" s="9"/>
      <c r="K226" s="9"/>
      <c r="L226" s="11" t="s">
        <v>58</v>
      </c>
      <c r="M226" s="9" t="s">
        <v>48</v>
      </c>
      <c r="N226" s="9" t="s">
        <v>48</v>
      </c>
      <c r="O226" s="12" t="s">
        <v>293</v>
      </c>
      <c r="P226" s="6" t="s">
        <v>294</v>
      </c>
      <c r="Q226" s="9" t="s">
        <v>295</v>
      </c>
      <c r="R226" s="13">
        <v>1</v>
      </c>
      <c r="S226" s="9" t="s">
        <v>68</v>
      </c>
      <c r="T226" s="9" t="s">
        <v>53</v>
      </c>
      <c r="U226" s="9" t="s">
        <v>54</v>
      </c>
      <c r="V226" s="9" t="s">
        <v>141</v>
      </c>
      <c r="W226" s="9"/>
      <c r="X226" s="9"/>
      <c r="Y226" s="13">
        <v>19.079999999999998</v>
      </c>
      <c r="Z226" s="13">
        <v>1</v>
      </c>
      <c r="AA226" s="9"/>
      <c r="AB226" s="9"/>
      <c r="AC226" s="9"/>
      <c r="AD226" s="9"/>
      <c r="AE226" s="9"/>
      <c r="AF226" s="13">
        <v>19.079999999999998</v>
      </c>
      <c r="AG226" s="9"/>
      <c r="AH226" s="9"/>
      <c r="AI226" s="9">
        <v>1</v>
      </c>
      <c r="AJ226" s="9">
        <v>3</v>
      </c>
      <c r="AK226" s="14">
        <f t="shared" si="0"/>
        <v>0.33333333333333331</v>
      </c>
      <c r="AL226" s="9"/>
      <c r="AM226" s="9"/>
      <c r="AN226" s="9"/>
      <c r="AO226" s="6"/>
      <c r="AP226" s="9"/>
      <c r="AQ226" s="9"/>
      <c r="AR226" s="9"/>
      <c r="AS226" s="9"/>
      <c r="AT226" s="9"/>
      <c r="AU226" s="9"/>
      <c r="AV226" s="9"/>
      <c r="AW226" s="9"/>
      <c r="AX226" s="9"/>
      <c r="AY226" s="9"/>
      <c r="AZ226" s="9"/>
      <c r="BA226" s="9"/>
      <c r="BB226" s="9"/>
      <c r="BC226" s="9"/>
      <c r="BD226" s="9"/>
      <c r="BE226" s="9"/>
      <c r="BF226" s="9"/>
      <c r="BG226" s="9"/>
      <c r="BH226" s="9"/>
    </row>
    <row r="227" spans="1:60" ht="15" hidden="1" customHeight="1">
      <c r="A227" s="6" t="s">
        <v>1074</v>
      </c>
      <c r="B227" s="16">
        <v>45618</v>
      </c>
      <c r="C227" s="8">
        <v>45630</v>
      </c>
      <c r="D227" s="9" t="s">
        <v>41</v>
      </c>
      <c r="E227" s="9" t="s">
        <v>1075</v>
      </c>
      <c r="F227" s="9"/>
      <c r="G227" s="9" t="s">
        <v>43</v>
      </c>
      <c r="H227" s="10">
        <v>11.74</v>
      </c>
      <c r="I227" s="9" t="s">
        <v>44</v>
      </c>
      <c r="J227" s="9" t="s">
        <v>45</v>
      </c>
      <c r="K227" s="9" t="s">
        <v>1076</v>
      </c>
      <c r="L227" s="11" t="s">
        <v>47</v>
      </c>
      <c r="M227" s="9" t="s">
        <v>48</v>
      </c>
      <c r="N227" s="9" t="s">
        <v>48</v>
      </c>
      <c r="O227" s="12" t="s">
        <v>1077</v>
      </c>
      <c r="P227" s="6" t="s">
        <v>1078</v>
      </c>
      <c r="Q227" s="9" t="s">
        <v>1079</v>
      </c>
      <c r="R227" s="13">
        <v>1</v>
      </c>
      <c r="S227" s="9" t="s">
        <v>82</v>
      </c>
      <c r="T227" s="9" t="s">
        <v>53</v>
      </c>
      <c r="U227" s="9" t="s">
        <v>54</v>
      </c>
      <c r="V227" s="9" t="s">
        <v>55</v>
      </c>
      <c r="W227" s="9"/>
      <c r="X227" s="9"/>
      <c r="Y227" s="13">
        <v>223.9</v>
      </c>
      <c r="Z227" s="13">
        <v>2</v>
      </c>
      <c r="AA227" s="9"/>
      <c r="AB227" s="9"/>
      <c r="AC227" s="9"/>
      <c r="AD227" s="9"/>
      <c r="AE227" s="9"/>
      <c r="AF227" s="13">
        <v>111.95</v>
      </c>
      <c r="AG227" s="9"/>
      <c r="AH227" s="9"/>
      <c r="AI227" s="9">
        <v>1</v>
      </c>
      <c r="AJ227" s="9">
        <v>0</v>
      </c>
      <c r="AK227" s="14" t="e">
        <f t="shared" si="0"/>
        <v>#DIV/0!</v>
      </c>
      <c r="AL227" s="9"/>
      <c r="AM227" s="9"/>
      <c r="AN227" s="9"/>
      <c r="AO227" s="6"/>
      <c r="AP227" s="9"/>
      <c r="AQ227" s="9"/>
      <c r="AR227" s="9"/>
      <c r="AS227" s="9"/>
      <c r="AT227" s="9"/>
      <c r="AU227" s="9"/>
      <c r="AV227" s="9"/>
      <c r="AW227" s="9"/>
      <c r="AX227" s="9"/>
      <c r="AY227" s="9"/>
      <c r="AZ227" s="9"/>
      <c r="BA227" s="9"/>
      <c r="BB227" s="9"/>
      <c r="BC227" s="9"/>
      <c r="BD227" s="9"/>
      <c r="BE227" s="9"/>
      <c r="BF227" s="9"/>
      <c r="BG227" s="9"/>
      <c r="BH227" s="9"/>
    </row>
    <row r="228" spans="1:60" ht="12.5" hidden="1">
      <c r="A228" s="6" t="s">
        <v>1080</v>
      </c>
      <c r="B228" s="16">
        <v>45640</v>
      </c>
      <c r="C228" s="8">
        <v>45655</v>
      </c>
      <c r="D228" s="9" t="s">
        <v>41</v>
      </c>
      <c r="E228" s="9" t="s">
        <v>1081</v>
      </c>
      <c r="F228" s="9"/>
      <c r="G228" s="9" t="s">
        <v>43</v>
      </c>
      <c r="H228" s="10">
        <v>5.26</v>
      </c>
      <c r="I228" s="9" t="s">
        <v>44</v>
      </c>
      <c r="J228" s="9" t="s">
        <v>249</v>
      </c>
      <c r="K228" s="9" t="s">
        <v>1082</v>
      </c>
      <c r="L228" s="11" t="s">
        <v>47</v>
      </c>
      <c r="M228" s="9" t="s">
        <v>48</v>
      </c>
      <c r="N228" s="9" t="s">
        <v>48</v>
      </c>
      <c r="O228" s="12" t="s">
        <v>299</v>
      </c>
      <c r="P228" s="6" t="s">
        <v>300</v>
      </c>
      <c r="Q228" s="9" t="s">
        <v>301</v>
      </c>
      <c r="R228" s="13">
        <v>1</v>
      </c>
      <c r="S228" s="9" t="s">
        <v>184</v>
      </c>
      <c r="T228" s="9" t="s">
        <v>53</v>
      </c>
      <c r="U228" s="9" t="s">
        <v>54</v>
      </c>
      <c r="V228" s="9" t="s">
        <v>61</v>
      </c>
      <c r="W228" s="9"/>
      <c r="X228" s="9"/>
      <c r="Y228" s="13">
        <v>21.62</v>
      </c>
      <c r="Z228" s="13">
        <v>1</v>
      </c>
      <c r="AA228" s="9"/>
      <c r="AB228" s="9"/>
      <c r="AC228" s="9"/>
      <c r="AD228" s="9"/>
      <c r="AE228" s="9"/>
      <c r="AF228" s="9"/>
      <c r="AG228" s="9"/>
      <c r="AH228" s="9"/>
      <c r="AI228" s="9">
        <v>11</v>
      </c>
      <c r="AJ228" s="9">
        <v>330</v>
      </c>
      <c r="AK228" s="14">
        <f t="shared" si="0"/>
        <v>3.3333333333333333E-2</v>
      </c>
      <c r="AL228" s="9"/>
      <c r="AM228" s="9"/>
      <c r="AN228" s="9"/>
      <c r="AO228" s="6"/>
      <c r="AP228" s="9"/>
      <c r="AQ228" s="9"/>
      <c r="AR228" s="9"/>
      <c r="AS228" s="9"/>
      <c r="AT228" s="9"/>
      <c r="AU228" s="9"/>
      <c r="AV228" s="9"/>
      <c r="AW228" s="9"/>
      <c r="AX228" s="9"/>
      <c r="AY228" s="9"/>
      <c r="AZ228" s="9"/>
      <c r="BA228" s="9"/>
      <c r="BB228" s="9"/>
      <c r="BC228" s="9"/>
      <c r="BD228" s="9"/>
      <c r="BE228" s="9"/>
      <c r="BF228" s="9"/>
      <c r="BG228" s="9"/>
      <c r="BH228" s="9"/>
    </row>
    <row r="229" spans="1:60" ht="12.5" hidden="1">
      <c r="A229" s="6" t="s">
        <v>1083</v>
      </c>
      <c r="B229" s="16">
        <v>45641</v>
      </c>
      <c r="C229" s="8">
        <v>45653</v>
      </c>
      <c r="D229" s="9" t="s">
        <v>41</v>
      </c>
      <c r="E229" s="9" t="s">
        <v>1084</v>
      </c>
      <c r="F229" s="9"/>
      <c r="G229" s="9" t="s">
        <v>43</v>
      </c>
      <c r="H229" s="10">
        <v>5.56</v>
      </c>
      <c r="I229" s="9" t="s">
        <v>44</v>
      </c>
      <c r="J229" s="9" t="s">
        <v>249</v>
      </c>
      <c r="K229" s="9" t="s">
        <v>1085</v>
      </c>
      <c r="L229" s="11" t="s">
        <v>47</v>
      </c>
      <c r="M229" s="9" t="s">
        <v>48</v>
      </c>
      <c r="N229" s="9" t="s">
        <v>48</v>
      </c>
      <c r="O229" s="12" t="s">
        <v>299</v>
      </c>
      <c r="P229" s="6" t="s">
        <v>300</v>
      </c>
      <c r="Q229" s="9" t="s">
        <v>301</v>
      </c>
      <c r="R229" s="13">
        <v>1</v>
      </c>
      <c r="S229" s="9" t="s">
        <v>184</v>
      </c>
      <c r="T229" s="9" t="s">
        <v>53</v>
      </c>
      <c r="U229" s="9" t="s">
        <v>54</v>
      </c>
      <c r="V229" s="9" t="s">
        <v>61</v>
      </c>
      <c r="W229" s="9"/>
      <c r="X229" s="9"/>
      <c r="Y229" s="13">
        <v>21.17</v>
      </c>
      <c r="Z229" s="13">
        <v>1</v>
      </c>
      <c r="AA229" s="9"/>
      <c r="AB229" s="9"/>
      <c r="AC229" s="9"/>
      <c r="AD229" s="9"/>
      <c r="AE229" s="9"/>
      <c r="AF229" s="9"/>
      <c r="AG229" s="9"/>
      <c r="AH229" s="9"/>
      <c r="AI229" s="9"/>
      <c r="AJ229" s="9"/>
      <c r="AK229" s="14" t="e">
        <f t="shared" si="0"/>
        <v>#DIV/0!</v>
      </c>
      <c r="AL229" s="9"/>
      <c r="AM229" s="9"/>
      <c r="AN229" s="9"/>
      <c r="AO229" s="6"/>
      <c r="AP229" s="9"/>
      <c r="AQ229" s="9"/>
      <c r="AR229" s="9"/>
      <c r="AS229" s="9"/>
      <c r="AT229" s="9"/>
      <c r="AU229" s="9"/>
      <c r="AV229" s="9"/>
      <c r="AW229" s="9"/>
      <c r="AX229" s="9"/>
      <c r="AY229" s="9"/>
      <c r="AZ229" s="9"/>
      <c r="BA229" s="9"/>
      <c r="BB229" s="9"/>
      <c r="BC229" s="9"/>
      <c r="BD229" s="9"/>
      <c r="BE229" s="9"/>
      <c r="BF229" s="9"/>
      <c r="BG229" s="9"/>
      <c r="BH229" s="9"/>
    </row>
    <row r="230" spans="1:60" ht="12.5" hidden="1">
      <c r="A230" s="6" t="s">
        <v>1086</v>
      </c>
      <c r="B230" s="16">
        <v>45636</v>
      </c>
      <c r="C230" s="8">
        <v>45651</v>
      </c>
      <c r="D230" s="9" t="s">
        <v>41</v>
      </c>
      <c r="E230" s="9" t="s">
        <v>1087</v>
      </c>
      <c r="F230" s="9"/>
      <c r="G230" s="9" t="s">
        <v>43</v>
      </c>
      <c r="H230" s="10">
        <v>5.56</v>
      </c>
      <c r="I230" s="9" t="s">
        <v>44</v>
      </c>
      <c r="J230" s="9" t="s">
        <v>249</v>
      </c>
      <c r="K230" s="9" t="s">
        <v>1088</v>
      </c>
      <c r="L230" s="11" t="s">
        <v>47</v>
      </c>
      <c r="M230" s="9" t="s">
        <v>48</v>
      </c>
      <c r="N230" s="9" t="s">
        <v>48</v>
      </c>
      <c r="O230" s="12" t="s">
        <v>299</v>
      </c>
      <c r="P230" s="6" t="s">
        <v>300</v>
      </c>
      <c r="Q230" s="9" t="s">
        <v>301</v>
      </c>
      <c r="R230" s="13">
        <v>1</v>
      </c>
      <c r="S230" s="9" t="s">
        <v>99</v>
      </c>
      <c r="T230" s="9" t="s">
        <v>53</v>
      </c>
      <c r="U230" s="9" t="s">
        <v>54</v>
      </c>
      <c r="V230" s="9" t="s">
        <v>55</v>
      </c>
      <c r="W230" s="9"/>
      <c r="X230" s="9"/>
      <c r="Y230" s="13">
        <v>21.17</v>
      </c>
      <c r="Z230" s="13">
        <v>1</v>
      </c>
      <c r="AA230" s="9"/>
      <c r="AB230" s="9"/>
      <c r="AC230" s="9"/>
      <c r="AD230" s="9"/>
      <c r="AE230" s="9"/>
      <c r="AF230" s="13">
        <v>21.17</v>
      </c>
      <c r="AG230" s="9"/>
      <c r="AH230" s="9"/>
      <c r="AI230" s="9"/>
      <c r="AJ230" s="9"/>
      <c r="AK230" s="14" t="e">
        <f t="shared" si="0"/>
        <v>#DIV/0!</v>
      </c>
      <c r="AL230" s="9"/>
      <c r="AM230" s="9"/>
      <c r="AN230" s="9"/>
      <c r="AO230" s="6"/>
      <c r="AP230" s="9"/>
      <c r="AQ230" s="9"/>
      <c r="AR230" s="9"/>
      <c r="AS230" s="9"/>
      <c r="AT230" s="9"/>
      <c r="AU230" s="9"/>
      <c r="AV230" s="9"/>
      <c r="AW230" s="9"/>
      <c r="AX230" s="9"/>
      <c r="AY230" s="9"/>
      <c r="AZ230" s="9"/>
      <c r="BA230" s="9"/>
      <c r="BB230" s="9"/>
      <c r="BC230" s="9"/>
      <c r="BD230" s="9"/>
      <c r="BE230" s="9"/>
      <c r="BF230" s="9"/>
      <c r="BG230" s="9"/>
      <c r="BH230" s="9"/>
    </row>
    <row r="231" spans="1:60" ht="12.5" hidden="1">
      <c r="A231" s="6" t="s">
        <v>1089</v>
      </c>
      <c r="B231" s="16">
        <v>45627</v>
      </c>
      <c r="C231" s="8">
        <v>45648</v>
      </c>
      <c r="D231" s="9" t="s">
        <v>41</v>
      </c>
      <c r="E231" s="9" t="s">
        <v>1090</v>
      </c>
      <c r="F231" s="9"/>
      <c r="G231" s="9" t="s">
        <v>43</v>
      </c>
      <c r="H231" s="10">
        <v>5.01</v>
      </c>
      <c r="I231" s="9" t="s">
        <v>44</v>
      </c>
      <c r="J231" s="9" t="s">
        <v>249</v>
      </c>
      <c r="K231" s="9" t="s">
        <v>1091</v>
      </c>
      <c r="L231" s="11" t="s">
        <v>47</v>
      </c>
      <c r="M231" s="9" t="s">
        <v>48</v>
      </c>
      <c r="N231" s="9" t="s">
        <v>48</v>
      </c>
      <c r="O231" s="12" t="s">
        <v>299</v>
      </c>
      <c r="P231" s="6" t="s">
        <v>300</v>
      </c>
      <c r="Q231" s="9" t="s">
        <v>301</v>
      </c>
      <c r="R231" s="13">
        <v>1</v>
      </c>
      <c r="S231" s="9" t="s">
        <v>82</v>
      </c>
      <c r="T231" s="9" t="s">
        <v>53</v>
      </c>
      <c r="U231" s="9" t="s">
        <v>54</v>
      </c>
      <c r="V231" s="9" t="s">
        <v>61</v>
      </c>
      <c r="W231" s="9"/>
      <c r="X231" s="9"/>
      <c r="Y231" s="13">
        <v>19.63</v>
      </c>
      <c r="Z231" s="13">
        <v>1</v>
      </c>
      <c r="AA231" s="9"/>
      <c r="AB231" s="9"/>
      <c r="AC231" s="9"/>
      <c r="AD231" s="9"/>
      <c r="AE231" s="9"/>
      <c r="AF231" s="9"/>
      <c r="AG231" s="9"/>
      <c r="AH231" s="9"/>
      <c r="AI231" s="9"/>
      <c r="AJ231" s="9"/>
      <c r="AK231" s="14" t="e">
        <f t="shared" si="0"/>
        <v>#DIV/0!</v>
      </c>
      <c r="AL231" s="9"/>
      <c r="AM231" s="9"/>
      <c r="AN231" s="9"/>
      <c r="AO231" s="6"/>
      <c r="AP231" s="9"/>
      <c r="AQ231" s="9"/>
      <c r="AR231" s="9"/>
      <c r="AS231" s="9"/>
      <c r="AT231" s="9"/>
      <c r="AU231" s="9"/>
      <c r="AV231" s="9"/>
      <c r="AW231" s="9"/>
      <c r="AX231" s="9"/>
      <c r="AY231" s="9"/>
      <c r="AZ231" s="9"/>
      <c r="BA231" s="9"/>
      <c r="BB231" s="9"/>
      <c r="BC231" s="9"/>
      <c r="BD231" s="9"/>
      <c r="BE231" s="9"/>
      <c r="BF231" s="9"/>
      <c r="BG231" s="9"/>
      <c r="BH231" s="9"/>
    </row>
    <row r="232" spans="1:60" ht="12.5" hidden="1">
      <c r="A232" s="6" t="s">
        <v>1092</v>
      </c>
      <c r="B232" s="16">
        <v>45636</v>
      </c>
      <c r="C232" s="8">
        <v>45646</v>
      </c>
      <c r="D232" s="9" t="s">
        <v>41</v>
      </c>
      <c r="E232" s="9" t="s">
        <v>1093</v>
      </c>
      <c r="F232" s="9"/>
      <c r="G232" s="9" t="s">
        <v>43</v>
      </c>
      <c r="H232" s="10">
        <v>5.09</v>
      </c>
      <c r="I232" s="9" t="s">
        <v>44</v>
      </c>
      <c r="J232" s="9" t="s">
        <v>249</v>
      </c>
      <c r="K232" s="9" t="s">
        <v>1094</v>
      </c>
      <c r="L232" s="11" t="s">
        <v>58</v>
      </c>
      <c r="M232" s="9" t="s">
        <v>48</v>
      </c>
      <c r="N232" s="9" t="s">
        <v>48</v>
      </c>
      <c r="O232" s="12" t="s">
        <v>299</v>
      </c>
      <c r="P232" s="6" t="s">
        <v>300</v>
      </c>
      <c r="Q232" s="9" t="s">
        <v>301</v>
      </c>
      <c r="R232" s="13">
        <v>1</v>
      </c>
      <c r="S232" s="9" t="s">
        <v>68</v>
      </c>
      <c r="T232" s="9" t="s">
        <v>53</v>
      </c>
      <c r="U232" s="9" t="s">
        <v>54</v>
      </c>
      <c r="V232" s="9" t="s">
        <v>61</v>
      </c>
      <c r="W232" s="9"/>
      <c r="X232" s="9"/>
      <c r="Y232" s="13">
        <v>21.7</v>
      </c>
      <c r="Z232" s="13">
        <v>1</v>
      </c>
      <c r="AA232" s="9"/>
      <c r="AB232" s="9"/>
      <c r="AC232" s="9"/>
      <c r="AD232" s="9"/>
      <c r="AE232" s="9"/>
      <c r="AF232" s="9"/>
      <c r="AG232" s="9"/>
      <c r="AH232" s="9"/>
      <c r="AI232" s="9"/>
      <c r="AJ232" s="9"/>
      <c r="AK232" s="14" t="e">
        <f t="shared" si="0"/>
        <v>#DIV/0!</v>
      </c>
      <c r="AL232" s="9"/>
      <c r="AM232" s="9"/>
      <c r="AN232" s="9"/>
      <c r="AO232" s="6"/>
      <c r="AP232" s="9"/>
      <c r="AQ232" s="9"/>
      <c r="AR232" s="9"/>
      <c r="AS232" s="9"/>
      <c r="AT232" s="9"/>
      <c r="AU232" s="9"/>
      <c r="AV232" s="9"/>
      <c r="AW232" s="9"/>
      <c r="AX232" s="9"/>
      <c r="AY232" s="9"/>
      <c r="AZ232" s="9"/>
      <c r="BA232" s="9"/>
      <c r="BB232" s="9"/>
      <c r="BC232" s="9"/>
      <c r="BD232" s="9"/>
      <c r="BE232" s="9"/>
      <c r="BF232" s="9"/>
      <c r="BG232" s="9"/>
      <c r="BH232" s="9"/>
    </row>
    <row r="233" spans="1:60" ht="12.5" hidden="1">
      <c r="A233" s="6" t="s">
        <v>1095</v>
      </c>
      <c r="B233" s="16">
        <v>45636</v>
      </c>
      <c r="C233" s="8">
        <v>45645</v>
      </c>
      <c r="D233" s="9" t="s">
        <v>41</v>
      </c>
      <c r="E233" s="9" t="s">
        <v>1096</v>
      </c>
      <c r="F233" s="9"/>
      <c r="G233" s="9" t="s">
        <v>43</v>
      </c>
      <c r="H233" s="10">
        <v>5.56</v>
      </c>
      <c r="I233" s="9" t="s">
        <v>44</v>
      </c>
      <c r="J233" s="9" t="s">
        <v>249</v>
      </c>
      <c r="K233" s="9" t="s">
        <v>1097</v>
      </c>
      <c r="L233" s="11" t="s">
        <v>58</v>
      </c>
      <c r="M233" s="9" t="s">
        <v>48</v>
      </c>
      <c r="N233" s="9" t="s">
        <v>48</v>
      </c>
      <c r="O233" s="12" t="s">
        <v>299</v>
      </c>
      <c r="P233" s="6" t="s">
        <v>300</v>
      </c>
      <c r="Q233" s="9" t="s">
        <v>301</v>
      </c>
      <c r="R233" s="13">
        <v>1</v>
      </c>
      <c r="S233" s="9" t="s">
        <v>75</v>
      </c>
      <c r="T233" s="9" t="s">
        <v>53</v>
      </c>
      <c r="U233" s="9" t="s">
        <v>54</v>
      </c>
      <c r="V233" s="9" t="s">
        <v>55</v>
      </c>
      <c r="W233" s="9"/>
      <c r="X233" s="9"/>
      <c r="Y233" s="13">
        <v>21.64</v>
      </c>
      <c r="Z233" s="13">
        <v>1</v>
      </c>
      <c r="AA233" s="9"/>
      <c r="AB233" s="9"/>
      <c r="AC233" s="9"/>
      <c r="AD233" s="9"/>
      <c r="AE233" s="9"/>
      <c r="AF233" s="13">
        <v>16.079999999999998</v>
      </c>
      <c r="AG233" s="9"/>
      <c r="AH233" s="9"/>
      <c r="AI233" s="9"/>
      <c r="AJ233" s="9"/>
      <c r="AK233" s="14" t="e">
        <f t="shared" si="0"/>
        <v>#DIV/0!</v>
      </c>
      <c r="AL233" s="9"/>
      <c r="AM233" s="9"/>
      <c r="AN233" s="9"/>
      <c r="AO233" s="6"/>
      <c r="AP233" s="9"/>
      <c r="AQ233" s="9"/>
      <c r="AR233" s="9"/>
      <c r="AS233" s="9"/>
      <c r="AT233" s="9"/>
      <c r="AU233" s="9"/>
      <c r="AV233" s="9"/>
      <c r="AW233" s="9"/>
      <c r="AX233" s="9"/>
      <c r="AY233" s="9"/>
      <c r="AZ233" s="9"/>
      <c r="BA233" s="9"/>
      <c r="BB233" s="9"/>
      <c r="BC233" s="9"/>
      <c r="BD233" s="9"/>
      <c r="BE233" s="9"/>
      <c r="BF233" s="9"/>
      <c r="BG233" s="9"/>
      <c r="BH233" s="9"/>
    </row>
    <row r="234" spans="1:60" ht="12.5" hidden="1">
      <c r="A234" s="6" t="s">
        <v>1098</v>
      </c>
      <c r="B234" s="16">
        <v>45627</v>
      </c>
      <c r="C234" s="8">
        <v>45644</v>
      </c>
      <c r="D234" s="9" t="s">
        <v>41</v>
      </c>
      <c r="E234" s="9" t="s">
        <v>1099</v>
      </c>
      <c r="F234" s="9"/>
      <c r="G234" s="9" t="s">
        <v>43</v>
      </c>
      <c r="H234" s="10">
        <v>5.09</v>
      </c>
      <c r="I234" s="9" t="s">
        <v>44</v>
      </c>
      <c r="J234" s="9" t="s">
        <v>249</v>
      </c>
      <c r="K234" s="9" t="s">
        <v>1100</v>
      </c>
      <c r="L234" s="11" t="s">
        <v>58</v>
      </c>
      <c r="M234" s="9" t="s">
        <v>48</v>
      </c>
      <c r="N234" s="9" t="s">
        <v>48</v>
      </c>
      <c r="O234" s="12" t="s">
        <v>299</v>
      </c>
      <c r="P234" s="6" t="s">
        <v>300</v>
      </c>
      <c r="Q234" s="9" t="s">
        <v>301</v>
      </c>
      <c r="R234" s="13">
        <v>1</v>
      </c>
      <c r="S234" s="9" t="s">
        <v>75</v>
      </c>
      <c r="T234" s="9" t="s">
        <v>53</v>
      </c>
      <c r="U234" s="9" t="s">
        <v>54</v>
      </c>
      <c r="V234" s="9" t="s">
        <v>61</v>
      </c>
      <c r="W234" s="9"/>
      <c r="X234" s="9"/>
      <c r="Y234" s="13">
        <v>19.3</v>
      </c>
      <c r="Z234" s="13">
        <v>1</v>
      </c>
      <c r="AA234" s="9"/>
      <c r="AB234" s="9"/>
      <c r="AC234" s="9"/>
      <c r="AD234" s="9"/>
      <c r="AE234" s="9"/>
      <c r="AF234" s="9"/>
      <c r="AG234" s="9"/>
      <c r="AH234" s="9"/>
      <c r="AI234" s="9"/>
      <c r="AJ234" s="9"/>
      <c r="AK234" s="14" t="e">
        <f t="shared" si="0"/>
        <v>#DIV/0!</v>
      </c>
      <c r="AL234" s="9"/>
      <c r="AM234" s="9"/>
      <c r="AN234" s="9"/>
      <c r="AO234" s="6"/>
      <c r="AP234" s="9"/>
      <c r="AQ234" s="9"/>
      <c r="AR234" s="9"/>
      <c r="AS234" s="9"/>
      <c r="AT234" s="9"/>
      <c r="AU234" s="9"/>
      <c r="AV234" s="9"/>
      <c r="AW234" s="9"/>
      <c r="AX234" s="9"/>
      <c r="AY234" s="9"/>
      <c r="AZ234" s="9"/>
      <c r="BA234" s="9"/>
      <c r="BB234" s="9"/>
      <c r="BC234" s="9"/>
      <c r="BD234" s="9"/>
      <c r="BE234" s="9"/>
      <c r="BF234" s="9"/>
      <c r="BG234" s="9"/>
      <c r="BH234" s="9"/>
    </row>
    <row r="235" spans="1:60" ht="12.5" hidden="1">
      <c r="A235" s="6" t="s">
        <v>1101</v>
      </c>
      <c r="B235" s="16">
        <v>45626</v>
      </c>
      <c r="C235" s="8">
        <v>45639</v>
      </c>
      <c r="D235" s="9" t="s">
        <v>41</v>
      </c>
      <c r="E235" s="9" t="s">
        <v>1102</v>
      </c>
      <c r="F235" s="9"/>
      <c r="G235" s="9" t="s">
        <v>43</v>
      </c>
      <c r="H235" s="10">
        <v>5.56</v>
      </c>
      <c r="I235" s="9" t="s">
        <v>44</v>
      </c>
      <c r="J235" s="9" t="s">
        <v>249</v>
      </c>
      <c r="K235" s="9" t="s">
        <v>1103</v>
      </c>
      <c r="L235" s="11" t="s">
        <v>47</v>
      </c>
      <c r="M235" s="9" t="s">
        <v>48</v>
      </c>
      <c r="N235" s="9" t="s">
        <v>48</v>
      </c>
      <c r="O235" s="12" t="s">
        <v>299</v>
      </c>
      <c r="P235" s="6" t="s">
        <v>300</v>
      </c>
      <c r="Q235" s="9" t="s">
        <v>301</v>
      </c>
      <c r="R235" s="13">
        <v>1</v>
      </c>
      <c r="S235" s="9" t="s">
        <v>82</v>
      </c>
      <c r="T235" s="9" t="s">
        <v>53</v>
      </c>
      <c r="U235" s="9" t="s">
        <v>54</v>
      </c>
      <c r="V235" s="9" t="s">
        <v>55</v>
      </c>
      <c r="W235" s="9"/>
      <c r="X235" s="9"/>
      <c r="Y235" s="13">
        <v>18.88</v>
      </c>
      <c r="Z235" s="13">
        <v>1</v>
      </c>
      <c r="AA235" s="9"/>
      <c r="AB235" s="9"/>
      <c r="AC235" s="9"/>
      <c r="AD235" s="9"/>
      <c r="AE235" s="9"/>
      <c r="AF235" s="13">
        <v>18.88</v>
      </c>
      <c r="AG235" s="9"/>
      <c r="AH235" s="9"/>
      <c r="AI235" s="9"/>
      <c r="AJ235" s="9"/>
      <c r="AK235" s="14" t="e">
        <f t="shared" si="0"/>
        <v>#DIV/0!</v>
      </c>
      <c r="AL235" s="9"/>
      <c r="AM235" s="9"/>
      <c r="AN235" s="9"/>
      <c r="AO235" s="6"/>
      <c r="AP235" s="9"/>
      <c r="AQ235" s="9"/>
      <c r="AR235" s="9"/>
      <c r="AS235" s="9"/>
      <c r="AT235" s="9"/>
      <c r="AU235" s="9"/>
      <c r="AV235" s="9"/>
      <c r="AW235" s="9"/>
      <c r="AX235" s="9"/>
      <c r="AY235" s="9"/>
      <c r="AZ235" s="9"/>
      <c r="BA235" s="9"/>
      <c r="BB235" s="9"/>
      <c r="BC235" s="9"/>
      <c r="BD235" s="9"/>
      <c r="BE235" s="9"/>
      <c r="BF235" s="9"/>
      <c r="BG235" s="9"/>
      <c r="BH235" s="9"/>
    </row>
    <row r="236" spans="1:60" ht="12.5" hidden="1">
      <c r="A236" s="6" t="s">
        <v>1104</v>
      </c>
      <c r="B236" s="16">
        <v>45625</v>
      </c>
      <c r="C236" s="8">
        <v>45638</v>
      </c>
      <c r="D236" s="9" t="s">
        <v>41</v>
      </c>
      <c r="E236" s="9" t="s">
        <v>1105</v>
      </c>
      <c r="F236" s="9"/>
      <c r="G236" s="9" t="s">
        <v>43</v>
      </c>
      <c r="H236" s="10">
        <v>4.9400000000000004</v>
      </c>
      <c r="I236" s="9" t="s">
        <v>44</v>
      </c>
      <c r="J236" s="9" t="s">
        <v>249</v>
      </c>
      <c r="K236" s="9" t="s">
        <v>1106</v>
      </c>
      <c r="L236" s="11" t="s">
        <v>47</v>
      </c>
      <c r="M236" s="9" t="s">
        <v>48</v>
      </c>
      <c r="N236" s="9" t="s">
        <v>48</v>
      </c>
      <c r="O236" s="12" t="s">
        <v>299</v>
      </c>
      <c r="P236" s="6" t="s">
        <v>300</v>
      </c>
      <c r="Q236" s="9" t="s">
        <v>301</v>
      </c>
      <c r="R236" s="13">
        <v>1</v>
      </c>
      <c r="S236" s="9" t="s">
        <v>99</v>
      </c>
      <c r="T236" s="9" t="s">
        <v>53</v>
      </c>
      <c r="U236" s="9" t="s">
        <v>54</v>
      </c>
      <c r="V236" s="9" t="s">
        <v>61</v>
      </c>
      <c r="W236" s="9"/>
      <c r="X236" s="9"/>
      <c r="Y236" s="13">
        <v>19.670000000000002</v>
      </c>
      <c r="Z236" s="13">
        <v>1</v>
      </c>
      <c r="AA236" s="9"/>
      <c r="AB236" s="9"/>
      <c r="AC236" s="9"/>
      <c r="AD236" s="9"/>
      <c r="AE236" s="9"/>
      <c r="AF236" s="9"/>
      <c r="AG236" s="9"/>
      <c r="AH236" s="9"/>
      <c r="AI236" s="9"/>
      <c r="AJ236" s="9"/>
      <c r="AK236" s="14" t="e">
        <f t="shared" si="0"/>
        <v>#DIV/0!</v>
      </c>
      <c r="AL236" s="9"/>
      <c r="AM236" s="9"/>
      <c r="AN236" s="9"/>
      <c r="AO236" s="6"/>
      <c r="AP236" s="9"/>
      <c r="AQ236" s="9"/>
      <c r="AR236" s="9"/>
      <c r="AS236" s="9"/>
      <c r="AT236" s="9"/>
      <c r="AU236" s="9"/>
      <c r="AV236" s="9"/>
      <c r="AW236" s="9"/>
      <c r="AX236" s="9"/>
      <c r="AY236" s="9"/>
      <c r="AZ236" s="9"/>
      <c r="BA236" s="9"/>
      <c r="BB236" s="9"/>
      <c r="BC236" s="9"/>
      <c r="BD236" s="9"/>
      <c r="BE236" s="9"/>
      <c r="BF236" s="9"/>
      <c r="BG236" s="9"/>
      <c r="BH236" s="9"/>
    </row>
    <row r="237" spans="1:60" ht="12.5" hidden="1">
      <c r="A237" s="6" t="s">
        <v>1107</v>
      </c>
      <c r="B237" s="16">
        <v>45627</v>
      </c>
      <c r="C237" s="8">
        <v>45638</v>
      </c>
      <c r="D237" s="9" t="s">
        <v>41</v>
      </c>
      <c r="E237" s="9" t="s">
        <v>1108</v>
      </c>
      <c r="F237" s="9"/>
      <c r="G237" s="9" t="s">
        <v>43</v>
      </c>
      <c r="H237" s="10">
        <v>4.8899999999999997</v>
      </c>
      <c r="I237" s="9" t="s">
        <v>44</v>
      </c>
      <c r="J237" s="9" t="s">
        <v>249</v>
      </c>
      <c r="K237" s="9" t="s">
        <v>1109</v>
      </c>
      <c r="L237" s="11" t="s">
        <v>47</v>
      </c>
      <c r="M237" s="9" t="s">
        <v>48</v>
      </c>
      <c r="N237" s="9" t="s">
        <v>48</v>
      </c>
      <c r="O237" s="12" t="s">
        <v>299</v>
      </c>
      <c r="P237" s="6" t="s">
        <v>300</v>
      </c>
      <c r="Q237" s="9" t="s">
        <v>301</v>
      </c>
      <c r="R237" s="13">
        <v>1</v>
      </c>
      <c r="S237" s="9" t="s">
        <v>82</v>
      </c>
      <c r="T237" s="9" t="s">
        <v>53</v>
      </c>
      <c r="U237" s="9" t="s">
        <v>54</v>
      </c>
      <c r="V237" s="9" t="s">
        <v>55</v>
      </c>
      <c r="W237" s="9"/>
      <c r="X237" s="9"/>
      <c r="Y237" s="13">
        <v>19.55</v>
      </c>
      <c r="Z237" s="13">
        <v>1</v>
      </c>
      <c r="AA237" s="9"/>
      <c r="AB237" s="9"/>
      <c r="AC237" s="9"/>
      <c r="AD237" s="9"/>
      <c r="AE237" s="9"/>
      <c r="AF237" s="13">
        <v>19.55</v>
      </c>
      <c r="AG237" s="9"/>
      <c r="AH237" s="9"/>
      <c r="AI237" s="9"/>
      <c r="AJ237" s="9"/>
      <c r="AK237" s="14" t="e">
        <f t="shared" si="0"/>
        <v>#DIV/0!</v>
      </c>
      <c r="AL237" s="9"/>
      <c r="AM237" s="9"/>
      <c r="AN237" s="9"/>
      <c r="AO237" s="6"/>
      <c r="AP237" s="9"/>
      <c r="AQ237" s="9"/>
      <c r="AR237" s="9"/>
      <c r="AS237" s="9"/>
      <c r="AT237" s="9"/>
      <c r="AU237" s="9"/>
      <c r="AV237" s="9"/>
      <c r="AW237" s="9"/>
      <c r="AX237" s="9"/>
      <c r="AY237" s="9"/>
      <c r="AZ237" s="9"/>
      <c r="BA237" s="9"/>
      <c r="BB237" s="9"/>
      <c r="BC237" s="9"/>
      <c r="BD237" s="9"/>
      <c r="BE237" s="9"/>
      <c r="BF237" s="9"/>
      <c r="BG237" s="9"/>
      <c r="BH237" s="9"/>
    </row>
    <row r="238" spans="1:60" ht="12.5" hidden="1">
      <c r="A238" s="6" t="s">
        <v>1110</v>
      </c>
      <c r="B238" s="16">
        <v>45623</v>
      </c>
      <c r="C238" s="8">
        <v>45635</v>
      </c>
      <c r="D238" s="9" t="s">
        <v>41</v>
      </c>
      <c r="E238" s="9" t="s">
        <v>1111</v>
      </c>
      <c r="F238" s="9"/>
      <c r="G238" s="9" t="s">
        <v>43</v>
      </c>
      <c r="H238" s="10">
        <v>5.01</v>
      </c>
      <c r="I238" s="9" t="s">
        <v>44</v>
      </c>
      <c r="J238" s="9" t="s">
        <v>249</v>
      </c>
      <c r="K238" s="9" t="s">
        <v>1112</v>
      </c>
      <c r="L238" s="11" t="s">
        <v>47</v>
      </c>
      <c r="M238" s="9" t="s">
        <v>48</v>
      </c>
      <c r="N238" s="9" t="s">
        <v>48</v>
      </c>
      <c r="O238" s="12" t="s">
        <v>299</v>
      </c>
      <c r="P238" s="6" t="s">
        <v>300</v>
      </c>
      <c r="Q238" s="9" t="s">
        <v>301</v>
      </c>
      <c r="R238" s="13">
        <v>1</v>
      </c>
      <c r="S238" s="9" t="s">
        <v>421</v>
      </c>
      <c r="T238" s="9" t="s">
        <v>53</v>
      </c>
      <c r="U238" s="9" t="s">
        <v>54</v>
      </c>
      <c r="V238" s="9" t="s">
        <v>55</v>
      </c>
      <c r="W238" s="9"/>
      <c r="X238" s="9"/>
      <c r="Y238" s="13">
        <v>17.37</v>
      </c>
      <c r="Z238" s="13">
        <v>1</v>
      </c>
      <c r="AA238" s="9"/>
      <c r="AB238" s="9"/>
      <c r="AC238" s="9"/>
      <c r="AD238" s="9"/>
      <c r="AE238" s="9"/>
      <c r="AF238" s="13">
        <v>17.37</v>
      </c>
      <c r="AG238" s="9"/>
      <c r="AH238" s="9"/>
      <c r="AI238" s="9"/>
      <c r="AJ238" s="9"/>
      <c r="AK238" s="14" t="e">
        <f t="shared" si="0"/>
        <v>#DIV/0!</v>
      </c>
      <c r="AL238" s="9"/>
      <c r="AM238" s="9"/>
      <c r="AN238" s="9"/>
      <c r="AO238" s="6"/>
      <c r="AP238" s="9"/>
      <c r="AQ238" s="9"/>
      <c r="AR238" s="9"/>
      <c r="AS238" s="9"/>
      <c r="AT238" s="9"/>
      <c r="AU238" s="9"/>
      <c r="AV238" s="9"/>
      <c r="AW238" s="9"/>
      <c r="AX238" s="9"/>
      <c r="AY238" s="9"/>
      <c r="AZ238" s="9"/>
      <c r="BA238" s="9"/>
      <c r="BB238" s="9"/>
      <c r="BC238" s="9"/>
      <c r="BD238" s="9"/>
      <c r="BE238" s="9"/>
      <c r="BF238" s="9"/>
      <c r="BG238" s="9"/>
      <c r="BH238" s="9"/>
    </row>
    <row r="239" spans="1:60" ht="12.5" hidden="1">
      <c r="A239" s="6" t="s">
        <v>1113</v>
      </c>
      <c r="B239" s="16">
        <v>45618</v>
      </c>
      <c r="C239" s="8">
        <v>45634</v>
      </c>
      <c r="D239" s="9" t="s">
        <v>41</v>
      </c>
      <c r="E239" s="9" t="s">
        <v>1114</v>
      </c>
      <c r="F239" s="9"/>
      <c r="G239" s="9" t="s">
        <v>43</v>
      </c>
      <c r="H239" s="10">
        <v>6.04</v>
      </c>
      <c r="I239" s="9" t="s">
        <v>44</v>
      </c>
      <c r="J239" s="9" t="s">
        <v>45</v>
      </c>
      <c r="K239" s="9" t="s">
        <v>1115</v>
      </c>
      <c r="L239" s="11" t="s">
        <v>58</v>
      </c>
      <c r="M239" s="9" t="s">
        <v>48</v>
      </c>
      <c r="N239" s="9" t="s">
        <v>48</v>
      </c>
      <c r="O239" s="12" t="s">
        <v>1116</v>
      </c>
      <c r="P239" s="6" t="s">
        <v>1117</v>
      </c>
      <c r="Q239" s="9" t="s">
        <v>1118</v>
      </c>
      <c r="R239" s="13">
        <v>1</v>
      </c>
      <c r="S239" s="9" t="s">
        <v>68</v>
      </c>
      <c r="T239" s="9" t="s">
        <v>53</v>
      </c>
      <c r="U239" s="9" t="s">
        <v>54</v>
      </c>
      <c r="V239" s="9" t="s">
        <v>240</v>
      </c>
      <c r="W239" s="9"/>
      <c r="X239" s="9"/>
      <c r="Y239" s="13">
        <v>77.81</v>
      </c>
      <c r="Z239" s="13">
        <v>1</v>
      </c>
      <c r="AA239" s="9"/>
      <c r="AB239" s="9"/>
      <c r="AC239" s="9"/>
      <c r="AD239" s="9"/>
      <c r="AE239" s="9"/>
      <c r="AF239" s="13">
        <v>71.77</v>
      </c>
      <c r="AG239" s="9"/>
      <c r="AH239" s="9"/>
      <c r="AI239" s="9">
        <v>1</v>
      </c>
      <c r="AJ239" s="9">
        <v>9</v>
      </c>
      <c r="AK239" s="14">
        <f t="shared" si="0"/>
        <v>0.1111111111111111</v>
      </c>
      <c r="AL239" s="9"/>
      <c r="AM239" s="9"/>
      <c r="AN239" s="9"/>
      <c r="AO239" s="6"/>
      <c r="AP239" s="9"/>
      <c r="AQ239" s="9"/>
      <c r="AR239" s="9"/>
      <c r="AS239" s="9"/>
      <c r="AT239" s="9"/>
      <c r="AU239" s="9"/>
      <c r="AV239" s="9"/>
      <c r="AW239" s="9"/>
      <c r="AX239" s="9"/>
      <c r="AY239" s="9"/>
      <c r="AZ239" s="9"/>
      <c r="BA239" s="9"/>
      <c r="BB239" s="9"/>
      <c r="BC239" s="9"/>
      <c r="BD239" s="9"/>
      <c r="BE239" s="9"/>
      <c r="BF239" s="9"/>
      <c r="BG239" s="9"/>
      <c r="BH239" s="9"/>
    </row>
    <row r="240" spans="1:60" ht="12.5" hidden="1">
      <c r="A240" s="6" t="s">
        <v>1119</v>
      </c>
      <c r="B240" s="16">
        <v>45597</v>
      </c>
      <c r="C240" s="8">
        <v>45629</v>
      </c>
      <c r="D240" s="9" t="s">
        <v>41</v>
      </c>
      <c r="E240" s="9" t="s">
        <v>1120</v>
      </c>
      <c r="F240" s="9"/>
      <c r="G240" s="9" t="s">
        <v>43</v>
      </c>
      <c r="H240" s="10">
        <v>9.99</v>
      </c>
      <c r="I240" s="9" t="s">
        <v>44</v>
      </c>
      <c r="J240" s="9" t="s">
        <v>45</v>
      </c>
      <c r="K240" s="9" t="s">
        <v>1121</v>
      </c>
      <c r="L240" s="11" t="s">
        <v>47</v>
      </c>
      <c r="M240" s="9" t="s">
        <v>48</v>
      </c>
      <c r="N240" s="9" t="s">
        <v>48</v>
      </c>
      <c r="O240" s="12" t="s">
        <v>1122</v>
      </c>
      <c r="P240" s="6" t="s">
        <v>1123</v>
      </c>
      <c r="Q240" s="9" t="s">
        <v>1124</v>
      </c>
      <c r="R240" s="13">
        <v>1</v>
      </c>
      <c r="S240" s="9" t="s">
        <v>99</v>
      </c>
      <c r="T240" s="9" t="s">
        <v>53</v>
      </c>
      <c r="U240" s="9" t="s">
        <v>54</v>
      </c>
      <c r="V240" s="9" t="s">
        <v>61</v>
      </c>
      <c r="W240" s="9"/>
      <c r="X240" s="9"/>
      <c r="Y240" s="13">
        <v>81.55</v>
      </c>
      <c r="Z240" s="13">
        <v>1</v>
      </c>
      <c r="AA240" s="9"/>
      <c r="AB240" s="9"/>
      <c r="AC240" s="9"/>
      <c r="AD240" s="9"/>
      <c r="AE240" s="9"/>
      <c r="AF240" s="9"/>
      <c r="AG240" s="9"/>
      <c r="AH240" s="9"/>
      <c r="AI240" s="9">
        <v>1</v>
      </c>
      <c r="AJ240" s="9">
        <v>4</v>
      </c>
      <c r="AK240" s="14">
        <f t="shared" si="0"/>
        <v>0.25</v>
      </c>
      <c r="AL240" s="9"/>
      <c r="AM240" s="9"/>
      <c r="AN240" s="9"/>
      <c r="AO240" s="6"/>
      <c r="AP240" s="9"/>
      <c r="AQ240" s="9"/>
      <c r="AR240" s="9"/>
      <c r="AS240" s="9"/>
      <c r="AT240" s="9"/>
      <c r="AU240" s="9"/>
      <c r="AV240" s="9"/>
      <c r="AW240" s="9"/>
      <c r="AX240" s="9"/>
      <c r="AY240" s="9"/>
      <c r="AZ240" s="9"/>
      <c r="BA240" s="9"/>
      <c r="BB240" s="9"/>
      <c r="BC240" s="9"/>
      <c r="BD240" s="9"/>
      <c r="BE240" s="9"/>
      <c r="BF240" s="9"/>
      <c r="BG240" s="9"/>
      <c r="BH240" s="9"/>
    </row>
    <row r="241" spans="1:60" ht="12.5" hidden="1">
      <c r="A241" s="6" t="s">
        <v>1125</v>
      </c>
      <c r="B241" s="16">
        <v>45648</v>
      </c>
      <c r="C241" s="8">
        <v>45652</v>
      </c>
      <c r="D241" s="9" t="s">
        <v>41</v>
      </c>
      <c r="E241" s="9" t="s">
        <v>1126</v>
      </c>
      <c r="F241" s="9"/>
      <c r="G241" s="9" t="s">
        <v>43</v>
      </c>
      <c r="H241" s="10">
        <v>10.69</v>
      </c>
      <c r="I241" s="9" t="s">
        <v>44</v>
      </c>
      <c r="J241" s="9" t="s">
        <v>45</v>
      </c>
      <c r="K241" s="9" t="s">
        <v>1127</v>
      </c>
      <c r="L241" s="11" t="s">
        <v>58</v>
      </c>
      <c r="M241" s="9" t="s">
        <v>48</v>
      </c>
      <c r="N241" s="9" t="s">
        <v>48</v>
      </c>
      <c r="O241" s="12" t="s">
        <v>310</v>
      </c>
      <c r="P241" s="6" t="s">
        <v>311</v>
      </c>
      <c r="Q241" s="9" t="s">
        <v>312</v>
      </c>
      <c r="R241" s="13">
        <v>1</v>
      </c>
      <c r="S241" s="9" t="s">
        <v>75</v>
      </c>
      <c r="T241" s="9" t="s">
        <v>53</v>
      </c>
      <c r="U241" s="9" t="s">
        <v>54</v>
      </c>
      <c r="V241" s="9" t="s">
        <v>61</v>
      </c>
      <c r="W241" s="9"/>
      <c r="X241" s="9"/>
      <c r="Y241" s="13">
        <v>141.66999999999999</v>
      </c>
      <c r="Z241" s="13">
        <v>1</v>
      </c>
      <c r="AA241" s="9"/>
      <c r="AB241" s="9"/>
      <c r="AC241" s="9"/>
      <c r="AD241" s="9"/>
      <c r="AE241" s="9"/>
      <c r="AF241" s="9"/>
      <c r="AG241" s="9"/>
      <c r="AH241" s="9"/>
      <c r="AI241" s="9">
        <v>2</v>
      </c>
      <c r="AJ241" s="9">
        <v>19</v>
      </c>
      <c r="AK241" s="14">
        <f t="shared" si="0"/>
        <v>0.10526315789473684</v>
      </c>
      <c r="AL241" s="9"/>
      <c r="AM241" s="9"/>
      <c r="AN241" s="9"/>
      <c r="AO241" s="6"/>
      <c r="AP241" s="9"/>
      <c r="AQ241" s="9"/>
      <c r="AR241" s="9"/>
      <c r="AS241" s="9"/>
      <c r="AT241" s="9"/>
      <c r="AU241" s="9"/>
      <c r="AV241" s="9"/>
      <c r="AW241" s="9"/>
      <c r="AX241" s="9"/>
      <c r="AY241" s="9"/>
      <c r="AZ241" s="9"/>
      <c r="BA241" s="9"/>
      <c r="BB241" s="9"/>
      <c r="BC241" s="9"/>
      <c r="BD241" s="9"/>
      <c r="BE241" s="9"/>
      <c r="BF241" s="9"/>
      <c r="BG241" s="9"/>
      <c r="BH241" s="9"/>
    </row>
    <row r="242" spans="1:60" ht="12.5" hidden="1">
      <c r="A242" s="6" t="s">
        <v>1128</v>
      </c>
      <c r="B242" s="16">
        <v>45610</v>
      </c>
      <c r="C242" s="8">
        <v>45651</v>
      </c>
      <c r="D242" s="9" t="s">
        <v>41</v>
      </c>
      <c r="E242" s="9" t="s">
        <v>1129</v>
      </c>
      <c r="F242" s="9"/>
      <c r="G242" s="9" t="s">
        <v>43</v>
      </c>
      <c r="H242" s="10">
        <v>10.69</v>
      </c>
      <c r="I242" s="9" t="s">
        <v>44</v>
      </c>
      <c r="J242" s="9" t="s">
        <v>45</v>
      </c>
      <c r="K242" s="9" t="s">
        <v>1130</v>
      </c>
      <c r="L242" s="11" t="s">
        <v>58</v>
      </c>
      <c r="M242" s="9" t="s">
        <v>48</v>
      </c>
      <c r="N242" s="9" t="s">
        <v>48</v>
      </c>
      <c r="O242" s="12" t="s">
        <v>310</v>
      </c>
      <c r="P242" s="6" t="s">
        <v>311</v>
      </c>
      <c r="Q242" s="9" t="s">
        <v>312</v>
      </c>
      <c r="R242" s="13">
        <v>1</v>
      </c>
      <c r="S242" s="9" t="s">
        <v>75</v>
      </c>
      <c r="T242" s="9" t="s">
        <v>53</v>
      </c>
      <c r="U242" s="9" t="s">
        <v>54</v>
      </c>
      <c r="V242" s="9" t="s">
        <v>61</v>
      </c>
      <c r="W242" s="9"/>
      <c r="X242" s="9"/>
      <c r="Y242" s="13">
        <v>132.47</v>
      </c>
      <c r="Z242" s="13">
        <v>1</v>
      </c>
      <c r="AA242" s="9"/>
      <c r="AB242" s="9"/>
      <c r="AC242" s="9"/>
      <c r="AD242" s="9"/>
      <c r="AE242" s="9"/>
      <c r="AF242" s="9"/>
      <c r="AG242" s="9"/>
      <c r="AH242" s="9"/>
      <c r="AI242" s="9"/>
      <c r="AJ242" s="9"/>
      <c r="AK242" s="14" t="e">
        <f t="shared" si="0"/>
        <v>#DIV/0!</v>
      </c>
      <c r="AL242" s="9"/>
      <c r="AM242" s="9"/>
      <c r="AN242" s="9"/>
      <c r="AO242" s="6"/>
      <c r="AP242" s="9"/>
      <c r="AQ242" s="9"/>
      <c r="AR242" s="9"/>
      <c r="AS242" s="9"/>
      <c r="AT242" s="9"/>
      <c r="AU242" s="9"/>
      <c r="AV242" s="9"/>
      <c r="AW242" s="9"/>
      <c r="AX242" s="9"/>
      <c r="AY242" s="9"/>
      <c r="AZ242" s="9"/>
      <c r="BA242" s="9"/>
      <c r="BB242" s="9"/>
      <c r="BC242" s="9"/>
      <c r="BD242" s="9"/>
      <c r="BE242" s="9"/>
      <c r="BF242" s="9"/>
      <c r="BG242" s="9"/>
      <c r="BH242" s="9"/>
    </row>
    <row r="243" spans="1:60" ht="12.5" hidden="1">
      <c r="A243" s="6" t="s">
        <v>1131</v>
      </c>
      <c r="B243" s="16">
        <v>45628</v>
      </c>
      <c r="C243" s="8">
        <v>45633</v>
      </c>
      <c r="D243" s="9" t="s">
        <v>41</v>
      </c>
      <c r="E243" s="9" t="s">
        <v>1132</v>
      </c>
      <c r="F243" s="9"/>
      <c r="G243" s="9" t="s">
        <v>43</v>
      </c>
      <c r="H243" s="10">
        <v>12.17</v>
      </c>
      <c r="I243" s="9" t="s">
        <v>44</v>
      </c>
      <c r="J243" s="9" t="s">
        <v>45</v>
      </c>
      <c r="K243" s="9" t="s">
        <v>1133</v>
      </c>
      <c r="L243" s="11" t="s">
        <v>58</v>
      </c>
      <c r="M243" s="9" t="s">
        <v>48</v>
      </c>
      <c r="N243" s="9" t="s">
        <v>48</v>
      </c>
      <c r="O243" s="12" t="s">
        <v>1134</v>
      </c>
      <c r="P243" s="6" t="s">
        <v>1135</v>
      </c>
      <c r="Q243" s="9" t="s">
        <v>1136</v>
      </c>
      <c r="R243" s="13">
        <v>1</v>
      </c>
      <c r="S243" s="9" t="s">
        <v>75</v>
      </c>
      <c r="T243" s="9" t="s">
        <v>53</v>
      </c>
      <c r="U243" s="9" t="s">
        <v>54</v>
      </c>
      <c r="V243" s="9" t="s">
        <v>61</v>
      </c>
      <c r="W243" s="9"/>
      <c r="X243" s="9"/>
      <c r="Y243" s="13">
        <v>77.5</v>
      </c>
      <c r="Z243" s="13">
        <v>1</v>
      </c>
      <c r="AA243" s="9"/>
      <c r="AB243" s="9"/>
      <c r="AC243" s="9"/>
      <c r="AD243" s="9"/>
      <c r="AE243" s="9"/>
      <c r="AF243" s="9"/>
      <c r="AG243" s="9"/>
      <c r="AH243" s="9"/>
      <c r="AI243" s="9">
        <v>1</v>
      </c>
      <c r="AJ243" s="9">
        <v>9</v>
      </c>
      <c r="AK243" s="14">
        <f t="shared" si="0"/>
        <v>0.1111111111111111</v>
      </c>
      <c r="AL243" s="9"/>
      <c r="AM243" s="9"/>
      <c r="AN243" s="9"/>
      <c r="AO243" s="6"/>
      <c r="AP243" s="9"/>
      <c r="AQ243" s="9"/>
      <c r="AR243" s="9"/>
      <c r="AS243" s="9"/>
      <c r="AT243" s="9"/>
      <c r="AU243" s="9"/>
      <c r="AV243" s="9"/>
      <c r="AW243" s="9"/>
      <c r="AX243" s="9"/>
      <c r="AY243" s="9"/>
      <c r="AZ243" s="9"/>
      <c r="BA243" s="9"/>
      <c r="BB243" s="9"/>
      <c r="BC243" s="9"/>
      <c r="BD243" s="9"/>
      <c r="BE243" s="9"/>
      <c r="BF243" s="9"/>
      <c r="BG243" s="9"/>
      <c r="BH243" s="9"/>
    </row>
    <row r="244" spans="1:60" ht="12.5" hidden="1">
      <c r="A244" s="6" t="s">
        <v>1137</v>
      </c>
      <c r="B244" s="16">
        <v>45622</v>
      </c>
      <c r="C244" s="8">
        <v>45651</v>
      </c>
      <c r="D244" s="9" t="s">
        <v>41</v>
      </c>
      <c r="E244" s="9" t="s">
        <v>1138</v>
      </c>
      <c r="F244" s="9"/>
      <c r="G244" s="9" t="s">
        <v>43</v>
      </c>
      <c r="H244" s="10">
        <v>10.26</v>
      </c>
      <c r="I244" s="9" t="s">
        <v>44</v>
      </c>
      <c r="J244" s="9" t="s">
        <v>45</v>
      </c>
      <c r="K244" s="9" t="s">
        <v>1139</v>
      </c>
      <c r="L244" s="11" t="s">
        <v>47</v>
      </c>
      <c r="M244" s="9" t="s">
        <v>48</v>
      </c>
      <c r="N244" s="9" t="s">
        <v>48</v>
      </c>
      <c r="O244" s="12" t="s">
        <v>325</v>
      </c>
      <c r="P244" s="6" t="s">
        <v>326</v>
      </c>
      <c r="Q244" s="9" t="s">
        <v>327</v>
      </c>
      <c r="R244" s="13">
        <v>1</v>
      </c>
      <c r="S244" s="9" t="s">
        <v>99</v>
      </c>
      <c r="T244" s="9" t="s">
        <v>53</v>
      </c>
      <c r="U244" s="9" t="s">
        <v>54</v>
      </c>
      <c r="V244" s="9" t="s">
        <v>55</v>
      </c>
      <c r="W244" s="9"/>
      <c r="X244" s="9"/>
      <c r="Y244" s="13">
        <v>95.19</v>
      </c>
      <c r="Z244" s="13">
        <v>1</v>
      </c>
      <c r="AA244" s="9"/>
      <c r="AB244" s="9"/>
      <c r="AC244" s="9"/>
      <c r="AD244" s="9"/>
      <c r="AE244" s="9"/>
      <c r="AF244" s="13">
        <v>95.19</v>
      </c>
      <c r="AG244" s="9"/>
      <c r="AH244" s="9"/>
      <c r="AI244" s="9">
        <v>2</v>
      </c>
      <c r="AJ244" s="9">
        <v>13</v>
      </c>
      <c r="AK244" s="14">
        <f t="shared" si="0"/>
        <v>0.15384615384615385</v>
      </c>
      <c r="AL244" s="9"/>
      <c r="AM244" s="9"/>
      <c r="AN244" s="9"/>
      <c r="AO244" s="6"/>
      <c r="AP244" s="9"/>
      <c r="AQ244" s="9"/>
      <c r="AR244" s="9"/>
      <c r="AS244" s="9"/>
      <c r="AT244" s="9"/>
      <c r="AU244" s="9"/>
      <c r="AV244" s="9"/>
      <c r="AW244" s="9"/>
      <c r="AX244" s="9"/>
      <c r="AY244" s="9"/>
      <c r="AZ244" s="9"/>
      <c r="BA244" s="9"/>
      <c r="BB244" s="9"/>
      <c r="BC244" s="9"/>
      <c r="BD244" s="9"/>
      <c r="BE244" s="9"/>
      <c r="BF244" s="9"/>
      <c r="BG244" s="9"/>
      <c r="BH244" s="9"/>
    </row>
    <row r="245" spans="1:60" ht="12.5" hidden="1">
      <c r="A245" s="6" t="s">
        <v>1140</v>
      </c>
      <c r="B245" s="16">
        <v>45634</v>
      </c>
      <c r="C245" s="8">
        <v>45638</v>
      </c>
      <c r="D245" s="9" t="s">
        <v>41</v>
      </c>
      <c r="E245" s="9" t="s">
        <v>1141</v>
      </c>
      <c r="F245" s="9"/>
      <c r="G245" s="9" t="s">
        <v>43</v>
      </c>
      <c r="H245" s="10">
        <v>9.65</v>
      </c>
      <c r="I245" s="9" t="s">
        <v>44</v>
      </c>
      <c r="J245" s="9" t="s">
        <v>45</v>
      </c>
      <c r="K245" s="9" t="s">
        <v>1142</v>
      </c>
      <c r="L245" s="11" t="s">
        <v>47</v>
      </c>
      <c r="M245" s="9" t="s">
        <v>48</v>
      </c>
      <c r="N245" s="9" t="s">
        <v>48</v>
      </c>
      <c r="O245" s="12" t="s">
        <v>325</v>
      </c>
      <c r="P245" s="6" t="s">
        <v>326</v>
      </c>
      <c r="Q245" s="9" t="s">
        <v>327</v>
      </c>
      <c r="R245" s="13">
        <v>1</v>
      </c>
      <c r="S245" s="9" t="s">
        <v>99</v>
      </c>
      <c r="T245" s="9" t="s">
        <v>53</v>
      </c>
      <c r="U245" s="9" t="s">
        <v>54</v>
      </c>
      <c r="V245" s="9" t="s">
        <v>240</v>
      </c>
      <c r="W245" s="9"/>
      <c r="X245" s="9"/>
      <c r="Y245" s="13">
        <v>94.97</v>
      </c>
      <c r="Z245" s="13">
        <v>1</v>
      </c>
      <c r="AA245" s="9"/>
      <c r="AB245" s="9"/>
      <c r="AC245" s="9"/>
      <c r="AD245" s="9"/>
      <c r="AE245" s="9"/>
      <c r="AF245" s="13">
        <v>94.97</v>
      </c>
      <c r="AG245" s="9"/>
      <c r="AH245" s="9"/>
      <c r="AI245" s="9"/>
      <c r="AJ245" s="9"/>
      <c r="AK245" s="14" t="e">
        <f t="shared" si="0"/>
        <v>#DIV/0!</v>
      </c>
      <c r="AL245" s="9"/>
      <c r="AM245" s="9"/>
      <c r="AN245" s="9"/>
      <c r="AO245" s="6"/>
      <c r="AP245" s="9"/>
      <c r="AQ245" s="9"/>
      <c r="AR245" s="9"/>
      <c r="AS245" s="9"/>
      <c r="AT245" s="9"/>
      <c r="AU245" s="9"/>
      <c r="AV245" s="9"/>
      <c r="AW245" s="9"/>
      <c r="AX245" s="9"/>
      <c r="AY245" s="9"/>
      <c r="AZ245" s="9"/>
      <c r="BA245" s="9"/>
      <c r="BB245" s="9"/>
      <c r="BC245" s="9"/>
      <c r="BD245" s="9"/>
      <c r="BE245" s="9"/>
      <c r="BF245" s="9"/>
      <c r="BG245" s="9"/>
      <c r="BH245" s="9"/>
    </row>
    <row r="246" spans="1:60" ht="12.5" hidden="1">
      <c r="A246" s="6" t="s">
        <v>1143</v>
      </c>
      <c r="B246" s="16">
        <v>45635</v>
      </c>
      <c r="C246" s="8">
        <v>45637</v>
      </c>
      <c r="D246" s="9" t="s">
        <v>41</v>
      </c>
      <c r="E246" s="9" t="s">
        <v>1144</v>
      </c>
      <c r="F246" s="9"/>
      <c r="G246" s="9" t="s">
        <v>43</v>
      </c>
      <c r="H246" s="10">
        <v>11.07</v>
      </c>
      <c r="I246" s="9" t="s">
        <v>44</v>
      </c>
      <c r="J246" s="9" t="s">
        <v>45</v>
      </c>
      <c r="K246" s="9" t="s">
        <v>1145</v>
      </c>
      <c r="L246" s="11" t="s">
        <v>47</v>
      </c>
      <c r="M246" s="9" t="s">
        <v>48</v>
      </c>
      <c r="N246" s="9" t="s">
        <v>48</v>
      </c>
      <c r="O246" s="12" t="s">
        <v>331</v>
      </c>
      <c r="P246" s="6" t="s">
        <v>332</v>
      </c>
      <c r="Q246" s="9" t="s">
        <v>333</v>
      </c>
      <c r="R246" s="13">
        <v>1</v>
      </c>
      <c r="S246" s="9" t="s">
        <v>52</v>
      </c>
      <c r="T246" s="9" t="s">
        <v>53</v>
      </c>
      <c r="U246" s="9" t="s">
        <v>54</v>
      </c>
      <c r="V246" s="9" t="s">
        <v>55</v>
      </c>
      <c r="W246" s="9"/>
      <c r="X246" s="9"/>
      <c r="Y246" s="13">
        <v>78.37</v>
      </c>
      <c r="Z246" s="13">
        <v>1</v>
      </c>
      <c r="AA246" s="9"/>
      <c r="AB246" s="9"/>
      <c r="AC246" s="9"/>
      <c r="AD246" s="9"/>
      <c r="AE246" s="9"/>
      <c r="AF246" s="13">
        <v>78.37</v>
      </c>
      <c r="AG246" s="9"/>
      <c r="AH246" s="9"/>
      <c r="AI246" s="9">
        <v>1</v>
      </c>
      <c r="AJ246" s="9">
        <v>9</v>
      </c>
      <c r="AK246" s="14">
        <f t="shared" si="0"/>
        <v>0.1111111111111111</v>
      </c>
      <c r="AL246" s="9"/>
      <c r="AM246" s="9"/>
      <c r="AN246" s="9"/>
      <c r="AO246" s="6"/>
      <c r="AP246" s="9"/>
      <c r="AQ246" s="9"/>
      <c r="AR246" s="9"/>
      <c r="AS246" s="9"/>
      <c r="AT246" s="9"/>
      <c r="AU246" s="9"/>
      <c r="AV246" s="9"/>
      <c r="AW246" s="9"/>
      <c r="AX246" s="9"/>
      <c r="AY246" s="9"/>
      <c r="AZ246" s="9"/>
      <c r="BA246" s="9"/>
      <c r="BB246" s="9"/>
      <c r="BC246" s="9"/>
      <c r="BD246" s="9"/>
      <c r="BE246" s="9"/>
      <c r="BF246" s="9"/>
      <c r="BG246" s="9"/>
      <c r="BH246" s="9"/>
    </row>
    <row r="247" spans="1:60" ht="12.5" hidden="1">
      <c r="A247" s="6" t="s">
        <v>1146</v>
      </c>
      <c r="B247" s="16">
        <v>45626</v>
      </c>
      <c r="C247" s="8">
        <v>45651</v>
      </c>
      <c r="D247" s="9" t="s">
        <v>41</v>
      </c>
      <c r="E247" s="9" t="s">
        <v>1147</v>
      </c>
      <c r="F247" s="9"/>
      <c r="G247" s="9" t="s">
        <v>43</v>
      </c>
      <c r="H247" s="10">
        <v>9.99</v>
      </c>
      <c r="I247" s="9" t="s">
        <v>44</v>
      </c>
      <c r="J247" s="9" t="s">
        <v>45</v>
      </c>
      <c r="K247" s="9" t="s">
        <v>1148</v>
      </c>
      <c r="L247" s="11" t="s">
        <v>58</v>
      </c>
      <c r="M247" s="9" t="s">
        <v>48</v>
      </c>
      <c r="N247" s="9" t="s">
        <v>48</v>
      </c>
      <c r="O247" s="12" t="s">
        <v>337</v>
      </c>
      <c r="P247" s="6" t="s">
        <v>338</v>
      </c>
      <c r="Q247" s="9" t="s">
        <v>339</v>
      </c>
      <c r="R247" s="13">
        <v>1</v>
      </c>
      <c r="S247" s="9" t="s">
        <v>68</v>
      </c>
      <c r="T247" s="9" t="s">
        <v>53</v>
      </c>
      <c r="U247" s="9" t="s">
        <v>54</v>
      </c>
      <c r="V247" s="9" t="s">
        <v>61</v>
      </c>
      <c r="W247" s="9"/>
      <c r="X247" s="9"/>
      <c r="Y247" s="13">
        <v>72.81</v>
      </c>
      <c r="Z247" s="13">
        <v>1</v>
      </c>
      <c r="AA247" s="9"/>
      <c r="AB247" s="9"/>
      <c r="AC247" s="9"/>
      <c r="AD247" s="9"/>
      <c r="AE247" s="9"/>
      <c r="AF247" s="9"/>
      <c r="AG247" s="9"/>
      <c r="AH247" s="9"/>
      <c r="AI247" s="9">
        <v>4</v>
      </c>
      <c r="AJ247" s="9">
        <v>28</v>
      </c>
      <c r="AK247" s="14">
        <f t="shared" si="0"/>
        <v>0.14285714285714285</v>
      </c>
      <c r="AL247" s="9"/>
      <c r="AM247" s="9"/>
      <c r="AN247" s="9"/>
      <c r="AO247" s="6"/>
      <c r="AP247" s="9"/>
      <c r="AQ247" s="9"/>
      <c r="AR247" s="9"/>
      <c r="AS247" s="9"/>
      <c r="AT247" s="9"/>
      <c r="AU247" s="9"/>
      <c r="AV247" s="9"/>
      <c r="AW247" s="9"/>
      <c r="AX247" s="9"/>
      <c r="AY247" s="9"/>
      <c r="AZ247" s="9"/>
      <c r="BA247" s="9"/>
      <c r="BB247" s="9"/>
      <c r="BC247" s="9"/>
      <c r="BD247" s="9"/>
      <c r="BE247" s="9"/>
      <c r="BF247" s="9"/>
      <c r="BG247" s="9"/>
      <c r="BH247" s="9"/>
    </row>
    <row r="248" spans="1:60" ht="12.5" hidden="1">
      <c r="A248" s="6" t="s">
        <v>1149</v>
      </c>
      <c r="B248" s="16">
        <v>45643</v>
      </c>
      <c r="C248" s="8">
        <v>45648</v>
      </c>
      <c r="D248" s="9" t="s">
        <v>41</v>
      </c>
      <c r="E248" s="9" t="s">
        <v>1150</v>
      </c>
      <c r="F248" s="9"/>
      <c r="G248" s="9" t="s">
        <v>43</v>
      </c>
      <c r="H248" s="10">
        <v>9.99</v>
      </c>
      <c r="I248" s="9" t="s">
        <v>44</v>
      </c>
      <c r="J248" s="9" t="s">
        <v>45</v>
      </c>
      <c r="K248" s="9" t="s">
        <v>1151</v>
      </c>
      <c r="L248" s="11" t="s">
        <v>47</v>
      </c>
      <c r="M248" s="9" t="s">
        <v>48</v>
      </c>
      <c r="N248" s="9" t="s">
        <v>48</v>
      </c>
      <c r="O248" s="12" t="s">
        <v>337</v>
      </c>
      <c r="P248" s="6" t="s">
        <v>338</v>
      </c>
      <c r="Q248" s="9" t="s">
        <v>339</v>
      </c>
      <c r="R248" s="13">
        <v>1</v>
      </c>
      <c r="S248" s="9" t="s">
        <v>99</v>
      </c>
      <c r="T248" s="9" t="s">
        <v>53</v>
      </c>
      <c r="U248" s="9" t="s">
        <v>54</v>
      </c>
      <c r="V248" s="9" t="s">
        <v>61</v>
      </c>
      <c r="W248" s="9"/>
      <c r="X248" s="9"/>
      <c r="Y248" s="13">
        <v>72.31</v>
      </c>
      <c r="Z248" s="13">
        <v>1</v>
      </c>
      <c r="AA248" s="9"/>
      <c r="AB248" s="9"/>
      <c r="AC248" s="9"/>
      <c r="AD248" s="9"/>
      <c r="AE248" s="9"/>
      <c r="AF248" s="9"/>
      <c r="AG248" s="9"/>
      <c r="AH248" s="9"/>
      <c r="AI248" s="9"/>
      <c r="AJ248" s="9"/>
      <c r="AK248" s="14" t="e">
        <f t="shared" si="0"/>
        <v>#DIV/0!</v>
      </c>
      <c r="AL248" s="9"/>
      <c r="AM248" s="9"/>
      <c r="AN248" s="9"/>
      <c r="AO248" s="6"/>
      <c r="AP248" s="9"/>
      <c r="AQ248" s="9"/>
      <c r="AR248" s="9"/>
      <c r="AS248" s="9"/>
      <c r="AT248" s="9"/>
      <c r="AU248" s="9"/>
      <c r="AV248" s="9"/>
      <c r="AW248" s="9"/>
      <c r="AX248" s="9"/>
      <c r="AY248" s="9"/>
      <c r="AZ248" s="9"/>
      <c r="BA248" s="9"/>
      <c r="BB248" s="9"/>
      <c r="BC248" s="9"/>
      <c r="BD248" s="9"/>
      <c r="BE248" s="9"/>
      <c r="BF248" s="9"/>
      <c r="BG248" s="9"/>
      <c r="BH248" s="9"/>
    </row>
    <row r="249" spans="1:60" ht="12.5" hidden="1">
      <c r="A249" s="6" t="s">
        <v>1152</v>
      </c>
      <c r="B249" s="16">
        <v>45641</v>
      </c>
      <c r="C249" s="8">
        <v>45647</v>
      </c>
      <c r="D249" s="9" t="s">
        <v>41</v>
      </c>
      <c r="E249" s="9" t="s">
        <v>1153</v>
      </c>
      <c r="F249" s="9"/>
      <c r="G249" s="9" t="s">
        <v>43</v>
      </c>
      <c r="H249" s="10">
        <v>9.99</v>
      </c>
      <c r="I249" s="9" t="s">
        <v>44</v>
      </c>
      <c r="J249" s="9" t="s">
        <v>45</v>
      </c>
      <c r="K249" s="9" t="s">
        <v>1154</v>
      </c>
      <c r="L249" s="11" t="s">
        <v>47</v>
      </c>
      <c r="M249" s="9" t="s">
        <v>48</v>
      </c>
      <c r="N249" s="9" t="s">
        <v>48</v>
      </c>
      <c r="O249" s="12" t="s">
        <v>337</v>
      </c>
      <c r="P249" s="6" t="s">
        <v>338</v>
      </c>
      <c r="Q249" s="9" t="s">
        <v>339</v>
      </c>
      <c r="R249" s="13">
        <v>1</v>
      </c>
      <c r="S249" s="9" t="s">
        <v>421</v>
      </c>
      <c r="T249" s="9" t="s">
        <v>53</v>
      </c>
      <c r="U249" s="9" t="s">
        <v>54</v>
      </c>
      <c r="V249" s="9" t="s">
        <v>560</v>
      </c>
      <c r="W249" s="9"/>
      <c r="X249" s="9"/>
      <c r="Y249" s="13">
        <v>77.92</v>
      </c>
      <c r="Z249" s="13">
        <v>1</v>
      </c>
      <c r="AA249" s="9"/>
      <c r="AB249" s="9"/>
      <c r="AC249" s="9"/>
      <c r="AD249" s="9"/>
      <c r="AE249" s="9"/>
      <c r="AF249" s="9"/>
      <c r="AG249" s="9"/>
      <c r="AH249" s="9"/>
      <c r="AI249" s="9"/>
      <c r="AJ249" s="9"/>
      <c r="AK249" s="14" t="e">
        <f t="shared" si="0"/>
        <v>#DIV/0!</v>
      </c>
      <c r="AL249" s="9"/>
      <c r="AM249" s="9"/>
      <c r="AN249" s="9" t="s">
        <v>953</v>
      </c>
      <c r="AO249" s="6"/>
      <c r="AP249" s="9"/>
      <c r="AQ249" s="9"/>
      <c r="AR249" s="9"/>
      <c r="AS249" s="9"/>
      <c r="AT249" s="9"/>
      <c r="AU249" s="9"/>
      <c r="AV249" s="9"/>
      <c r="AW249" s="9"/>
      <c r="AX249" s="9"/>
      <c r="AY249" s="9"/>
      <c r="AZ249" s="9"/>
      <c r="BA249" s="9"/>
      <c r="BB249" s="9"/>
      <c r="BC249" s="9"/>
      <c r="BD249" s="9"/>
      <c r="BE249" s="9"/>
      <c r="BF249" s="9"/>
      <c r="BG249" s="9"/>
      <c r="BH249" s="9"/>
    </row>
    <row r="250" spans="1:60" ht="12.5" hidden="1">
      <c r="A250" s="6" t="s">
        <v>1155</v>
      </c>
      <c r="B250" s="16">
        <v>45618</v>
      </c>
      <c r="C250" s="8">
        <v>45628</v>
      </c>
      <c r="D250" s="9" t="s">
        <v>41</v>
      </c>
      <c r="E250" s="9" t="s">
        <v>1156</v>
      </c>
      <c r="F250" s="9"/>
      <c r="G250" s="9" t="s">
        <v>43</v>
      </c>
      <c r="H250" s="10">
        <v>9.99</v>
      </c>
      <c r="I250" s="9" t="s">
        <v>44</v>
      </c>
      <c r="J250" s="9" t="s">
        <v>45</v>
      </c>
      <c r="K250" s="9" t="s">
        <v>1157</v>
      </c>
      <c r="L250" s="11" t="s">
        <v>47</v>
      </c>
      <c r="M250" s="9" t="s">
        <v>48</v>
      </c>
      <c r="N250" s="9" t="s">
        <v>48</v>
      </c>
      <c r="O250" s="12" t="s">
        <v>337</v>
      </c>
      <c r="P250" s="6" t="s">
        <v>338</v>
      </c>
      <c r="Q250" s="9" t="s">
        <v>339</v>
      </c>
      <c r="R250" s="13">
        <v>1</v>
      </c>
      <c r="S250" s="9" t="s">
        <v>99</v>
      </c>
      <c r="T250" s="9" t="s">
        <v>53</v>
      </c>
      <c r="U250" s="9" t="s">
        <v>54</v>
      </c>
      <c r="V250" s="9" t="s">
        <v>61</v>
      </c>
      <c r="W250" s="9"/>
      <c r="X250" s="9"/>
      <c r="Y250" s="13">
        <v>71.8</v>
      </c>
      <c r="Z250" s="13">
        <v>1</v>
      </c>
      <c r="AA250" s="9"/>
      <c r="AB250" s="9"/>
      <c r="AC250" s="9"/>
      <c r="AD250" s="9"/>
      <c r="AE250" s="9"/>
      <c r="AF250" s="9"/>
      <c r="AG250" s="9"/>
      <c r="AH250" s="9"/>
      <c r="AI250" s="9"/>
      <c r="AJ250" s="9"/>
      <c r="AK250" s="14" t="e">
        <f t="shared" si="0"/>
        <v>#DIV/0!</v>
      </c>
      <c r="AL250" s="9"/>
      <c r="AM250" s="9"/>
      <c r="AN250" s="9"/>
      <c r="AO250" s="6"/>
      <c r="AP250" s="9"/>
      <c r="AQ250" s="9"/>
      <c r="AR250" s="9"/>
      <c r="AS250" s="9"/>
      <c r="AT250" s="9"/>
      <c r="AU250" s="9"/>
      <c r="AV250" s="9"/>
      <c r="AW250" s="9"/>
      <c r="AX250" s="9"/>
      <c r="AY250" s="9"/>
      <c r="AZ250" s="9"/>
      <c r="BA250" s="9"/>
      <c r="BB250" s="9"/>
      <c r="BC250" s="9"/>
      <c r="BD250" s="9"/>
      <c r="BE250" s="9"/>
      <c r="BF250" s="9"/>
      <c r="BG250" s="9"/>
      <c r="BH250" s="9"/>
    </row>
    <row r="251" spans="1:60" ht="12.5" hidden="1">
      <c r="A251" s="6" t="s">
        <v>1158</v>
      </c>
      <c r="B251" s="16">
        <v>45640</v>
      </c>
      <c r="C251" s="8">
        <v>45651</v>
      </c>
      <c r="D251" s="9" t="s">
        <v>41</v>
      </c>
      <c r="E251" s="9" t="s">
        <v>1159</v>
      </c>
      <c r="F251" s="9"/>
      <c r="G251" s="9" t="s">
        <v>43</v>
      </c>
      <c r="H251" s="10">
        <v>11.74</v>
      </c>
      <c r="I251" s="9" t="s">
        <v>44</v>
      </c>
      <c r="J251" s="9" t="s">
        <v>45</v>
      </c>
      <c r="K251" s="9" t="s">
        <v>1160</v>
      </c>
      <c r="L251" s="11" t="s">
        <v>58</v>
      </c>
      <c r="M251" s="9" t="s">
        <v>48</v>
      </c>
      <c r="N251" s="9" t="s">
        <v>48</v>
      </c>
      <c r="O251" s="12" t="s">
        <v>357</v>
      </c>
      <c r="P251" s="6" t="s">
        <v>358</v>
      </c>
      <c r="Q251" s="9" t="s">
        <v>359</v>
      </c>
      <c r="R251" s="13">
        <v>1</v>
      </c>
      <c r="S251" s="9" t="s">
        <v>75</v>
      </c>
      <c r="T251" s="9" t="s">
        <v>53</v>
      </c>
      <c r="U251" s="9" t="s">
        <v>54</v>
      </c>
      <c r="V251" s="9" t="s">
        <v>55</v>
      </c>
      <c r="W251" s="9"/>
      <c r="X251" s="9"/>
      <c r="Y251" s="13">
        <v>73.430000000000007</v>
      </c>
      <c r="Z251" s="13">
        <v>1</v>
      </c>
      <c r="AA251" s="9"/>
      <c r="AB251" s="9"/>
      <c r="AC251" s="9"/>
      <c r="AD251" s="9"/>
      <c r="AE251" s="9"/>
      <c r="AF251" s="13">
        <v>61.69</v>
      </c>
      <c r="AG251" s="9"/>
      <c r="AH251" s="9"/>
      <c r="AI251" s="9">
        <v>1</v>
      </c>
      <c r="AJ251" s="9">
        <v>11</v>
      </c>
      <c r="AK251" s="14">
        <f t="shared" si="0"/>
        <v>9.0909090909090912E-2</v>
      </c>
      <c r="AL251" s="9"/>
      <c r="AM251" s="9"/>
      <c r="AN251" s="9"/>
      <c r="AO251" s="6"/>
      <c r="AP251" s="9"/>
      <c r="AQ251" s="9"/>
      <c r="AR251" s="9"/>
      <c r="AS251" s="9"/>
      <c r="AT251" s="9"/>
      <c r="AU251" s="9"/>
      <c r="AV251" s="9"/>
      <c r="AW251" s="9"/>
      <c r="AX251" s="9"/>
      <c r="AY251" s="9"/>
      <c r="AZ251" s="9"/>
      <c r="BA251" s="9"/>
      <c r="BB251" s="9"/>
      <c r="BC251" s="9"/>
      <c r="BD251" s="9"/>
      <c r="BE251" s="9"/>
      <c r="BF251" s="9"/>
      <c r="BG251" s="9"/>
      <c r="BH251" s="9"/>
    </row>
    <row r="252" spans="1:60" ht="12.5" hidden="1">
      <c r="A252" s="6" t="s">
        <v>1161</v>
      </c>
      <c r="B252" s="16">
        <v>45633</v>
      </c>
      <c r="C252" s="8">
        <v>45642</v>
      </c>
      <c r="D252" s="9" t="s">
        <v>41</v>
      </c>
      <c r="E252" s="9"/>
      <c r="F252" s="9"/>
      <c r="G252" s="9" t="s">
        <v>137</v>
      </c>
      <c r="H252" s="10">
        <v>0</v>
      </c>
      <c r="I252" s="9"/>
      <c r="J252" s="9"/>
      <c r="K252" s="9"/>
      <c r="L252" s="11" t="s">
        <v>47</v>
      </c>
      <c r="M252" s="9" t="s">
        <v>48</v>
      </c>
      <c r="N252" s="9" t="s">
        <v>48</v>
      </c>
      <c r="O252" s="12" t="s">
        <v>1162</v>
      </c>
      <c r="P252" s="6" t="s">
        <v>1163</v>
      </c>
      <c r="Q252" s="9" t="s">
        <v>1164</v>
      </c>
      <c r="R252" s="13">
        <v>1</v>
      </c>
      <c r="S252" s="9" t="s">
        <v>421</v>
      </c>
      <c r="T252" s="9" t="s">
        <v>53</v>
      </c>
      <c r="U252" s="9" t="s">
        <v>54</v>
      </c>
      <c r="V252" s="9" t="s">
        <v>141</v>
      </c>
      <c r="W252" s="9"/>
      <c r="X252" s="9"/>
      <c r="Y252" s="13">
        <v>48.89</v>
      </c>
      <c r="Z252" s="13">
        <v>1</v>
      </c>
      <c r="AA252" s="9"/>
      <c r="AB252" s="9"/>
      <c r="AC252" s="9"/>
      <c r="AD252" s="9"/>
      <c r="AE252" s="9"/>
      <c r="AF252" s="13">
        <v>48.89</v>
      </c>
      <c r="AG252" s="9"/>
      <c r="AH252" s="9"/>
      <c r="AI252" s="9">
        <v>1</v>
      </c>
      <c r="AJ252" s="9">
        <v>1</v>
      </c>
      <c r="AK252" s="14">
        <f t="shared" si="0"/>
        <v>1</v>
      </c>
      <c r="AL252" s="9"/>
      <c r="AM252" s="9"/>
      <c r="AN252" s="9"/>
      <c r="AO252" s="6"/>
      <c r="AP252" s="9"/>
      <c r="AQ252" s="9"/>
      <c r="AR252" s="9"/>
      <c r="AS252" s="9"/>
      <c r="AT252" s="9"/>
      <c r="AU252" s="9"/>
      <c r="AV252" s="9"/>
      <c r="AW252" s="9"/>
      <c r="AX252" s="9"/>
      <c r="AY252" s="9"/>
      <c r="AZ252" s="9"/>
      <c r="BA252" s="9"/>
      <c r="BB252" s="9"/>
      <c r="BC252" s="9"/>
      <c r="BD252" s="9"/>
      <c r="BE252" s="9"/>
      <c r="BF252" s="9"/>
      <c r="BG252" s="9"/>
      <c r="BH252" s="9"/>
    </row>
    <row r="253" spans="1:60" ht="12.5" hidden="1">
      <c r="A253" s="6" t="s">
        <v>1165</v>
      </c>
      <c r="B253" s="16">
        <v>45638</v>
      </c>
      <c r="C253" s="8">
        <v>45649</v>
      </c>
      <c r="D253" s="9" t="s">
        <v>41</v>
      </c>
      <c r="E253" s="9" t="s">
        <v>1166</v>
      </c>
      <c r="F253" s="9"/>
      <c r="G253" s="9" t="s">
        <v>43</v>
      </c>
      <c r="H253" s="10">
        <v>7.04</v>
      </c>
      <c r="I253" s="9" t="s">
        <v>44</v>
      </c>
      <c r="J253" s="9" t="s">
        <v>45</v>
      </c>
      <c r="K253" s="9" t="s">
        <v>1167</v>
      </c>
      <c r="L253" s="11" t="s">
        <v>47</v>
      </c>
      <c r="M253" s="9" t="s">
        <v>48</v>
      </c>
      <c r="N253" s="9" t="s">
        <v>48</v>
      </c>
      <c r="O253" s="12" t="s">
        <v>390</v>
      </c>
      <c r="P253" s="6" t="s">
        <v>391</v>
      </c>
      <c r="Q253" s="9" t="s">
        <v>392</v>
      </c>
      <c r="R253" s="13">
        <v>1</v>
      </c>
      <c r="S253" s="9" t="s">
        <v>92</v>
      </c>
      <c r="T253" s="9" t="s">
        <v>53</v>
      </c>
      <c r="U253" s="9" t="s">
        <v>54</v>
      </c>
      <c r="V253" s="9" t="s">
        <v>560</v>
      </c>
      <c r="W253" s="9"/>
      <c r="X253" s="9"/>
      <c r="Y253" s="13">
        <v>45.29</v>
      </c>
      <c r="Z253" s="13">
        <v>1</v>
      </c>
      <c r="AA253" s="9"/>
      <c r="AB253" s="9"/>
      <c r="AC253" s="9"/>
      <c r="AD253" s="9"/>
      <c r="AE253" s="9"/>
      <c r="AF253" s="9"/>
      <c r="AG253" s="9"/>
      <c r="AH253" s="9"/>
      <c r="AI253" s="9">
        <v>3</v>
      </c>
      <c r="AJ253" s="9">
        <v>37</v>
      </c>
      <c r="AK253" s="14">
        <f t="shared" si="0"/>
        <v>8.1081081081081086E-2</v>
      </c>
      <c r="AL253" s="9"/>
      <c r="AM253" s="9"/>
      <c r="AN253" s="9" t="s">
        <v>1168</v>
      </c>
      <c r="AO253" s="6"/>
      <c r="AP253" s="9"/>
      <c r="AQ253" s="9"/>
      <c r="AR253" s="9"/>
      <c r="AS253" s="9"/>
      <c r="AT253" s="9"/>
      <c r="AU253" s="9"/>
      <c r="AV253" s="9"/>
      <c r="AW253" s="9"/>
      <c r="AX253" s="9"/>
      <c r="AY253" s="9"/>
      <c r="AZ253" s="9"/>
      <c r="BA253" s="9"/>
      <c r="BB253" s="9"/>
      <c r="BC253" s="9"/>
      <c r="BD253" s="9"/>
      <c r="BE253" s="9"/>
      <c r="BF253" s="9"/>
      <c r="BG253" s="9"/>
      <c r="BH253" s="9"/>
    </row>
    <row r="254" spans="1:60" ht="12.5" hidden="1">
      <c r="A254" s="6" t="s">
        <v>1169</v>
      </c>
      <c r="B254" s="16">
        <v>45638</v>
      </c>
      <c r="C254" s="8">
        <v>45648</v>
      </c>
      <c r="D254" s="9" t="s">
        <v>41</v>
      </c>
      <c r="E254" s="9" t="s">
        <v>1170</v>
      </c>
      <c r="F254" s="9"/>
      <c r="G254" s="9" t="s">
        <v>43</v>
      </c>
      <c r="H254" s="10">
        <v>7.04</v>
      </c>
      <c r="I254" s="9" t="s">
        <v>44</v>
      </c>
      <c r="J254" s="9" t="s">
        <v>45</v>
      </c>
      <c r="K254" s="9" t="s">
        <v>1171</v>
      </c>
      <c r="L254" s="11" t="s">
        <v>58</v>
      </c>
      <c r="M254" s="9" t="s">
        <v>48</v>
      </c>
      <c r="N254" s="9" t="s">
        <v>48</v>
      </c>
      <c r="O254" s="12" t="s">
        <v>390</v>
      </c>
      <c r="P254" s="6" t="s">
        <v>391</v>
      </c>
      <c r="Q254" s="9" t="s">
        <v>392</v>
      </c>
      <c r="R254" s="13">
        <v>1</v>
      </c>
      <c r="S254" s="9" t="s">
        <v>68</v>
      </c>
      <c r="T254" s="9" t="s">
        <v>53</v>
      </c>
      <c r="U254" s="9" t="s">
        <v>54</v>
      </c>
      <c r="V254" s="9" t="s">
        <v>55</v>
      </c>
      <c r="W254" s="9"/>
      <c r="X254" s="9"/>
      <c r="Y254" s="13">
        <v>44.54</v>
      </c>
      <c r="Z254" s="13">
        <v>1</v>
      </c>
      <c r="AA254" s="9"/>
      <c r="AB254" s="9"/>
      <c r="AC254" s="9"/>
      <c r="AD254" s="9"/>
      <c r="AE254" s="9"/>
      <c r="AF254" s="13">
        <v>37.5</v>
      </c>
      <c r="AG254" s="9"/>
      <c r="AH254" s="9"/>
      <c r="AI254" s="9"/>
      <c r="AJ254" s="9"/>
      <c r="AK254" s="14" t="e">
        <f t="shared" si="0"/>
        <v>#DIV/0!</v>
      </c>
      <c r="AL254" s="9"/>
      <c r="AM254" s="9"/>
      <c r="AN254" s="9"/>
      <c r="AO254" s="6"/>
      <c r="AP254" s="9"/>
      <c r="AQ254" s="9"/>
      <c r="AR254" s="9"/>
      <c r="AS254" s="9"/>
      <c r="AT254" s="9"/>
      <c r="AU254" s="9"/>
      <c r="AV254" s="9"/>
      <c r="AW254" s="9"/>
      <c r="AX254" s="9"/>
      <c r="AY254" s="9"/>
      <c r="AZ254" s="9"/>
      <c r="BA254" s="9"/>
      <c r="BB254" s="9"/>
      <c r="BC254" s="9"/>
      <c r="BD254" s="9"/>
      <c r="BE254" s="9"/>
      <c r="BF254" s="9"/>
      <c r="BG254" s="9"/>
      <c r="BH254" s="9"/>
    </row>
    <row r="255" spans="1:60" ht="12.5" hidden="1">
      <c r="A255" s="6" t="s">
        <v>1172</v>
      </c>
      <c r="B255" s="16">
        <v>45616</v>
      </c>
      <c r="C255" s="8">
        <v>45627</v>
      </c>
      <c r="D255" s="9" t="s">
        <v>41</v>
      </c>
      <c r="E255" s="9" t="s">
        <v>1173</v>
      </c>
      <c r="F255" s="9"/>
      <c r="G255" s="9" t="s">
        <v>43</v>
      </c>
      <c r="H255" s="10">
        <v>7.04</v>
      </c>
      <c r="I255" s="9" t="s">
        <v>44</v>
      </c>
      <c r="J255" s="9" t="s">
        <v>45</v>
      </c>
      <c r="K255" s="9" t="s">
        <v>1174</v>
      </c>
      <c r="L255" s="11" t="s">
        <v>47</v>
      </c>
      <c r="M255" s="9" t="s">
        <v>48</v>
      </c>
      <c r="N255" s="9" t="s">
        <v>48</v>
      </c>
      <c r="O255" s="12" t="s">
        <v>390</v>
      </c>
      <c r="P255" s="6" t="s">
        <v>391</v>
      </c>
      <c r="Q255" s="9" t="s">
        <v>392</v>
      </c>
      <c r="R255" s="13">
        <v>1</v>
      </c>
      <c r="S255" s="9" t="s">
        <v>99</v>
      </c>
      <c r="T255" s="9" t="s">
        <v>53</v>
      </c>
      <c r="U255" s="9" t="s">
        <v>54</v>
      </c>
      <c r="V255" s="9" t="s">
        <v>55</v>
      </c>
      <c r="W255" s="9"/>
      <c r="X255" s="9"/>
      <c r="Y255" s="13">
        <v>44.54</v>
      </c>
      <c r="Z255" s="13">
        <v>1</v>
      </c>
      <c r="AA255" s="9"/>
      <c r="AB255" s="9"/>
      <c r="AC255" s="9"/>
      <c r="AD255" s="9"/>
      <c r="AE255" s="9"/>
      <c r="AF255" s="13">
        <v>44.54</v>
      </c>
      <c r="AG255" s="9"/>
      <c r="AH255" s="9"/>
      <c r="AI255" s="9"/>
      <c r="AJ255" s="9"/>
      <c r="AK255" s="14" t="e">
        <f t="shared" si="0"/>
        <v>#DIV/0!</v>
      </c>
      <c r="AL255" s="9"/>
      <c r="AM255" s="9"/>
      <c r="AN255" s="9"/>
      <c r="AO255" s="6"/>
      <c r="AP255" s="9"/>
      <c r="AQ255" s="9"/>
      <c r="AR255" s="9"/>
      <c r="AS255" s="9"/>
      <c r="AT255" s="9"/>
      <c r="AU255" s="9"/>
      <c r="AV255" s="9"/>
      <c r="AW255" s="9"/>
      <c r="AX255" s="9"/>
      <c r="AY255" s="9"/>
      <c r="AZ255" s="9"/>
      <c r="BA255" s="9"/>
      <c r="BB255" s="9"/>
      <c r="BC255" s="9"/>
      <c r="BD255" s="9"/>
      <c r="BE255" s="9"/>
      <c r="BF255" s="9"/>
      <c r="BG255" s="9"/>
      <c r="BH255" s="9"/>
    </row>
    <row r="256" spans="1:60" ht="12.5" hidden="1">
      <c r="A256" s="6" t="s">
        <v>1175</v>
      </c>
      <c r="B256" s="16">
        <v>45626</v>
      </c>
      <c r="C256" s="8">
        <v>45633</v>
      </c>
      <c r="D256" s="9" t="s">
        <v>41</v>
      </c>
      <c r="E256" s="9" t="s">
        <v>1176</v>
      </c>
      <c r="F256" s="9"/>
      <c r="G256" s="9" t="s">
        <v>43</v>
      </c>
      <c r="H256" s="10">
        <v>9.99</v>
      </c>
      <c r="I256" s="9" t="s">
        <v>44</v>
      </c>
      <c r="J256" s="9" t="s">
        <v>45</v>
      </c>
      <c r="K256" s="9" t="s">
        <v>1177</v>
      </c>
      <c r="L256" s="11" t="s">
        <v>58</v>
      </c>
      <c r="M256" s="9" t="s">
        <v>48</v>
      </c>
      <c r="N256" s="9" t="s">
        <v>48</v>
      </c>
      <c r="O256" s="12" t="s">
        <v>1178</v>
      </c>
      <c r="P256" s="6" t="s">
        <v>1179</v>
      </c>
      <c r="Q256" s="9" t="s">
        <v>1180</v>
      </c>
      <c r="R256" s="13">
        <v>1</v>
      </c>
      <c r="S256" s="9" t="s">
        <v>75</v>
      </c>
      <c r="T256" s="9" t="s">
        <v>53</v>
      </c>
      <c r="U256" s="9" t="s">
        <v>54</v>
      </c>
      <c r="V256" s="9" t="s">
        <v>61</v>
      </c>
      <c r="W256" s="9"/>
      <c r="X256" s="9"/>
      <c r="Y256" s="13">
        <v>94.11</v>
      </c>
      <c r="Z256" s="13">
        <v>1</v>
      </c>
      <c r="AA256" s="9"/>
      <c r="AB256" s="9"/>
      <c r="AC256" s="9"/>
      <c r="AD256" s="9"/>
      <c r="AE256" s="9"/>
      <c r="AF256" s="9"/>
      <c r="AG256" s="9"/>
      <c r="AH256" s="9"/>
      <c r="AI256" s="9">
        <v>1</v>
      </c>
      <c r="AJ256" s="9">
        <v>10</v>
      </c>
      <c r="AK256" s="14">
        <f t="shared" si="0"/>
        <v>0.1</v>
      </c>
      <c r="AL256" s="9"/>
      <c r="AM256" s="9"/>
      <c r="AN256" s="9"/>
      <c r="AO256" s="6"/>
      <c r="AP256" s="9"/>
      <c r="AQ256" s="9"/>
      <c r="AR256" s="9"/>
      <c r="AS256" s="9"/>
      <c r="AT256" s="9"/>
      <c r="AU256" s="9"/>
      <c r="AV256" s="9"/>
      <c r="AW256" s="9"/>
      <c r="AX256" s="9"/>
      <c r="AY256" s="9"/>
      <c r="AZ256" s="9"/>
      <c r="BA256" s="9"/>
      <c r="BB256" s="9"/>
      <c r="BC256" s="9"/>
      <c r="BD256" s="9"/>
      <c r="BE256" s="9"/>
      <c r="BF256" s="9"/>
      <c r="BG256" s="9"/>
      <c r="BH256" s="9"/>
    </row>
    <row r="257" spans="1:60" ht="12.5" hidden="1">
      <c r="A257" s="6" t="s">
        <v>1181</v>
      </c>
      <c r="B257" s="16">
        <v>45623</v>
      </c>
      <c r="C257" s="8">
        <v>45631</v>
      </c>
      <c r="D257" s="9" t="s">
        <v>41</v>
      </c>
      <c r="E257" s="9" t="s">
        <v>1182</v>
      </c>
      <c r="F257" s="9"/>
      <c r="G257" s="9" t="s">
        <v>43</v>
      </c>
      <c r="H257" s="10">
        <v>10.26</v>
      </c>
      <c r="I257" s="9" t="s">
        <v>44</v>
      </c>
      <c r="J257" s="9" t="s">
        <v>45</v>
      </c>
      <c r="K257" s="9" t="s">
        <v>1183</v>
      </c>
      <c r="L257" s="11" t="s">
        <v>58</v>
      </c>
      <c r="M257" s="9" t="s">
        <v>48</v>
      </c>
      <c r="N257" s="9" t="s">
        <v>48</v>
      </c>
      <c r="O257" s="12" t="s">
        <v>396</v>
      </c>
      <c r="P257" s="6" t="s">
        <v>397</v>
      </c>
      <c r="Q257" s="9" t="s">
        <v>402</v>
      </c>
      <c r="R257" s="13">
        <v>1</v>
      </c>
      <c r="S257" s="9" t="s">
        <v>75</v>
      </c>
      <c r="T257" s="9" t="s">
        <v>53</v>
      </c>
      <c r="U257" s="9" t="s">
        <v>54</v>
      </c>
      <c r="V257" s="9" t="s">
        <v>55</v>
      </c>
      <c r="W257" s="9"/>
      <c r="X257" s="9"/>
      <c r="Y257" s="13">
        <v>66.22</v>
      </c>
      <c r="Z257" s="13">
        <v>1</v>
      </c>
      <c r="AA257" s="9"/>
      <c r="AB257" s="9"/>
      <c r="AC257" s="9"/>
      <c r="AD257" s="9"/>
      <c r="AE257" s="9"/>
      <c r="AF257" s="13">
        <v>55.96</v>
      </c>
      <c r="AG257" s="9"/>
      <c r="AH257" s="9"/>
      <c r="AI257" s="9">
        <v>1</v>
      </c>
      <c r="AJ257" s="9">
        <v>11</v>
      </c>
      <c r="AK257" s="14">
        <f t="shared" ref="AK257:AK511" si="1">AI257/AJ257*1</f>
        <v>9.0909090909090912E-2</v>
      </c>
      <c r="AL257" s="9"/>
      <c r="AM257" s="9"/>
      <c r="AN257" s="9"/>
      <c r="AO257" s="6"/>
      <c r="AP257" s="9"/>
      <c r="AQ257" s="9"/>
      <c r="AR257" s="9"/>
      <c r="AS257" s="9"/>
      <c r="AT257" s="9"/>
      <c r="AU257" s="9"/>
      <c r="AV257" s="9"/>
      <c r="AW257" s="9"/>
      <c r="AX257" s="9"/>
      <c r="AY257" s="9"/>
      <c r="AZ257" s="9"/>
      <c r="BA257" s="9"/>
      <c r="BB257" s="9"/>
      <c r="BC257" s="9"/>
      <c r="BD257" s="9"/>
      <c r="BE257" s="9"/>
      <c r="BF257" s="9"/>
      <c r="BG257" s="9"/>
      <c r="BH257" s="9"/>
    </row>
    <row r="258" spans="1:60" ht="12.5" hidden="1">
      <c r="A258" s="6" t="s">
        <v>1184</v>
      </c>
      <c r="B258" s="16">
        <v>45653</v>
      </c>
      <c r="C258" s="8">
        <v>45656</v>
      </c>
      <c r="D258" s="9" t="s">
        <v>41</v>
      </c>
      <c r="E258" s="9" t="s">
        <v>1185</v>
      </c>
      <c r="F258" s="9"/>
      <c r="G258" s="9" t="s">
        <v>43</v>
      </c>
      <c r="H258" s="10">
        <v>13.45</v>
      </c>
      <c r="I258" s="9" t="s">
        <v>44</v>
      </c>
      <c r="J258" s="9" t="s">
        <v>45</v>
      </c>
      <c r="K258" s="9" t="s">
        <v>1186</v>
      </c>
      <c r="L258" s="11" t="s">
        <v>47</v>
      </c>
      <c r="M258" s="9" t="s">
        <v>48</v>
      </c>
      <c r="N258" s="9" t="s">
        <v>48</v>
      </c>
      <c r="O258" s="12" t="s">
        <v>406</v>
      </c>
      <c r="P258" s="6" t="s">
        <v>407</v>
      </c>
      <c r="Q258" s="9" t="s">
        <v>408</v>
      </c>
      <c r="R258" s="13">
        <v>1</v>
      </c>
      <c r="S258" s="9" t="s">
        <v>92</v>
      </c>
      <c r="T258" s="9" t="s">
        <v>53</v>
      </c>
      <c r="U258" s="9" t="s">
        <v>54</v>
      </c>
      <c r="V258" s="9" t="s">
        <v>55</v>
      </c>
      <c r="W258" s="9"/>
      <c r="X258" s="9"/>
      <c r="Y258" s="13">
        <v>78.37</v>
      </c>
      <c r="Z258" s="13">
        <v>1</v>
      </c>
      <c r="AA258" s="9"/>
      <c r="AB258" s="9"/>
      <c r="AC258" s="9"/>
      <c r="AD258" s="9"/>
      <c r="AE258" s="9"/>
      <c r="AF258" s="13">
        <v>78.37</v>
      </c>
      <c r="AG258" s="9"/>
      <c r="AH258" s="9"/>
      <c r="AI258" s="9">
        <v>2</v>
      </c>
      <c r="AJ258" s="9">
        <v>11</v>
      </c>
      <c r="AK258" s="14">
        <f t="shared" si="1"/>
        <v>0.18181818181818182</v>
      </c>
      <c r="AL258" s="9"/>
      <c r="AM258" s="9"/>
      <c r="AN258" s="9"/>
      <c r="AO258" s="6"/>
      <c r="AP258" s="9"/>
      <c r="AQ258" s="9"/>
      <c r="AR258" s="9"/>
      <c r="AS258" s="9"/>
      <c r="AT258" s="9"/>
      <c r="AU258" s="9"/>
      <c r="AV258" s="9"/>
      <c r="AW258" s="9"/>
      <c r="AX258" s="9"/>
      <c r="AY258" s="9"/>
      <c r="AZ258" s="9"/>
      <c r="BA258" s="9"/>
      <c r="BB258" s="9"/>
      <c r="BC258" s="9"/>
      <c r="BD258" s="9"/>
      <c r="BE258" s="9"/>
      <c r="BF258" s="9"/>
      <c r="BG258" s="9"/>
      <c r="BH258" s="9"/>
    </row>
    <row r="259" spans="1:60" ht="12.5" hidden="1">
      <c r="A259" s="6" t="s">
        <v>1187</v>
      </c>
      <c r="B259" s="16">
        <v>45629</v>
      </c>
      <c r="C259" s="8">
        <v>45632</v>
      </c>
      <c r="D259" s="9" t="s">
        <v>41</v>
      </c>
      <c r="E259" s="9" t="s">
        <v>1188</v>
      </c>
      <c r="F259" s="9"/>
      <c r="G259" s="9" t="s">
        <v>43</v>
      </c>
      <c r="H259" s="10">
        <v>13.06</v>
      </c>
      <c r="I259" s="9" t="s">
        <v>44</v>
      </c>
      <c r="J259" s="9" t="s">
        <v>45</v>
      </c>
      <c r="K259" s="9" t="s">
        <v>1189</v>
      </c>
      <c r="L259" s="11" t="s">
        <v>47</v>
      </c>
      <c r="M259" s="9" t="s">
        <v>48</v>
      </c>
      <c r="N259" s="9" t="s">
        <v>48</v>
      </c>
      <c r="O259" s="12" t="s">
        <v>406</v>
      </c>
      <c r="P259" s="6" t="s">
        <v>407</v>
      </c>
      <c r="Q259" s="9" t="s">
        <v>408</v>
      </c>
      <c r="R259" s="13">
        <v>1</v>
      </c>
      <c r="S259" s="9" t="s">
        <v>52</v>
      </c>
      <c r="T259" s="9" t="s">
        <v>53</v>
      </c>
      <c r="U259" s="9" t="s">
        <v>54</v>
      </c>
      <c r="V259" s="9" t="s">
        <v>55</v>
      </c>
      <c r="W259" s="9"/>
      <c r="X259" s="9"/>
      <c r="Y259" s="13">
        <v>80.31</v>
      </c>
      <c r="Z259" s="13">
        <v>1</v>
      </c>
      <c r="AA259" s="9"/>
      <c r="AB259" s="9"/>
      <c r="AC259" s="9"/>
      <c r="AD259" s="9"/>
      <c r="AE259" s="9"/>
      <c r="AF259" s="13">
        <v>80.31</v>
      </c>
      <c r="AG259" s="9"/>
      <c r="AH259" s="9"/>
      <c r="AI259" s="9"/>
      <c r="AJ259" s="9"/>
      <c r="AK259" s="14" t="e">
        <f t="shared" si="1"/>
        <v>#DIV/0!</v>
      </c>
      <c r="AL259" s="9"/>
      <c r="AM259" s="9"/>
      <c r="AN259" s="9"/>
      <c r="AO259" s="6"/>
      <c r="AP259" s="9"/>
      <c r="AQ259" s="9"/>
      <c r="AR259" s="9"/>
      <c r="AS259" s="9"/>
      <c r="AT259" s="9"/>
      <c r="AU259" s="9"/>
      <c r="AV259" s="9"/>
      <c r="AW259" s="9"/>
      <c r="AX259" s="9"/>
      <c r="AY259" s="9"/>
      <c r="AZ259" s="9"/>
      <c r="BA259" s="9"/>
      <c r="BB259" s="9"/>
      <c r="BC259" s="9"/>
      <c r="BD259" s="9"/>
      <c r="BE259" s="9"/>
      <c r="BF259" s="9"/>
      <c r="BG259" s="9"/>
      <c r="BH259" s="9"/>
    </row>
    <row r="260" spans="1:60" ht="13" hidden="1">
      <c r="A260" s="6" t="s">
        <v>1190</v>
      </c>
      <c r="B260" s="16">
        <v>45616</v>
      </c>
      <c r="C260" s="8">
        <v>45654</v>
      </c>
      <c r="D260" s="9" t="s">
        <v>41</v>
      </c>
      <c r="E260" s="9" t="s">
        <v>1191</v>
      </c>
      <c r="F260" s="9"/>
      <c r="G260" s="9" t="s">
        <v>43</v>
      </c>
      <c r="H260" s="19">
        <v>70.14</v>
      </c>
      <c r="I260" s="9" t="s">
        <v>44</v>
      </c>
      <c r="J260" s="9" t="s">
        <v>45</v>
      </c>
      <c r="K260" s="9" t="s">
        <v>1192</v>
      </c>
      <c r="L260" s="11" t="s">
        <v>47</v>
      </c>
      <c r="M260" s="9" t="s">
        <v>48</v>
      </c>
      <c r="N260" s="9" t="s">
        <v>48</v>
      </c>
      <c r="O260" s="12" t="s">
        <v>412</v>
      </c>
      <c r="P260" s="6" t="s">
        <v>413</v>
      </c>
      <c r="Q260" s="9" t="s">
        <v>1193</v>
      </c>
      <c r="R260" s="13">
        <v>1</v>
      </c>
      <c r="S260" s="9" t="s">
        <v>52</v>
      </c>
      <c r="T260" s="9" t="s">
        <v>53</v>
      </c>
      <c r="U260" s="9" t="s">
        <v>54</v>
      </c>
      <c r="V260" s="9" t="s">
        <v>55</v>
      </c>
      <c r="W260" s="9"/>
      <c r="X260" s="9"/>
      <c r="Y260" s="13">
        <v>148.30000000000001</v>
      </c>
      <c r="Z260" s="13">
        <v>1</v>
      </c>
      <c r="AA260" s="9"/>
      <c r="AB260" s="9"/>
      <c r="AC260" s="9"/>
      <c r="AD260" s="9"/>
      <c r="AE260" s="9"/>
      <c r="AF260" s="13">
        <v>148.30000000000001</v>
      </c>
      <c r="AG260" s="9"/>
      <c r="AH260" s="9"/>
      <c r="AI260" s="9">
        <v>1</v>
      </c>
      <c r="AJ260" s="9">
        <v>20</v>
      </c>
      <c r="AK260" s="14">
        <f t="shared" si="1"/>
        <v>0.05</v>
      </c>
      <c r="AL260" s="9"/>
      <c r="AM260" s="9"/>
      <c r="AN260" s="9"/>
      <c r="AO260" s="6"/>
      <c r="AP260" s="9"/>
      <c r="AQ260" s="9"/>
      <c r="AR260" s="9"/>
      <c r="AS260" s="9"/>
      <c r="AT260" s="9"/>
      <c r="AU260" s="9"/>
      <c r="AV260" s="9"/>
      <c r="AW260" s="9"/>
      <c r="AX260" s="9"/>
      <c r="AY260" s="9"/>
      <c r="AZ260" s="9"/>
      <c r="BA260" s="9"/>
      <c r="BB260" s="9"/>
      <c r="BC260" s="9"/>
      <c r="BD260" s="9"/>
      <c r="BE260" s="9"/>
      <c r="BF260" s="9"/>
      <c r="BG260" s="9"/>
      <c r="BH260" s="9"/>
    </row>
    <row r="261" spans="1:60" ht="12.5" hidden="1">
      <c r="A261" s="6" t="s">
        <v>1194</v>
      </c>
      <c r="B261" s="16">
        <v>45623</v>
      </c>
      <c r="C261" s="8">
        <v>45630</v>
      </c>
      <c r="D261" s="9" t="s">
        <v>41</v>
      </c>
      <c r="E261" s="9" t="s">
        <v>1195</v>
      </c>
      <c r="F261" s="9"/>
      <c r="G261" s="9" t="s">
        <v>137</v>
      </c>
      <c r="H261" s="10">
        <v>0</v>
      </c>
      <c r="I261" s="9"/>
      <c r="J261" s="9"/>
      <c r="K261" s="9"/>
      <c r="L261" s="11" t="s">
        <v>47</v>
      </c>
      <c r="M261" s="9" t="s">
        <v>48</v>
      </c>
      <c r="N261" s="9" t="s">
        <v>48</v>
      </c>
      <c r="O261" s="12" t="s">
        <v>1196</v>
      </c>
      <c r="P261" s="6" t="s">
        <v>1197</v>
      </c>
      <c r="Q261" s="9" t="s">
        <v>1198</v>
      </c>
      <c r="R261" s="13">
        <v>1</v>
      </c>
      <c r="S261" s="9" t="s">
        <v>52</v>
      </c>
      <c r="T261" s="9" t="s">
        <v>53</v>
      </c>
      <c r="U261" s="9" t="s">
        <v>54</v>
      </c>
      <c r="V261" s="9" t="s">
        <v>61</v>
      </c>
      <c r="W261" s="9"/>
      <c r="X261" s="9"/>
      <c r="Y261" s="13">
        <v>148.9</v>
      </c>
      <c r="Z261" s="13">
        <v>1</v>
      </c>
      <c r="AA261" s="9"/>
      <c r="AB261" s="9"/>
      <c r="AC261" s="9"/>
      <c r="AD261" s="9"/>
      <c r="AE261" s="9"/>
      <c r="AF261" s="9"/>
      <c r="AG261" s="9"/>
      <c r="AH261" s="9"/>
      <c r="AI261" s="9">
        <v>1</v>
      </c>
      <c r="AJ261" s="9">
        <v>3</v>
      </c>
      <c r="AK261" s="14">
        <f t="shared" si="1"/>
        <v>0.33333333333333331</v>
      </c>
      <c r="AL261" s="9"/>
      <c r="AM261" s="9"/>
      <c r="AN261" s="9"/>
      <c r="AO261" s="6"/>
      <c r="AP261" s="9"/>
      <c r="AQ261" s="9"/>
      <c r="AR261" s="9"/>
      <c r="AS261" s="9"/>
      <c r="AT261" s="9"/>
      <c r="AU261" s="9"/>
      <c r="AV261" s="9"/>
      <c r="AW261" s="9"/>
      <c r="AX261" s="9"/>
      <c r="AY261" s="9"/>
      <c r="AZ261" s="9"/>
      <c r="BA261" s="9"/>
      <c r="BB261" s="9"/>
      <c r="BC261" s="9"/>
      <c r="BD261" s="9"/>
      <c r="BE261" s="9"/>
      <c r="BF261" s="9"/>
      <c r="BG261" s="9"/>
      <c r="BH261" s="9"/>
    </row>
    <row r="262" spans="1:60" ht="12.5" hidden="1">
      <c r="A262" s="6" t="s">
        <v>1199</v>
      </c>
      <c r="B262" s="16">
        <v>45624</v>
      </c>
      <c r="C262" s="8">
        <v>45629</v>
      </c>
      <c r="D262" s="9" t="s">
        <v>41</v>
      </c>
      <c r="E262" s="9" t="s">
        <v>1200</v>
      </c>
      <c r="F262" s="9"/>
      <c r="G262" s="9" t="s">
        <v>43</v>
      </c>
      <c r="H262" s="10">
        <v>6.81</v>
      </c>
      <c r="I262" s="9" t="s">
        <v>44</v>
      </c>
      <c r="J262" s="9" t="s">
        <v>45</v>
      </c>
      <c r="K262" s="9" t="s">
        <v>1201</v>
      </c>
      <c r="L262" s="11" t="s">
        <v>58</v>
      </c>
      <c r="M262" s="9" t="s">
        <v>48</v>
      </c>
      <c r="N262" s="9" t="s">
        <v>48</v>
      </c>
      <c r="O262" s="12" t="s">
        <v>1202</v>
      </c>
      <c r="P262" s="6" t="s">
        <v>1203</v>
      </c>
      <c r="Q262" s="9" t="s">
        <v>1204</v>
      </c>
      <c r="R262" s="13">
        <v>1</v>
      </c>
      <c r="S262" s="9" t="s">
        <v>75</v>
      </c>
      <c r="T262" s="9" t="s">
        <v>53</v>
      </c>
      <c r="U262" s="9" t="s">
        <v>54</v>
      </c>
      <c r="V262" s="9" t="s">
        <v>61</v>
      </c>
      <c r="W262" s="9"/>
      <c r="X262" s="9"/>
      <c r="Y262" s="13">
        <v>70.22</v>
      </c>
      <c r="Z262" s="13">
        <v>1</v>
      </c>
      <c r="AA262" s="9"/>
      <c r="AB262" s="9"/>
      <c r="AC262" s="9"/>
      <c r="AD262" s="9"/>
      <c r="AE262" s="9"/>
      <c r="AF262" s="9"/>
      <c r="AG262" s="9"/>
      <c r="AH262" s="9"/>
      <c r="AI262" s="9">
        <v>1</v>
      </c>
      <c r="AJ262" s="9">
        <v>2</v>
      </c>
      <c r="AK262" s="14">
        <f t="shared" si="1"/>
        <v>0.5</v>
      </c>
      <c r="AL262" s="9"/>
      <c r="AM262" s="9"/>
      <c r="AN262" s="9"/>
      <c r="AO262" s="6"/>
      <c r="AP262" s="9"/>
      <c r="AQ262" s="9"/>
      <c r="AR262" s="9"/>
      <c r="AS262" s="9"/>
      <c r="AT262" s="9"/>
      <c r="AU262" s="9"/>
      <c r="AV262" s="9"/>
      <c r="AW262" s="9"/>
      <c r="AX262" s="9"/>
      <c r="AY262" s="9"/>
      <c r="AZ262" s="9"/>
      <c r="BA262" s="9"/>
      <c r="BB262" s="9"/>
      <c r="BC262" s="9"/>
      <c r="BD262" s="9"/>
      <c r="BE262" s="9"/>
      <c r="BF262" s="9"/>
      <c r="BG262" s="9"/>
      <c r="BH262" s="9"/>
    </row>
    <row r="263" spans="1:60" ht="12.5" hidden="1">
      <c r="A263" s="6" t="s">
        <v>1205</v>
      </c>
      <c r="B263" s="16">
        <v>45634</v>
      </c>
      <c r="C263" s="8">
        <v>45638</v>
      </c>
      <c r="D263" s="9" t="s">
        <v>41</v>
      </c>
      <c r="E263" s="9" t="s">
        <v>1206</v>
      </c>
      <c r="F263" s="9"/>
      <c r="G263" s="9" t="s">
        <v>43</v>
      </c>
      <c r="H263" s="10">
        <v>11.31</v>
      </c>
      <c r="I263" s="9" t="s">
        <v>44</v>
      </c>
      <c r="J263" s="9" t="s">
        <v>45</v>
      </c>
      <c r="K263" s="9" t="s">
        <v>1207</v>
      </c>
      <c r="L263" s="11" t="s">
        <v>47</v>
      </c>
      <c r="M263" s="9" t="s">
        <v>48</v>
      </c>
      <c r="N263" s="9" t="s">
        <v>48</v>
      </c>
      <c r="O263" s="12" t="s">
        <v>1208</v>
      </c>
      <c r="P263" s="6" t="s">
        <v>1209</v>
      </c>
      <c r="Q263" s="9" t="s">
        <v>1210</v>
      </c>
      <c r="R263" s="13">
        <v>1</v>
      </c>
      <c r="S263" s="9" t="s">
        <v>99</v>
      </c>
      <c r="T263" s="9" t="s">
        <v>53</v>
      </c>
      <c r="U263" s="9" t="s">
        <v>60</v>
      </c>
      <c r="V263" s="9" t="s">
        <v>240</v>
      </c>
      <c r="W263" s="9"/>
      <c r="X263" s="9"/>
      <c r="Y263" s="13">
        <v>126.07</v>
      </c>
      <c r="Z263" s="13">
        <v>1</v>
      </c>
      <c r="AA263" s="9"/>
      <c r="AB263" s="9"/>
      <c r="AC263" s="9"/>
      <c r="AD263" s="9"/>
      <c r="AE263" s="9"/>
      <c r="AF263" s="13">
        <v>126.07</v>
      </c>
      <c r="AG263" s="9"/>
      <c r="AH263" s="9"/>
      <c r="AI263" s="9">
        <v>1</v>
      </c>
      <c r="AJ263" s="9">
        <v>2</v>
      </c>
      <c r="AK263" s="14">
        <f t="shared" si="1"/>
        <v>0.5</v>
      </c>
      <c r="AL263" s="9"/>
      <c r="AM263" s="9"/>
      <c r="AN263" s="9"/>
      <c r="AO263" s="6"/>
      <c r="AP263" s="9"/>
      <c r="AQ263" s="9"/>
      <c r="AR263" s="9"/>
      <c r="AS263" s="9"/>
      <c r="AT263" s="9"/>
      <c r="AU263" s="9"/>
      <c r="AV263" s="9"/>
      <c r="AW263" s="9"/>
      <c r="AX263" s="9"/>
      <c r="AY263" s="9"/>
      <c r="AZ263" s="9"/>
      <c r="BA263" s="9"/>
      <c r="BB263" s="9"/>
      <c r="BC263" s="9"/>
      <c r="BD263" s="9"/>
      <c r="BE263" s="9"/>
      <c r="BF263" s="9"/>
      <c r="BG263" s="9"/>
      <c r="BH263" s="9"/>
    </row>
    <row r="264" spans="1:60" ht="12.5" hidden="1">
      <c r="A264" s="6" t="s">
        <v>1211</v>
      </c>
      <c r="B264" s="16">
        <v>45640</v>
      </c>
      <c r="C264" s="8">
        <v>45645</v>
      </c>
      <c r="D264" s="9" t="s">
        <v>41</v>
      </c>
      <c r="E264" s="9" t="s">
        <v>1212</v>
      </c>
      <c r="F264" s="9"/>
      <c r="G264" s="9" t="s">
        <v>43</v>
      </c>
      <c r="H264" s="10">
        <v>13.51</v>
      </c>
      <c r="I264" s="9" t="s">
        <v>44</v>
      </c>
      <c r="J264" s="9" t="s">
        <v>45</v>
      </c>
      <c r="K264" s="9" t="s">
        <v>1213</v>
      </c>
      <c r="L264" s="11" t="s">
        <v>47</v>
      </c>
      <c r="M264" s="9" t="s">
        <v>48</v>
      </c>
      <c r="N264" s="9" t="s">
        <v>48</v>
      </c>
      <c r="O264" s="12" t="s">
        <v>1214</v>
      </c>
      <c r="P264" s="6" t="s">
        <v>1215</v>
      </c>
      <c r="Q264" s="9" t="s">
        <v>1216</v>
      </c>
      <c r="R264" s="13">
        <v>1</v>
      </c>
      <c r="S264" s="9" t="s">
        <v>99</v>
      </c>
      <c r="T264" s="9" t="s">
        <v>53</v>
      </c>
      <c r="U264" s="9" t="s">
        <v>54</v>
      </c>
      <c r="V264" s="9" t="s">
        <v>55</v>
      </c>
      <c r="W264" s="9"/>
      <c r="X264" s="9"/>
      <c r="Y264" s="13">
        <v>71.180000000000007</v>
      </c>
      <c r="Z264" s="13">
        <v>1</v>
      </c>
      <c r="AA264" s="9"/>
      <c r="AB264" s="9"/>
      <c r="AC264" s="9"/>
      <c r="AD264" s="9"/>
      <c r="AE264" s="9"/>
      <c r="AF264" s="13">
        <v>71.180000000000007</v>
      </c>
      <c r="AG264" s="9"/>
      <c r="AH264" s="9"/>
      <c r="AI264" s="9">
        <v>1</v>
      </c>
      <c r="AJ264" s="9">
        <v>4</v>
      </c>
      <c r="AK264" s="14">
        <f t="shared" si="1"/>
        <v>0.25</v>
      </c>
      <c r="AL264" s="9"/>
      <c r="AM264" s="9"/>
      <c r="AN264" s="9"/>
      <c r="AO264" s="6"/>
      <c r="AP264" s="9"/>
      <c r="AQ264" s="9"/>
      <c r="AR264" s="9"/>
      <c r="AS264" s="9"/>
      <c r="AT264" s="9"/>
      <c r="AU264" s="9"/>
      <c r="AV264" s="9"/>
      <c r="AW264" s="9"/>
      <c r="AX264" s="9"/>
      <c r="AY264" s="9"/>
      <c r="AZ264" s="9"/>
      <c r="BA264" s="9"/>
      <c r="BB264" s="9"/>
      <c r="BC264" s="9"/>
      <c r="BD264" s="9"/>
      <c r="BE264" s="9"/>
      <c r="BF264" s="9"/>
      <c r="BG264" s="9"/>
      <c r="BH264" s="9"/>
    </row>
    <row r="265" spans="1:60" ht="12.5" hidden="1">
      <c r="A265" s="6" t="s">
        <v>1217</v>
      </c>
      <c r="B265" s="16">
        <v>45643</v>
      </c>
      <c r="C265" s="8">
        <v>45657</v>
      </c>
      <c r="D265" s="9" t="s">
        <v>41</v>
      </c>
      <c r="E265" s="9" t="s">
        <v>1218</v>
      </c>
      <c r="F265" s="9"/>
      <c r="G265" s="9" t="s">
        <v>43</v>
      </c>
      <c r="H265" s="10">
        <v>17.309999999999999</v>
      </c>
      <c r="I265" s="9" t="s">
        <v>44</v>
      </c>
      <c r="J265" s="9" t="s">
        <v>45</v>
      </c>
      <c r="K265" s="9" t="s">
        <v>1219</v>
      </c>
      <c r="L265" s="11" t="s">
        <v>58</v>
      </c>
      <c r="M265" s="9" t="s">
        <v>48</v>
      </c>
      <c r="N265" s="9" t="s">
        <v>48</v>
      </c>
      <c r="O265" s="12" t="s">
        <v>431</v>
      </c>
      <c r="P265" s="6" t="s">
        <v>432</v>
      </c>
      <c r="Q265" s="9" t="s">
        <v>433</v>
      </c>
      <c r="R265" s="13">
        <v>1</v>
      </c>
      <c r="S265" s="9" t="s">
        <v>75</v>
      </c>
      <c r="T265" s="9" t="s">
        <v>53</v>
      </c>
      <c r="U265" s="9" t="s">
        <v>54</v>
      </c>
      <c r="V265" s="9" t="s">
        <v>55</v>
      </c>
      <c r="W265" s="9"/>
      <c r="X265" s="9"/>
      <c r="Y265" s="13">
        <v>121.83</v>
      </c>
      <c r="Z265" s="13">
        <v>1</v>
      </c>
      <c r="AA265" s="9"/>
      <c r="AB265" s="9"/>
      <c r="AC265" s="9"/>
      <c r="AD265" s="9"/>
      <c r="AE265" s="9"/>
      <c r="AF265" s="13">
        <v>104.52</v>
      </c>
      <c r="AG265" s="9"/>
      <c r="AH265" s="9"/>
      <c r="AI265" s="9">
        <v>1</v>
      </c>
      <c r="AJ265" s="9">
        <v>2</v>
      </c>
      <c r="AK265" s="14">
        <f t="shared" si="1"/>
        <v>0.5</v>
      </c>
      <c r="AL265" s="9"/>
      <c r="AM265" s="9"/>
      <c r="AN265" s="9"/>
      <c r="AO265" s="6"/>
      <c r="AP265" s="9"/>
      <c r="AQ265" s="9"/>
      <c r="AR265" s="9"/>
      <c r="AS265" s="9"/>
      <c r="AT265" s="9"/>
      <c r="AU265" s="9"/>
      <c r="AV265" s="9"/>
      <c r="AW265" s="9"/>
      <c r="AX265" s="9"/>
      <c r="AY265" s="9"/>
      <c r="AZ265" s="9"/>
      <c r="BA265" s="9"/>
      <c r="BB265" s="9"/>
      <c r="BC265" s="9"/>
      <c r="BD265" s="9"/>
      <c r="BE265" s="9"/>
      <c r="BF265" s="9"/>
      <c r="BG265" s="9"/>
      <c r="BH265" s="9"/>
    </row>
    <row r="266" spans="1:60" ht="12.5" hidden="1">
      <c r="A266" s="6" t="s">
        <v>1220</v>
      </c>
      <c r="B266" s="16">
        <v>45621</v>
      </c>
      <c r="C266" s="8">
        <v>45630</v>
      </c>
      <c r="D266" s="9" t="s">
        <v>41</v>
      </c>
      <c r="E266" s="9" t="s">
        <v>1221</v>
      </c>
      <c r="F266" s="9"/>
      <c r="G266" s="9" t="s">
        <v>43</v>
      </c>
      <c r="H266" s="10">
        <v>11.74</v>
      </c>
      <c r="I266" s="9" t="s">
        <v>44</v>
      </c>
      <c r="J266" s="9" t="s">
        <v>45</v>
      </c>
      <c r="K266" s="9" t="s">
        <v>1222</v>
      </c>
      <c r="L266" s="11" t="s">
        <v>47</v>
      </c>
      <c r="M266" s="9" t="s">
        <v>48</v>
      </c>
      <c r="N266" s="9" t="s">
        <v>48</v>
      </c>
      <c r="O266" s="12" t="s">
        <v>1223</v>
      </c>
      <c r="P266" s="6" t="s">
        <v>1224</v>
      </c>
      <c r="Q266" s="9" t="s">
        <v>1225</v>
      </c>
      <c r="R266" s="13">
        <v>1</v>
      </c>
      <c r="S266" s="9" t="s">
        <v>92</v>
      </c>
      <c r="T266" s="9" t="s">
        <v>53</v>
      </c>
      <c r="U266" s="9" t="s">
        <v>54</v>
      </c>
      <c r="V266" s="9" t="s">
        <v>55</v>
      </c>
      <c r="W266" s="9"/>
      <c r="X266" s="9"/>
      <c r="Y266" s="13">
        <v>106.01</v>
      </c>
      <c r="Z266" s="13">
        <v>1</v>
      </c>
      <c r="AA266" s="9"/>
      <c r="AB266" s="9"/>
      <c r="AC266" s="9"/>
      <c r="AD266" s="9"/>
      <c r="AE266" s="9"/>
      <c r="AF266" s="13">
        <v>106.01</v>
      </c>
      <c r="AG266" s="9"/>
      <c r="AH266" s="9"/>
      <c r="AI266" s="9">
        <v>1</v>
      </c>
      <c r="AJ266" s="9">
        <v>3</v>
      </c>
      <c r="AK266" s="14">
        <f t="shared" si="1"/>
        <v>0.33333333333333331</v>
      </c>
      <c r="AL266" s="9"/>
      <c r="AM266" s="9"/>
      <c r="AN266" s="9"/>
      <c r="AO266" s="6"/>
      <c r="AP266" s="9"/>
      <c r="AQ266" s="9"/>
      <c r="AR266" s="9"/>
      <c r="AS266" s="9"/>
      <c r="AT266" s="9"/>
      <c r="AU266" s="9"/>
      <c r="AV266" s="9"/>
      <c r="AW266" s="9"/>
      <c r="AX266" s="9"/>
      <c r="AY266" s="9"/>
      <c r="AZ266" s="9"/>
      <c r="BA266" s="9"/>
      <c r="BB266" s="9"/>
      <c r="BC266" s="9"/>
      <c r="BD266" s="9"/>
      <c r="BE266" s="9"/>
      <c r="BF266" s="9"/>
      <c r="BG266" s="9"/>
      <c r="BH266" s="9"/>
    </row>
    <row r="267" spans="1:60" ht="12.5" hidden="1">
      <c r="A267" s="6" t="s">
        <v>1226</v>
      </c>
      <c r="B267" s="16">
        <v>45619</v>
      </c>
      <c r="C267" s="8">
        <v>45652</v>
      </c>
      <c r="D267" s="9" t="s">
        <v>41</v>
      </c>
      <c r="E267" s="9" t="s">
        <v>1227</v>
      </c>
      <c r="F267" s="9"/>
      <c r="G267" s="9" t="s">
        <v>43</v>
      </c>
      <c r="H267" s="10">
        <v>16.8</v>
      </c>
      <c r="I267" s="9" t="s">
        <v>44</v>
      </c>
      <c r="J267" s="9" t="s">
        <v>45</v>
      </c>
      <c r="K267" s="9" t="s">
        <v>1228</v>
      </c>
      <c r="L267" s="11" t="s">
        <v>58</v>
      </c>
      <c r="M267" s="9" t="s">
        <v>48</v>
      </c>
      <c r="N267" s="9" t="s">
        <v>48</v>
      </c>
      <c r="O267" s="12" t="s">
        <v>437</v>
      </c>
      <c r="P267" s="6" t="s">
        <v>438</v>
      </c>
      <c r="Q267" s="9" t="s">
        <v>439</v>
      </c>
      <c r="R267" s="13">
        <v>1</v>
      </c>
      <c r="S267" s="9" t="s">
        <v>75</v>
      </c>
      <c r="T267" s="9" t="s">
        <v>53</v>
      </c>
      <c r="U267" s="9" t="s">
        <v>54</v>
      </c>
      <c r="V267" s="9" t="s">
        <v>55</v>
      </c>
      <c r="W267" s="9"/>
      <c r="X267" s="9"/>
      <c r="Y267" s="13">
        <v>122.98</v>
      </c>
      <c r="Z267" s="13">
        <v>1</v>
      </c>
      <c r="AA267" s="9"/>
      <c r="AB267" s="9"/>
      <c r="AC267" s="9"/>
      <c r="AD267" s="9"/>
      <c r="AE267" s="9"/>
      <c r="AF267" s="13">
        <v>106.18</v>
      </c>
      <c r="AG267" s="9"/>
      <c r="AH267" s="9"/>
      <c r="AI267" s="9">
        <v>6</v>
      </c>
      <c r="AJ267" s="9">
        <v>11</v>
      </c>
      <c r="AK267" s="14">
        <f t="shared" si="1"/>
        <v>0.54545454545454541</v>
      </c>
      <c r="AL267" s="9"/>
      <c r="AM267" s="9"/>
      <c r="AN267" s="9"/>
      <c r="AO267" s="6"/>
      <c r="AP267" s="9"/>
      <c r="AQ267" s="9"/>
      <c r="AR267" s="9"/>
      <c r="AS267" s="9"/>
      <c r="AT267" s="9"/>
      <c r="AU267" s="9"/>
      <c r="AV267" s="9"/>
      <c r="AW267" s="9"/>
      <c r="AX267" s="9"/>
      <c r="AY267" s="9"/>
      <c r="AZ267" s="9"/>
      <c r="BA267" s="9"/>
      <c r="BB267" s="9"/>
      <c r="BC267" s="9"/>
      <c r="BD267" s="9"/>
      <c r="BE267" s="9"/>
      <c r="BF267" s="9"/>
      <c r="BG267" s="9"/>
      <c r="BH267" s="9"/>
    </row>
    <row r="268" spans="1:60" ht="12.5" hidden="1">
      <c r="A268" s="6" t="s">
        <v>1229</v>
      </c>
      <c r="B268" s="16">
        <v>45608</v>
      </c>
      <c r="C268" s="8">
        <v>45644</v>
      </c>
      <c r="D268" s="9" t="s">
        <v>41</v>
      </c>
      <c r="E268" s="9" t="s">
        <v>1230</v>
      </c>
      <c r="F268" s="9"/>
      <c r="G268" s="9" t="s">
        <v>43</v>
      </c>
      <c r="H268" s="10">
        <v>16.8</v>
      </c>
      <c r="I268" s="9" t="s">
        <v>44</v>
      </c>
      <c r="J268" s="9" t="s">
        <v>45</v>
      </c>
      <c r="K268" s="9" t="s">
        <v>1231</v>
      </c>
      <c r="L268" s="11" t="s">
        <v>58</v>
      </c>
      <c r="M268" s="9" t="s">
        <v>48</v>
      </c>
      <c r="N268" s="9" t="s">
        <v>48</v>
      </c>
      <c r="O268" s="12" t="s">
        <v>437</v>
      </c>
      <c r="P268" s="6" t="s">
        <v>438</v>
      </c>
      <c r="Q268" s="9" t="s">
        <v>439</v>
      </c>
      <c r="R268" s="13">
        <v>1</v>
      </c>
      <c r="S268" s="9" t="s">
        <v>75</v>
      </c>
      <c r="T268" s="9" t="s">
        <v>53</v>
      </c>
      <c r="U268" s="9" t="s">
        <v>54</v>
      </c>
      <c r="V268" s="9" t="s">
        <v>61</v>
      </c>
      <c r="W268" s="9"/>
      <c r="X268" s="9"/>
      <c r="Y268" s="13">
        <v>122.69</v>
      </c>
      <c r="Z268" s="13">
        <v>1</v>
      </c>
      <c r="AA268" s="9"/>
      <c r="AB268" s="9"/>
      <c r="AC268" s="9"/>
      <c r="AD268" s="9"/>
      <c r="AE268" s="9"/>
      <c r="AF268" s="9"/>
      <c r="AG268" s="9"/>
      <c r="AH268" s="9"/>
      <c r="AI268" s="9"/>
      <c r="AJ268" s="9"/>
      <c r="AK268" s="14" t="e">
        <f t="shared" si="1"/>
        <v>#DIV/0!</v>
      </c>
      <c r="AL268" s="9"/>
      <c r="AM268" s="9"/>
      <c r="AN268" s="9"/>
      <c r="AO268" s="6"/>
      <c r="AP268" s="9"/>
      <c r="AQ268" s="9"/>
      <c r="AR268" s="9"/>
      <c r="AS268" s="9"/>
      <c r="AT268" s="9"/>
      <c r="AU268" s="9"/>
      <c r="AV268" s="9"/>
      <c r="AW268" s="9"/>
      <c r="AX268" s="9"/>
      <c r="AY268" s="9"/>
      <c r="AZ268" s="9"/>
      <c r="BA268" s="9"/>
      <c r="BB268" s="9"/>
      <c r="BC268" s="9"/>
      <c r="BD268" s="9"/>
      <c r="BE268" s="9"/>
      <c r="BF268" s="9"/>
      <c r="BG268" s="9"/>
      <c r="BH268" s="9"/>
    </row>
    <row r="269" spans="1:60" ht="12.5" hidden="1">
      <c r="A269" s="6" t="s">
        <v>1232</v>
      </c>
      <c r="B269" s="16">
        <v>45624</v>
      </c>
      <c r="C269" s="8">
        <v>45640</v>
      </c>
      <c r="D269" s="9" t="s">
        <v>41</v>
      </c>
      <c r="E269" s="9" t="s">
        <v>1233</v>
      </c>
      <c r="F269" s="9"/>
      <c r="G269" s="9" t="s">
        <v>43</v>
      </c>
      <c r="H269" s="10">
        <v>16.8</v>
      </c>
      <c r="I269" s="9" t="s">
        <v>44</v>
      </c>
      <c r="J269" s="9" t="s">
        <v>45</v>
      </c>
      <c r="K269" s="9" t="s">
        <v>1234</v>
      </c>
      <c r="L269" s="11" t="s">
        <v>47</v>
      </c>
      <c r="M269" s="9" t="s">
        <v>48</v>
      </c>
      <c r="N269" s="9" t="s">
        <v>48</v>
      </c>
      <c r="O269" s="12" t="s">
        <v>437</v>
      </c>
      <c r="P269" s="6" t="s">
        <v>438</v>
      </c>
      <c r="Q269" s="9" t="s">
        <v>439</v>
      </c>
      <c r="R269" s="13">
        <v>1</v>
      </c>
      <c r="S269" s="9" t="s">
        <v>92</v>
      </c>
      <c r="T269" s="9" t="s">
        <v>53</v>
      </c>
      <c r="U269" s="9" t="s">
        <v>54</v>
      </c>
      <c r="V269" s="9" t="s">
        <v>55</v>
      </c>
      <c r="W269" s="9"/>
      <c r="X269" s="9"/>
      <c r="Y269" s="13">
        <v>122.05</v>
      </c>
      <c r="Z269" s="13">
        <v>1</v>
      </c>
      <c r="AA269" s="9"/>
      <c r="AB269" s="9"/>
      <c r="AC269" s="9"/>
      <c r="AD269" s="9"/>
      <c r="AE269" s="9"/>
      <c r="AF269" s="13">
        <v>122.05</v>
      </c>
      <c r="AG269" s="9"/>
      <c r="AH269" s="9"/>
      <c r="AI269" s="9"/>
      <c r="AJ269" s="9"/>
      <c r="AK269" s="14" t="e">
        <f t="shared" si="1"/>
        <v>#DIV/0!</v>
      </c>
      <c r="AL269" s="9"/>
      <c r="AM269" s="9"/>
      <c r="AN269" s="9"/>
      <c r="AO269" s="6"/>
      <c r="AP269" s="9"/>
      <c r="AQ269" s="9"/>
      <c r="AR269" s="9"/>
      <c r="AS269" s="9"/>
      <c r="AT269" s="9"/>
      <c r="AU269" s="9"/>
      <c r="AV269" s="9"/>
      <c r="AW269" s="9"/>
      <c r="AX269" s="9"/>
      <c r="AY269" s="9"/>
      <c r="AZ269" s="9"/>
      <c r="BA269" s="9"/>
      <c r="BB269" s="9"/>
      <c r="BC269" s="9"/>
      <c r="BD269" s="9"/>
      <c r="BE269" s="9"/>
      <c r="BF269" s="9"/>
      <c r="BG269" s="9"/>
      <c r="BH269" s="9"/>
    </row>
    <row r="270" spans="1:60" ht="12.5" hidden="1">
      <c r="A270" s="6" t="s">
        <v>1235</v>
      </c>
      <c r="B270" s="16">
        <v>45624</v>
      </c>
      <c r="C270" s="8">
        <v>45637</v>
      </c>
      <c r="D270" s="9" t="s">
        <v>41</v>
      </c>
      <c r="E270" s="9" t="s">
        <v>1236</v>
      </c>
      <c r="F270" s="9"/>
      <c r="G270" s="9" t="s">
        <v>43</v>
      </c>
      <c r="H270" s="10">
        <v>22.07</v>
      </c>
      <c r="I270" s="9" t="s">
        <v>44</v>
      </c>
      <c r="J270" s="9" t="s">
        <v>45</v>
      </c>
      <c r="K270" s="9" t="s">
        <v>1237</v>
      </c>
      <c r="L270" s="11" t="s">
        <v>58</v>
      </c>
      <c r="M270" s="9" t="s">
        <v>48</v>
      </c>
      <c r="N270" s="9" t="s">
        <v>48</v>
      </c>
      <c r="O270" s="12" t="s">
        <v>437</v>
      </c>
      <c r="P270" s="6" t="s">
        <v>438</v>
      </c>
      <c r="Q270" s="9" t="s">
        <v>439</v>
      </c>
      <c r="R270" s="13">
        <v>2</v>
      </c>
      <c r="S270" s="9" t="s">
        <v>75</v>
      </c>
      <c r="T270" s="9" t="s">
        <v>53</v>
      </c>
      <c r="U270" s="9" t="s">
        <v>54</v>
      </c>
      <c r="V270" s="9" t="s">
        <v>240</v>
      </c>
      <c r="W270" s="9"/>
      <c r="X270" s="9"/>
      <c r="Y270" s="13">
        <v>248.84</v>
      </c>
      <c r="Z270" s="13">
        <v>2</v>
      </c>
      <c r="AA270" s="9"/>
      <c r="AB270" s="9"/>
      <c r="AC270" s="9"/>
      <c r="AD270" s="9"/>
      <c r="AE270" s="9"/>
      <c r="AF270" s="13">
        <v>183.57</v>
      </c>
      <c r="AG270" s="9"/>
      <c r="AH270" s="9"/>
      <c r="AI270" s="9"/>
      <c r="AJ270" s="9"/>
      <c r="AK270" s="14" t="e">
        <f t="shared" si="1"/>
        <v>#DIV/0!</v>
      </c>
      <c r="AL270" s="9"/>
      <c r="AM270" s="9"/>
      <c r="AN270" s="9"/>
      <c r="AO270" s="6"/>
      <c r="AP270" s="9"/>
      <c r="AQ270" s="9"/>
      <c r="AR270" s="9"/>
      <c r="AS270" s="9"/>
      <c r="AT270" s="9"/>
      <c r="AU270" s="9"/>
      <c r="AV270" s="9"/>
      <c r="AW270" s="9"/>
      <c r="AX270" s="9"/>
      <c r="AY270" s="9"/>
      <c r="AZ270" s="9"/>
      <c r="BA270" s="9"/>
      <c r="BB270" s="9"/>
      <c r="BC270" s="9"/>
      <c r="BD270" s="9"/>
      <c r="BE270" s="9"/>
      <c r="BF270" s="9"/>
      <c r="BG270" s="9"/>
      <c r="BH270" s="9"/>
    </row>
    <row r="271" spans="1:60" ht="12.5" hidden="1">
      <c r="A271" s="6" t="s">
        <v>1238</v>
      </c>
      <c r="B271" s="16">
        <v>45629</v>
      </c>
      <c r="C271" s="8">
        <v>45633</v>
      </c>
      <c r="D271" s="9" t="s">
        <v>41</v>
      </c>
      <c r="E271" s="9" t="s">
        <v>1239</v>
      </c>
      <c r="F271" s="9"/>
      <c r="G271" s="9" t="s">
        <v>43</v>
      </c>
      <c r="H271" s="10">
        <v>16.8</v>
      </c>
      <c r="I271" s="9" t="s">
        <v>44</v>
      </c>
      <c r="J271" s="9" t="s">
        <v>45</v>
      </c>
      <c r="K271" s="9" t="s">
        <v>1240</v>
      </c>
      <c r="L271" s="11" t="s">
        <v>58</v>
      </c>
      <c r="M271" s="9" t="s">
        <v>48</v>
      </c>
      <c r="N271" s="9" t="s">
        <v>48</v>
      </c>
      <c r="O271" s="12" t="s">
        <v>437</v>
      </c>
      <c r="P271" s="6" t="s">
        <v>438</v>
      </c>
      <c r="Q271" s="9" t="s">
        <v>439</v>
      </c>
      <c r="R271" s="13">
        <v>1</v>
      </c>
      <c r="S271" s="9" t="s">
        <v>68</v>
      </c>
      <c r="T271" s="9" t="s">
        <v>53</v>
      </c>
      <c r="U271" s="9" t="s">
        <v>54</v>
      </c>
      <c r="V271" s="9" t="s">
        <v>55</v>
      </c>
      <c r="W271" s="9"/>
      <c r="X271" s="9"/>
      <c r="Y271" s="13">
        <v>122.98</v>
      </c>
      <c r="Z271" s="13">
        <v>1</v>
      </c>
      <c r="AA271" s="9"/>
      <c r="AB271" s="9"/>
      <c r="AC271" s="9"/>
      <c r="AD271" s="9"/>
      <c r="AE271" s="9"/>
      <c r="AF271" s="13">
        <v>106.18</v>
      </c>
      <c r="AG271" s="9"/>
      <c r="AH271" s="9"/>
      <c r="AI271" s="9"/>
      <c r="AJ271" s="9"/>
      <c r="AK271" s="14" t="e">
        <f t="shared" si="1"/>
        <v>#DIV/0!</v>
      </c>
      <c r="AL271" s="9"/>
      <c r="AM271" s="9"/>
      <c r="AN271" s="9"/>
      <c r="AO271" s="6"/>
      <c r="AP271" s="9"/>
      <c r="AQ271" s="9"/>
      <c r="AR271" s="9"/>
      <c r="AS271" s="9"/>
      <c r="AT271" s="9"/>
      <c r="AU271" s="9"/>
      <c r="AV271" s="9"/>
      <c r="AW271" s="9"/>
      <c r="AX271" s="9"/>
      <c r="AY271" s="9"/>
      <c r="AZ271" s="9"/>
      <c r="BA271" s="9"/>
      <c r="BB271" s="9"/>
      <c r="BC271" s="9"/>
      <c r="BD271" s="9"/>
      <c r="BE271" s="9"/>
      <c r="BF271" s="9"/>
      <c r="BG271" s="9"/>
      <c r="BH271" s="9"/>
    </row>
    <row r="272" spans="1:60" ht="12.5" hidden="1">
      <c r="A272" s="6" t="s">
        <v>1241</v>
      </c>
      <c r="B272" s="16">
        <v>45620</v>
      </c>
      <c r="C272" s="8">
        <v>45630</v>
      </c>
      <c r="D272" s="9" t="s">
        <v>41</v>
      </c>
      <c r="E272" s="9" t="s">
        <v>1242</v>
      </c>
      <c r="F272" s="9"/>
      <c r="G272" s="9" t="s">
        <v>43</v>
      </c>
      <c r="H272" s="10">
        <v>16.8</v>
      </c>
      <c r="I272" s="9" t="s">
        <v>44</v>
      </c>
      <c r="J272" s="9" t="s">
        <v>45</v>
      </c>
      <c r="K272" s="9" t="s">
        <v>1243</v>
      </c>
      <c r="L272" s="11" t="s">
        <v>58</v>
      </c>
      <c r="M272" s="9" t="s">
        <v>48</v>
      </c>
      <c r="N272" s="9" t="s">
        <v>48</v>
      </c>
      <c r="O272" s="12" t="s">
        <v>437</v>
      </c>
      <c r="P272" s="6" t="s">
        <v>438</v>
      </c>
      <c r="Q272" s="9" t="s">
        <v>439</v>
      </c>
      <c r="R272" s="13">
        <v>1</v>
      </c>
      <c r="S272" s="9" t="s">
        <v>75</v>
      </c>
      <c r="T272" s="9" t="s">
        <v>53</v>
      </c>
      <c r="U272" s="9" t="s">
        <v>54</v>
      </c>
      <c r="V272" s="9" t="s">
        <v>55</v>
      </c>
      <c r="W272" s="9"/>
      <c r="X272" s="9"/>
      <c r="Y272" s="13">
        <v>122.05</v>
      </c>
      <c r="Z272" s="13">
        <v>1</v>
      </c>
      <c r="AA272" s="9"/>
      <c r="AB272" s="9"/>
      <c r="AC272" s="9"/>
      <c r="AD272" s="9"/>
      <c r="AE272" s="9"/>
      <c r="AF272" s="13">
        <v>105.25</v>
      </c>
      <c r="AG272" s="9"/>
      <c r="AH272" s="9"/>
      <c r="AI272" s="9"/>
      <c r="AJ272" s="9"/>
      <c r="AK272" s="14" t="e">
        <f t="shared" si="1"/>
        <v>#DIV/0!</v>
      </c>
      <c r="AL272" s="9"/>
      <c r="AM272" s="9"/>
      <c r="AN272" s="9"/>
      <c r="AO272" s="6"/>
      <c r="AP272" s="9"/>
      <c r="AQ272" s="9"/>
      <c r="AR272" s="9"/>
      <c r="AS272" s="9"/>
      <c r="AT272" s="9"/>
      <c r="AU272" s="9"/>
      <c r="AV272" s="9"/>
      <c r="AW272" s="9"/>
      <c r="AX272" s="9"/>
      <c r="AY272" s="9"/>
      <c r="AZ272" s="9"/>
      <c r="BA272" s="9"/>
      <c r="BB272" s="9"/>
      <c r="BC272" s="9"/>
      <c r="BD272" s="9"/>
      <c r="BE272" s="9"/>
      <c r="BF272" s="9"/>
      <c r="BG272" s="9"/>
      <c r="BH272" s="9"/>
    </row>
    <row r="273" spans="1:60" ht="12.5" hidden="1">
      <c r="A273" s="6" t="s">
        <v>1244</v>
      </c>
      <c r="B273" s="16">
        <v>45615</v>
      </c>
      <c r="C273" s="8">
        <v>45642</v>
      </c>
      <c r="D273" s="9" t="s">
        <v>41</v>
      </c>
      <c r="E273" s="9" t="s">
        <v>1245</v>
      </c>
      <c r="F273" s="9"/>
      <c r="G273" s="9" t="s">
        <v>43</v>
      </c>
      <c r="H273" s="10">
        <v>11.07</v>
      </c>
      <c r="I273" s="9" t="s">
        <v>44</v>
      </c>
      <c r="J273" s="9" t="s">
        <v>45</v>
      </c>
      <c r="K273" s="9" t="s">
        <v>1246</v>
      </c>
      <c r="L273" s="11" t="s">
        <v>47</v>
      </c>
      <c r="M273" s="9" t="s">
        <v>48</v>
      </c>
      <c r="N273" s="9" t="s">
        <v>48</v>
      </c>
      <c r="O273" s="12" t="s">
        <v>443</v>
      </c>
      <c r="P273" s="6" t="s">
        <v>444</v>
      </c>
      <c r="Q273" s="9" t="s">
        <v>445</v>
      </c>
      <c r="R273" s="13">
        <v>1</v>
      </c>
      <c r="S273" s="9" t="s">
        <v>52</v>
      </c>
      <c r="T273" s="9" t="s">
        <v>53</v>
      </c>
      <c r="U273" s="9" t="s">
        <v>54</v>
      </c>
      <c r="V273" s="9" t="s">
        <v>55</v>
      </c>
      <c r="W273" s="9"/>
      <c r="X273" s="9"/>
      <c r="Y273" s="13">
        <v>121.91</v>
      </c>
      <c r="Z273" s="13">
        <v>1</v>
      </c>
      <c r="AA273" s="9"/>
      <c r="AB273" s="9"/>
      <c r="AC273" s="9"/>
      <c r="AD273" s="9"/>
      <c r="AE273" s="9"/>
      <c r="AF273" s="13">
        <v>121.91</v>
      </c>
      <c r="AG273" s="9"/>
      <c r="AH273" s="9"/>
      <c r="AI273" s="9">
        <v>2</v>
      </c>
      <c r="AJ273" s="9">
        <v>15</v>
      </c>
      <c r="AK273" s="14">
        <f t="shared" si="1"/>
        <v>0.13333333333333333</v>
      </c>
      <c r="AL273" s="9"/>
      <c r="AM273" s="9"/>
      <c r="AN273" s="9"/>
      <c r="AO273" s="6"/>
      <c r="AP273" s="9"/>
      <c r="AQ273" s="9"/>
      <c r="AR273" s="9"/>
      <c r="AS273" s="9"/>
      <c r="AT273" s="9"/>
      <c r="AU273" s="9"/>
      <c r="AV273" s="9"/>
      <c r="AW273" s="9"/>
      <c r="AX273" s="9"/>
      <c r="AY273" s="9"/>
      <c r="AZ273" s="9"/>
      <c r="BA273" s="9"/>
      <c r="BB273" s="9"/>
      <c r="BC273" s="9"/>
      <c r="BD273" s="9"/>
      <c r="BE273" s="9"/>
      <c r="BF273" s="9"/>
      <c r="BG273" s="9"/>
      <c r="BH273" s="9"/>
    </row>
    <row r="274" spans="1:60" ht="12.5" hidden="1">
      <c r="A274" s="6" t="s">
        <v>1247</v>
      </c>
      <c r="B274" s="16">
        <v>45615</v>
      </c>
      <c r="C274" s="8">
        <v>45627</v>
      </c>
      <c r="D274" s="9" t="s">
        <v>41</v>
      </c>
      <c r="E274" s="9" t="s">
        <v>1248</v>
      </c>
      <c r="F274" s="9"/>
      <c r="G274" s="9" t="s">
        <v>43</v>
      </c>
      <c r="H274" s="10">
        <v>10.69</v>
      </c>
      <c r="I274" s="9" t="s">
        <v>44</v>
      </c>
      <c r="J274" s="9" t="s">
        <v>45</v>
      </c>
      <c r="K274" s="9" t="s">
        <v>1249</v>
      </c>
      <c r="L274" s="11" t="s">
        <v>47</v>
      </c>
      <c r="M274" s="9" t="s">
        <v>48</v>
      </c>
      <c r="N274" s="9" t="s">
        <v>48</v>
      </c>
      <c r="O274" s="12" t="s">
        <v>443</v>
      </c>
      <c r="P274" s="6" t="s">
        <v>444</v>
      </c>
      <c r="Q274" s="9" t="s">
        <v>445</v>
      </c>
      <c r="R274" s="13">
        <v>1</v>
      </c>
      <c r="S274" s="9" t="s">
        <v>184</v>
      </c>
      <c r="T274" s="9" t="s">
        <v>53</v>
      </c>
      <c r="U274" s="9" t="s">
        <v>54</v>
      </c>
      <c r="V274" s="9" t="s">
        <v>55</v>
      </c>
      <c r="W274" s="9"/>
      <c r="X274" s="9"/>
      <c r="Y274" s="13">
        <v>123.56</v>
      </c>
      <c r="Z274" s="13">
        <v>1</v>
      </c>
      <c r="AA274" s="9"/>
      <c r="AB274" s="9"/>
      <c r="AC274" s="9"/>
      <c r="AD274" s="9"/>
      <c r="AE274" s="9"/>
      <c r="AF274" s="13">
        <v>123.56</v>
      </c>
      <c r="AG274" s="9"/>
      <c r="AH274" s="9"/>
      <c r="AI274" s="9"/>
      <c r="AJ274" s="9"/>
      <c r="AK274" s="14" t="e">
        <f t="shared" si="1"/>
        <v>#DIV/0!</v>
      </c>
      <c r="AL274" s="9"/>
      <c r="AM274" s="9"/>
      <c r="AN274" s="9"/>
      <c r="AO274" s="6"/>
      <c r="AP274" s="9"/>
      <c r="AQ274" s="9"/>
      <c r="AR274" s="9"/>
      <c r="AS274" s="9"/>
      <c r="AT274" s="9"/>
      <c r="AU274" s="9"/>
      <c r="AV274" s="9"/>
      <c r="AW274" s="9"/>
      <c r="AX274" s="9"/>
      <c r="AY274" s="9"/>
      <c r="AZ274" s="9"/>
      <c r="BA274" s="9"/>
      <c r="BB274" s="9"/>
      <c r="BC274" s="9"/>
      <c r="BD274" s="9"/>
      <c r="BE274" s="9"/>
      <c r="BF274" s="9"/>
      <c r="BG274" s="9"/>
      <c r="BH274" s="9"/>
    </row>
    <row r="275" spans="1:60" ht="12.5" hidden="1">
      <c r="A275" s="6" t="s">
        <v>1250</v>
      </c>
      <c r="B275" s="16">
        <v>45628</v>
      </c>
      <c r="C275" s="8">
        <v>45640</v>
      </c>
      <c r="D275" s="9" t="s">
        <v>41</v>
      </c>
      <c r="E275" s="9" t="s">
        <v>1251</v>
      </c>
      <c r="F275" s="9"/>
      <c r="G275" s="9" t="s">
        <v>43</v>
      </c>
      <c r="H275" s="10">
        <v>9.27</v>
      </c>
      <c r="I275" s="9" t="s">
        <v>44</v>
      </c>
      <c r="J275" s="9" t="s">
        <v>45</v>
      </c>
      <c r="K275" s="9" t="s">
        <v>1252</v>
      </c>
      <c r="L275" s="11" t="s">
        <v>58</v>
      </c>
      <c r="M275" s="9" t="s">
        <v>48</v>
      </c>
      <c r="N275" s="9" t="s">
        <v>48</v>
      </c>
      <c r="O275" s="12" t="s">
        <v>1253</v>
      </c>
      <c r="P275" s="6" t="s">
        <v>1254</v>
      </c>
      <c r="Q275" s="9" t="s">
        <v>1255</v>
      </c>
      <c r="R275" s="13">
        <v>1</v>
      </c>
      <c r="S275" s="9" t="s">
        <v>68</v>
      </c>
      <c r="T275" s="9" t="s">
        <v>53</v>
      </c>
      <c r="U275" s="9" t="s">
        <v>54</v>
      </c>
      <c r="V275" s="9" t="s">
        <v>55</v>
      </c>
      <c r="W275" s="9"/>
      <c r="X275" s="9"/>
      <c r="Y275" s="13">
        <v>107.67</v>
      </c>
      <c r="Z275" s="13">
        <v>1</v>
      </c>
      <c r="AA275" s="9"/>
      <c r="AB275" s="9"/>
      <c r="AC275" s="9"/>
      <c r="AD275" s="9"/>
      <c r="AE275" s="9"/>
      <c r="AF275" s="13">
        <v>98.4</v>
      </c>
      <c r="AG275" s="9"/>
      <c r="AH275" s="9"/>
      <c r="AI275" s="9">
        <v>1</v>
      </c>
      <c r="AJ275" s="9">
        <v>2</v>
      </c>
      <c r="AK275" s="14">
        <f t="shared" si="1"/>
        <v>0.5</v>
      </c>
      <c r="AL275" s="9"/>
      <c r="AM275" s="9"/>
      <c r="AN275" s="9"/>
      <c r="AO275" s="6"/>
      <c r="AP275" s="9"/>
      <c r="AQ275" s="9"/>
      <c r="AR275" s="9"/>
      <c r="AS275" s="9"/>
      <c r="AT275" s="9"/>
      <c r="AU275" s="9"/>
      <c r="AV275" s="9"/>
      <c r="AW275" s="9"/>
      <c r="AX275" s="9"/>
      <c r="AY275" s="9"/>
      <c r="AZ275" s="9"/>
      <c r="BA275" s="9"/>
      <c r="BB275" s="9"/>
      <c r="BC275" s="9"/>
      <c r="BD275" s="9"/>
      <c r="BE275" s="9"/>
      <c r="BF275" s="9"/>
      <c r="BG275" s="9"/>
      <c r="BH275" s="9"/>
    </row>
    <row r="276" spans="1:60" ht="12.5" hidden="1">
      <c r="A276" s="6" t="s">
        <v>1256</v>
      </c>
      <c r="B276" s="16">
        <v>45604</v>
      </c>
      <c r="C276" s="8">
        <v>45628</v>
      </c>
      <c r="D276" s="9" t="s">
        <v>41</v>
      </c>
      <c r="E276" s="9" t="s">
        <v>1257</v>
      </c>
      <c r="F276" s="9"/>
      <c r="G276" s="9" t="s">
        <v>43</v>
      </c>
      <c r="H276" s="10">
        <v>9.99</v>
      </c>
      <c r="I276" s="9" t="s">
        <v>44</v>
      </c>
      <c r="J276" s="9" t="s">
        <v>45</v>
      </c>
      <c r="K276" s="9" t="s">
        <v>1258</v>
      </c>
      <c r="L276" s="11" t="s">
        <v>47</v>
      </c>
      <c r="M276" s="9" t="s">
        <v>48</v>
      </c>
      <c r="N276" s="9" t="s">
        <v>48</v>
      </c>
      <c r="O276" s="12" t="s">
        <v>1259</v>
      </c>
      <c r="P276" s="6" t="s">
        <v>1260</v>
      </c>
      <c r="Q276" s="9" t="s">
        <v>1261</v>
      </c>
      <c r="R276" s="13">
        <v>1</v>
      </c>
      <c r="S276" s="9" t="s">
        <v>99</v>
      </c>
      <c r="T276" s="9" t="s">
        <v>53</v>
      </c>
      <c r="U276" s="9" t="s">
        <v>54</v>
      </c>
      <c r="V276" s="9" t="s">
        <v>55</v>
      </c>
      <c r="W276" s="9"/>
      <c r="X276" s="9"/>
      <c r="Y276" s="13">
        <v>64.58</v>
      </c>
      <c r="Z276" s="13">
        <v>1</v>
      </c>
      <c r="AA276" s="9"/>
      <c r="AB276" s="9"/>
      <c r="AC276" s="9"/>
      <c r="AD276" s="9"/>
      <c r="AE276" s="9"/>
      <c r="AF276" s="13">
        <v>64.58</v>
      </c>
      <c r="AG276" s="9"/>
      <c r="AH276" s="9"/>
      <c r="AI276" s="9">
        <v>1</v>
      </c>
      <c r="AJ276" s="9">
        <v>23</v>
      </c>
      <c r="AK276" s="14">
        <f t="shared" si="1"/>
        <v>4.3478260869565216E-2</v>
      </c>
      <c r="AL276" s="9"/>
      <c r="AM276" s="9"/>
      <c r="AN276" s="9"/>
      <c r="AO276" s="6"/>
      <c r="AP276" s="9"/>
      <c r="AQ276" s="9"/>
      <c r="AR276" s="9"/>
      <c r="AS276" s="9"/>
      <c r="AT276" s="9"/>
      <c r="AU276" s="9"/>
      <c r="AV276" s="9"/>
      <c r="AW276" s="9"/>
      <c r="AX276" s="9"/>
      <c r="AY276" s="9"/>
      <c r="AZ276" s="9"/>
      <c r="BA276" s="9"/>
      <c r="BB276" s="9"/>
      <c r="BC276" s="9"/>
      <c r="BD276" s="9"/>
      <c r="BE276" s="9"/>
      <c r="BF276" s="9"/>
      <c r="BG276" s="9"/>
      <c r="BH276" s="9"/>
    </row>
    <row r="277" spans="1:60" ht="12.5" hidden="1">
      <c r="A277" s="6" t="s">
        <v>1262</v>
      </c>
      <c r="B277" s="16">
        <v>45637</v>
      </c>
      <c r="C277" s="8">
        <v>45640</v>
      </c>
      <c r="D277" s="9" t="s">
        <v>41</v>
      </c>
      <c r="E277" s="9" t="s">
        <v>1263</v>
      </c>
      <c r="F277" s="9"/>
      <c r="G277" s="9" t="s">
        <v>43</v>
      </c>
      <c r="H277" s="10">
        <v>16.46</v>
      </c>
      <c r="I277" s="9" t="s">
        <v>44</v>
      </c>
      <c r="J277" s="9" t="s">
        <v>45</v>
      </c>
      <c r="K277" s="9" t="s">
        <v>1264</v>
      </c>
      <c r="L277" s="11" t="s">
        <v>47</v>
      </c>
      <c r="M277" s="9" t="s">
        <v>48</v>
      </c>
      <c r="N277" s="9" t="s">
        <v>48</v>
      </c>
      <c r="O277" s="12" t="s">
        <v>469</v>
      </c>
      <c r="P277" s="6" t="s">
        <v>470</v>
      </c>
      <c r="Q277" s="9" t="s">
        <v>471</v>
      </c>
      <c r="R277" s="13">
        <v>1</v>
      </c>
      <c r="S277" s="9" t="s">
        <v>99</v>
      </c>
      <c r="T277" s="9" t="s">
        <v>53</v>
      </c>
      <c r="U277" s="9" t="s">
        <v>54</v>
      </c>
      <c r="V277" s="9" t="s">
        <v>61</v>
      </c>
      <c r="W277" s="9"/>
      <c r="X277" s="9"/>
      <c r="Y277" s="13">
        <v>108.56</v>
      </c>
      <c r="Z277" s="13">
        <v>1</v>
      </c>
      <c r="AA277" s="9"/>
      <c r="AB277" s="9"/>
      <c r="AC277" s="9"/>
      <c r="AD277" s="9"/>
      <c r="AE277" s="9"/>
      <c r="AF277" s="9"/>
      <c r="AG277" s="9"/>
      <c r="AH277" s="9"/>
      <c r="AI277" s="9">
        <v>1</v>
      </c>
      <c r="AJ277" s="9">
        <v>9</v>
      </c>
      <c r="AK277" s="14">
        <f t="shared" si="1"/>
        <v>0.1111111111111111</v>
      </c>
      <c r="AL277" s="9"/>
      <c r="AM277" s="9"/>
      <c r="AN277" s="9"/>
      <c r="AO277" s="6"/>
      <c r="AP277" s="9"/>
      <c r="AQ277" s="9"/>
      <c r="AR277" s="9"/>
      <c r="AS277" s="9"/>
      <c r="AT277" s="9"/>
      <c r="AU277" s="9"/>
      <c r="AV277" s="9"/>
      <c r="AW277" s="9"/>
      <c r="AX277" s="9"/>
      <c r="AY277" s="9"/>
      <c r="AZ277" s="9"/>
      <c r="BA277" s="9"/>
      <c r="BB277" s="9"/>
      <c r="BC277" s="9"/>
      <c r="BD277" s="9"/>
      <c r="BE277" s="9"/>
      <c r="BF277" s="9"/>
      <c r="BG277" s="9"/>
      <c r="BH277" s="9"/>
    </row>
    <row r="278" spans="1:60" ht="12.5" hidden="1">
      <c r="A278" s="6" t="s">
        <v>1265</v>
      </c>
      <c r="B278" s="16">
        <v>45637</v>
      </c>
      <c r="C278" s="8">
        <v>45638</v>
      </c>
      <c r="D278" s="9" t="s">
        <v>41</v>
      </c>
      <c r="E278" s="9" t="s">
        <v>1266</v>
      </c>
      <c r="F278" s="9"/>
      <c r="G278" s="9" t="s">
        <v>43</v>
      </c>
      <c r="H278" s="10">
        <v>12.17</v>
      </c>
      <c r="I278" s="9" t="s">
        <v>44</v>
      </c>
      <c r="J278" s="9" t="s">
        <v>45</v>
      </c>
      <c r="K278" s="9" t="s">
        <v>1267</v>
      </c>
      <c r="L278" s="11" t="s">
        <v>58</v>
      </c>
      <c r="M278" s="9" t="s">
        <v>48</v>
      </c>
      <c r="N278" s="9" t="s">
        <v>48</v>
      </c>
      <c r="O278" s="12" t="s">
        <v>486</v>
      </c>
      <c r="P278" s="6" t="s">
        <v>487</v>
      </c>
      <c r="Q278" s="9" t="s">
        <v>488</v>
      </c>
      <c r="R278" s="13">
        <v>1</v>
      </c>
      <c r="S278" s="9" t="s">
        <v>68</v>
      </c>
      <c r="T278" s="9" t="s">
        <v>53</v>
      </c>
      <c r="U278" s="9" t="s">
        <v>54</v>
      </c>
      <c r="V278" s="9" t="s">
        <v>55</v>
      </c>
      <c r="W278" s="9"/>
      <c r="X278" s="9"/>
      <c r="Y278" s="13">
        <v>113.45</v>
      </c>
      <c r="Z278" s="13">
        <v>1</v>
      </c>
      <c r="AA278" s="9"/>
      <c r="AB278" s="9"/>
      <c r="AC278" s="9"/>
      <c r="AD278" s="9"/>
      <c r="AE278" s="9"/>
      <c r="AF278" s="13">
        <v>101.28</v>
      </c>
      <c r="AG278" s="9"/>
      <c r="AH278" s="9"/>
      <c r="AI278" s="9">
        <v>2</v>
      </c>
      <c r="AJ278" s="9">
        <v>5</v>
      </c>
      <c r="AK278" s="14">
        <f t="shared" si="1"/>
        <v>0.4</v>
      </c>
      <c r="AL278" s="9"/>
      <c r="AM278" s="9"/>
      <c r="AN278" s="9"/>
      <c r="AO278" s="6"/>
      <c r="AP278" s="9"/>
      <c r="AQ278" s="9"/>
      <c r="AR278" s="9"/>
      <c r="AS278" s="9"/>
      <c r="AT278" s="9"/>
      <c r="AU278" s="9"/>
      <c r="AV278" s="9"/>
      <c r="AW278" s="9"/>
      <c r="AX278" s="9"/>
      <c r="AY278" s="9"/>
      <c r="AZ278" s="9"/>
      <c r="BA278" s="9"/>
      <c r="BB278" s="9"/>
      <c r="BC278" s="9"/>
      <c r="BD278" s="9"/>
      <c r="BE278" s="9"/>
      <c r="BF278" s="9"/>
      <c r="BG278" s="9"/>
      <c r="BH278" s="9"/>
    </row>
    <row r="279" spans="1:60" ht="12.5" hidden="1">
      <c r="A279" s="6" t="s">
        <v>1268</v>
      </c>
      <c r="B279" s="16">
        <v>45623</v>
      </c>
      <c r="C279" s="8">
        <v>45630</v>
      </c>
      <c r="D279" s="9" t="s">
        <v>41</v>
      </c>
      <c r="E279" s="9" t="s">
        <v>1269</v>
      </c>
      <c r="F279" s="9"/>
      <c r="G279" s="9" t="s">
        <v>43</v>
      </c>
      <c r="H279" s="10">
        <v>12.63</v>
      </c>
      <c r="I279" s="9" t="s">
        <v>44</v>
      </c>
      <c r="J279" s="9" t="s">
        <v>45</v>
      </c>
      <c r="K279" s="9" t="s">
        <v>1270</v>
      </c>
      <c r="L279" s="11" t="s">
        <v>47</v>
      </c>
      <c r="M279" s="9" t="s">
        <v>48</v>
      </c>
      <c r="N279" s="9" t="s">
        <v>48</v>
      </c>
      <c r="O279" s="12" t="s">
        <v>486</v>
      </c>
      <c r="P279" s="6" t="s">
        <v>487</v>
      </c>
      <c r="Q279" s="9" t="s">
        <v>488</v>
      </c>
      <c r="R279" s="13">
        <v>1</v>
      </c>
      <c r="S279" s="9" t="s">
        <v>92</v>
      </c>
      <c r="T279" s="9" t="s">
        <v>53</v>
      </c>
      <c r="U279" s="9" t="s">
        <v>54</v>
      </c>
      <c r="V279" s="9" t="s">
        <v>55</v>
      </c>
      <c r="W279" s="9"/>
      <c r="X279" s="9"/>
      <c r="Y279" s="13">
        <v>102.58</v>
      </c>
      <c r="Z279" s="13">
        <v>1</v>
      </c>
      <c r="AA279" s="9"/>
      <c r="AB279" s="9"/>
      <c r="AC279" s="9"/>
      <c r="AD279" s="9"/>
      <c r="AE279" s="9"/>
      <c r="AF279" s="13">
        <v>102.58</v>
      </c>
      <c r="AG279" s="9"/>
      <c r="AH279" s="9"/>
      <c r="AI279" s="9"/>
      <c r="AJ279" s="9"/>
      <c r="AK279" s="14" t="e">
        <f t="shared" si="1"/>
        <v>#DIV/0!</v>
      </c>
      <c r="AL279" s="9"/>
      <c r="AM279" s="9"/>
      <c r="AN279" s="9"/>
      <c r="AO279" s="6"/>
      <c r="AP279" s="9"/>
      <c r="AQ279" s="9"/>
      <c r="AR279" s="9"/>
      <c r="AS279" s="9"/>
      <c r="AT279" s="9"/>
      <c r="AU279" s="9"/>
      <c r="AV279" s="9"/>
      <c r="AW279" s="9"/>
      <c r="AX279" s="9"/>
      <c r="AY279" s="9"/>
      <c r="AZ279" s="9"/>
      <c r="BA279" s="9"/>
      <c r="BB279" s="9"/>
      <c r="BC279" s="9"/>
      <c r="BD279" s="9"/>
      <c r="BE279" s="9"/>
      <c r="BF279" s="9"/>
      <c r="BG279" s="9"/>
      <c r="BH279" s="9"/>
    </row>
    <row r="280" spans="1:60" ht="13" hidden="1">
      <c r="A280" s="6" t="s">
        <v>1271</v>
      </c>
      <c r="B280" s="16">
        <v>45651</v>
      </c>
      <c r="C280" s="8">
        <v>45657</v>
      </c>
      <c r="D280" s="9" t="s">
        <v>41</v>
      </c>
      <c r="E280" s="9" t="s">
        <v>1272</v>
      </c>
      <c r="F280" s="9"/>
      <c r="G280" s="9" t="s">
        <v>43</v>
      </c>
      <c r="H280" s="19">
        <v>69.13</v>
      </c>
      <c r="I280" s="9" t="s">
        <v>44</v>
      </c>
      <c r="J280" s="9" t="s">
        <v>45</v>
      </c>
      <c r="K280" s="9" t="s">
        <v>1273</v>
      </c>
      <c r="L280" s="11" t="s">
        <v>47</v>
      </c>
      <c r="M280" s="9" t="s">
        <v>48</v>
      </c>
      <c r="N280" s="9" t="s">
        <v>48</v>
      </c>
      <c r="O280" s="12" t="s">
        <v>511</v>
      </c>
      <c r="P280" s="6" t="s">
        <v>512</v>
      </c>
      <c r="Q280" s="9" t="s">
        <v>513</v>
      </c>
      <c r="R280" s="13">
        <v>1</v>
      </c>
      <c r="S280" s="9" t="s">
        <v>82</v>
      </c>
      <c r="T280" s="9" t="s">
        <v>53</v>
      </c>
      <c r="U280" s="9" t="s">
        <v>54</v>
      </c>
      <c r="V280" s="9" t="s">
        <v>560</v>
      </c>
      <c r="W280" s="9"/>
      <c r="X280" s="9"/>
      <c r="Y280" s="13">
        <v>73.05</v>
      </c>
      <c r="Z280" s="13">
        <v>1</v>
      </c>
      <c r="AA280" s="9"/>
      <c r="AB280" s="9"/>
      <c r="AC280" s="9"/>
      <c r="AD280" s="9"/>
      <c r="AE280" s="9"/>
      <c r="AF280" s="9"/>
      <c r="AG280" s="9"/>
      <c r="AH280" s="9"/>
      <c r="AI280" s="9">
        <v>4</v>
      </c>
      <c r="AJ280" s="9">
        <v>26</v>
      </c>
      <c r="AK280" s="14">
        <f t="shared" si="1"/>
        <v>0.15384615384615385</v>
      </c>
      <c r="AL280" s="9"/>
      <c r="AM280" s="9"/>
      <c r="AN280" s="9" t="s">
        <v>953</v>
      </c>
      <c r="AO280" s="6"/>
      <c r="AP280" s="9"/>
      <c r="AQ280" s="9"/>
      <c r="AR280" s="9"/>
      <c r="AS280" s="9"/>
      <c r="AT280" s="9"/>
      <c r="AU280" s="9"/>
      <c r="AV280" s="9"/>
      <c r="AW280" s="9"/>
      <c r="AX280" s="9"/>
      <c r="AY280" s="9"/>
      <c r="AZ280" s="9"/>
      <c r="BA280" s="9"/>
      <c r="BB280" s="9"/>
      <c r="BC280" s="9"/>
      <c r="BD280" s="9"/>
      <c r="BE280" s="9"/>
      <c r="BF280" s="9"/>
      <c r="BG280" s="9"/>
      <c r="BH280" s="9"/>
    </row>
    <row r="281" spans="1:60" ht="13" hidden="1">
      <c r="A281" s="6" t="s">
        <v>1274</v>
      </c>
      <c r="B281" s="16">
        <v>45641</v>
      </c>
      <c r="C281" s="8">
        <v>45649</v>
      </c>
      <c r="D281" s="9" t="s">
        <v>41</v>
      </c>
      <c r="E281" s="9" t="s">
        <v>1275</v>
      </c>
      <c r="F281" s="9"/>
      <c r="G281" s="9" t="s">
        <v>43</v>
      </c>
      <c r="H281" s="19">
        <v>68.09</v>
      </c>
      <c r="I281" s="9" t="s">
        <v>44</v>
      </c>
      <c r="J281" s="9" t="s">
        <v>45</v>
      </c>
      <c r="K281" s="9" t="s">
        <v>1276</v>
      </c>
      <c r="L281" s="11" t="s">
        <v>58</v>
      </c>
      <c r="M281" s="9" t="s">
        <v>48</v>
      </c>
      <c r="N281" s="9" t="s">
        <v>48</v>
      </c>
      <c r="O281" s="12" t="s">
        <v>511</v>
      </c>
      <c r="P281" s="6" t="s">
        <v>512</v>
      </c>
      <c r="Q281" s="9" t="s">
        <v>513</v>
      </c>
      <c r="R281" s="13">
        <v>1</v>
      </c>
      <c r="S281" s="9" t="s">
        <v>75</v>
      </c>
      <c r="T281" s="9" t="s">
        <v>53</v>
      </c>
      <c r="U281" s="9" t="s">
        <v>54</v>
      </c>
      <c r="V281" s="9" t="s">
        <v>55</v>
      </c>
      <c r="W281" s="9"/>
      <c r="X281" s="9"/>
      <c r="Y281" s="13">
        <v>73.680000000000007</v>
      </c>
      <c r="Z281" s="13">
        <v>1</v>
      </c>
      <c r="AA281" s="9"/>
      <c r="AB281" s="9"/>
      <c r="AC281" s="9"/>
      <c r="AD281" s="9"/>
      <c r="AE281" s="9"/>
      <c r="AF281" s="13">
        <v>5.59</v>
      </c>
      <c r="AG281" s="9"/>
      <c r="AH281" s="9"/>
      <c r="AI281" s="9"/>
      <c r="AJ281" s="9"/>
      <c r="AK281" s="14" t="e">
        <f t="shared" si="1"/>
        <v>#DIV/0!</v>
      </c>
      <c r="AL281" s="9"/>
      <c r="AM281" s="9"/>
      <c r="AN281" s="9"/>
      <c r="AO281" s="6"/>
      <c r="AP281" s="9"/>
      <c r="AQ281" s="9"/>
      <c r="AR281" s="9"/>
      <c r="AS281" s="9"/>
      <c r="AT281" s="9"/>
      <c r="AU281" s="9"/>
      <c r="AV281" s="9"/>
      <c r="AW281" s="9"/>
      <c r="AX281" s="9"/>
      <c r="AY281" s="9"/>
      <c r="AZ281" s="9"/>
      <c r="BA281" s="9"/>
      <c r="BB281" s="9"/>
      <c r="BC281" s="9"/>
      <c r="BD281" s="9"/>
      <c r="BE281" s="9"/>
      <c r="BF281" s="9"/>
      <c r="BG281" s="9"/>
      <c r="BH281" s="9"/>
    </row>
    <row r="282" spans="1:60" ht="12.5" hidden="1">
      <c r="A282" s="6" t="s">
        <v>1277</v>
      </c>
      <c r="B282" s="16">
        <v>45633</v>
      </c>
      <c r="C282" s="8">
        <v>45637</v>
      </c>
      <c r="D282" s="9" t="s">
        <v>41</v>
      </c>
      <c r="E282" s="9" t="s">
        <v>1278</v>
      </c>
      <c r="F282" s="9"/>
      <c r="G282" s="9" t="s">
        <v>43</v>
      </c>
      <c r="H282" s="10">
        <v>12.17</v>
      </c>
      <c r="I282" s="9" t="s">
        <v>44</v>
      </c>
      <c r="J282" s="9" t="s">
        <v>45</v>
      </c>
      <c r="K282" s="9" t="s">
        <v>1279</v>
      </c>
      <c r="L282" s="11" t="s">
        <v>58</v>
      </c>
      <c r="M282" s="9" t="s">
        <v>48</v>
      </c>
      <c r="N282" s="9" t="s">
        <v>48</v>
      </c>
      <c r="O282" s="12" t="s">
        <v>511</v>
      </c>
      <c r="P282" s="6" t="s">
        <v>512</v>
      </c>
      <c r="Q282" s="9" t="s">
        <v>513</v>
      </c>
      <c r="R282" s="13">
        <v>1</v>
      </c>
      <c r="S282" s="9" t="s">
        <v>75</v>
      </c>
      <c r="T282" s="9" t="s">
        <v>53</v>
      </c>
      <c r="U282" s="9" t="s">
        <v>54</v>
      </c>
      <c r="V282" s="9" t="s">
        <v>55</v>
      </c>
      <c r="W282" s="9"/>
      <c r="X282" s="9"/>
      <c r="Y282" s="13">
        <v>73.430000000000007</v>
      </c>
      <c r="Z282" s="13">
        <v>1</v>
      </c>
      <c r="AA282" s="9"/>
      <c r="AB282" s="9"/>
      <c r="AC282" s="9"/>
      <c r="AD282" s="9"/>
      <c r="AE282" s="9"/>
      <c r="AF282" s="13">
        <v>61.26</v>
      </c>
      <c r="AG282" s="9"/>
      <c r="AH282" s="9"/>
      <c r="AI282" s="9"/>
      <c r="AJ282" s="9"/>
      <c r="AK282" s="14" t="e">
        <f t="shared" si="1"/>
        <v>#DIV/0!</v>
      </c>
      <c r="AL282" s="9"/>
      <c r="AM282" s="9"/>
      <c r="AN282" s="9"/>
      <c r="AO282" s="6"/>
      <c r="AP282" s="9"/>
      <c r="AQ282" s="9"/>
      <c r="AR282" s="9"/>
      <c r="AS282" s="9"/>
      <c r="AT282" s="9"/>
      <c r="AU282" s="9"/>
      <c r="AV282" s="9"/>
      <c r="AW282" s="9"/>
      <c r="AX282" s="9"/>
      <c r="AY282" s="9"/>
      <c r="AZ282" s="9"/>
      <c r="BA282" s="9"/>
      <c r="BB282" s="9"/>
      <c r="BC282" s="9"/>
      <c r="BD282" s="9"/>
      <c r="BE282" s="9"/>
      <c r="BF282" s="9"/>
      <c r="BG282" s="9"/>
      <c r="BH282" s="9"/>
    </row>
    <row r="283" spans="1:60" ht="13" hidden="1">
      <c r="A283" s="6" t="s">
        <v>1280</v>
      </c>
      <c r="B283" s="16">
        <v>45627</v>
      </c>
      <c r="C283" s="8">
        <v>45633</v>
      </c>
      <c r="D283" s="9" t="s">
        <v>41</v>
      </c>
      <c r="E283" s="9" t="s">
        <v>1281</v>
      </c>
      <c r="F283" s="9"/>
      <c r="G283" s="9" t="s">
        <v>43</v>
      </c>
      <c r="H283" s="19">
        <v>62.66</v>
      </c>
      <c r="I283" s="9" t="s">
        <v>44</v>
      </c>
      <c r="J283" s="9" t="s">
        <v>45</v>
      </c>
      <c r="K283" s="9" t="s">
        <v>1282</v>
      </c>
      <c r="L283" s="11" t="s">
        <v>58</v>
      </c>
      <c r="M283" s="9" t="s">
        <v>48</v>
      </c>
      <c r="N283" s="9" t="s">
        <v>48</v>
      </c>
      <c r="O283" s="12" t="s">
        <v>511</v>
      </c>
      <c r="P283" s="6" t="s">
        <v>512</v>
      </c>
      <c r="Q283" s="9" t="s">
        <v>513</v>
      </c>
      <c r="R283" s="13">
        <v>1</v>
      </c>
      <c r="S283" s="9" t="s">
        <v>68</v>
      </c>
      <c r="T283" s="9" t="s">
        <v>53</v>
      </c>
      <c r="U283" s="9" t="s">
        <v>54</v>
      </c>
      <c r="V283" s="9" t="s">
        <v>55</v>
      </c>
      <c r="W283" s="9"/>
      <c r="X283" s="9"/>
      <c r="Y283" s="13">
        <v>75.349999999999994</v>
      </c>
      <c r="Z283" s="13">
        <v>1</v>
      </c>
      <c r="AA283" s="9"/>
      <c r="AB283" s="9"/>
      <c r="AC283" s="9"/>
      <c r="AD283" s="9"/>
      <c r="AE283" s="9"/>
      <c r="AF283" s="13">
        <v>12.69</v>
      </c>
      <c r="AG283" s="9"/>
      <c r="AH283" s="9"/>
      <c r="AI283" s="9"/>
      <c r="AJ283" s="9"/>
      <c r="AK283" s="14" t="e">
        <f t="shared" si="1"/>
        <v>#DIV/0!</v>
      </c>
      <c r="AL283" s="9"/>
      <c r="AM283" s="9"/>
      <c r="AN283" s="9"/>
      <c r="AO283" s="6"/>
      <c r="AP283" s="9"/>
      <c r="AQ283" s="9"/>
      <c r="AR283" s="9"/>
      <c r="AS283" s="9"/>
      <c r="AT283" s="9"/>
      <c r="AU283" s="9"/>
      <c r="AV283" s="9"/>
      <c r="AW283" s="9"/>
      <c r="AX283" s="9"/>
      <c r="AY283" s="9"/>
      <c r="AZ283" s="9"/>
      <c r="BA283" s="9"/>
      <c r="BB283" s="9"/>
      <c r="BC283" s="9"/>
      <c r="BD283" s="9"/>
      <c r="BE283" s="9"/>
      <c r="BF283" s="9"/>
      <c r="BG283" s="9"/>
      <c r="BH283" s="9"/>
    </row>
    <row r="284" spans="1:60" ht="12.5" hidden="1">
      <c r="A284" s="6" t="s">
        <v>1283</v>
      </c>
      <c r="B284" s="16">
        <v>45630</v>
      </c>
      <c r="C284" s="8">
        <v>45645</v>
      </c>
      <c r="D284" s="9" t="s">
        <v>41</v>
      </c>
      <c r="E284" s="9" t="s">
        <v>1284</v>
      </c>
      <c r="F284" s="9"/>
      <c r="G284" s="9" t="s">
        <v>43</v>
      </c>
      <c r="H284" s="10">
        <v>12.17</v>
      </c>
      <c r="I284" s="9" t="s">
        <v>44</v>
      </c>
      <c r="J284" s="9" t="s">
        <v>45</v>
      </c>
      <c r="K284" s="9" t="s">
        <v>1285</v>
      </c>
      <c r="L284" s="11" t="s">
        <v>58</v>
      </c>
      <c r="M284" s="9" t="s">
        <v>48</v>
      </c>
      <c r="N284" s="9" t="s">
        <v>48</v>
      </c>
      <c r="O284" s="12" t="s">
        <v>1286</v>
      </c>
      <c r="P284" s="6" t="s">
        <v>1287</v>
      </c>
      <c r="Q284" s="9" t="s">
        <v>1288</v>
      </c>
      <c r="R284" s="13">
        <v>1</v>
      </c>
      <c r="S284" s="9" t="s">
        <v>68</v>
      </c>
      <c r="T284" s="9" t="s">
        <v>53</v>
      </c>
      <c r="U284" s="9" t="s">
        <v>54</v>
      </c>
      <c r="V284" s="9" t="s">
        <v>61</v>
      </c>
      <c r="W284" s="9"/>
      <c r="X284" s="9"/>
      <c r="Y284" s="13">
        <v>83.28</v>
      </c>
      <c r="Z284" s="13">
        <v>1</v>
      </c>
      <c r="AA284" s="9"/>
      <c r="AB284" s="9"/>
      <c r="AC284" s="9"/>
      <c r="AD284" s="9"/>
      <c r="AE284" s="9"/>
      <c r="AF284" s="9"/>
      <c r="AG284" s="9"/>
      <c r="AH284" s="9"/>
      <c r="AI284" s="9">
        <v>1</v>
      </c>
      <c r="AJ284" s="9">
        <v>4</v>
      </c>
      <c r="AK284" s="14">
        <f t="shared" si="1"/>
        <v>0.25</v>
      </c>
      <c r="AL284" s="9"/>
      <c r="AM284" s="9"/>
      <c r="AN284" s="9"/>
      <c r="AO284" s="6"/>
      <c r="AP284" s="9"/>
      <c r="AQ284" s="9"/>
      <c r="AR284" s="9"/>
      <c r="AS284" s="9"/>
      <c r="AT284" s="9"/>
      <c r="AU284" s="9"/>
      <c r="AV284" s="9"/>
      <c r="AW284" s="9"/>
      <c r="AX284" s="9"/>
      <c r="AY284" s="9"/>
      <c r="AZ284" s="9"/>
      <c r="BA284" s="9"/>
      <c r="BB284" s="9"/>
      <c r="BC284" s="9"/>
      <c r="BD284" s="9"/>
      <c r="BE284" s="9"/>
      <c r="BF284" s="9"/>
      <c r="BG284" s="9"/>
      <c r="BH284" s="9"/>
    </row>
    <row r="285" spans="1:60" ht="12.5" hidden="1">
      <c r="A285" s="6" t="s">
        <v>1289</v>
      </c>
      <c r="B285" s="16">
        <v>45632</v>
      </c>
      <c r="C285" s="8">
        <v>45638</v>
      </c>
      <c r="D285" s="9" t="s">
        <v>41</v>
      </c>
      <c r="E285" s="9" t="s">
        <v>1290</v>
      </c>
      <c r="F285" s="9"/>
      <c r="G285" s="9" t="s">
        <v>43</v>
      </c>
      <c r="H285" s="10">
        <v>6.81</v>
      </c>
      <c r="I285" s="9" t="s">
        <v>44</v>
      </c>
      <c r="J285" s="9" t="s">
        <v>45</v>
      </c>
      <c r="K285" s="9" t="s">
        <v>1291</v>
      </c>
      <c r="L285" s="11" t="s">
        <v>47</v>
      </c>
      <c r="M285" s="9" t="s">
        <v>48</v>
      </c>
      <c r="N285" s="9" t="s">
        <v>48</v>
      </c>
      <c r="O285" s="12" t="s">
        <v>1292</v>
      </c>
      <c r="P285" s="6" t="s">
        <v>1293</v>
      </c>
      <c r="Q285" s="9" t="s">
        <v>1294</v>
      </c>
      <c r="R285" s="13">
        <v>1</v>
      </c>
      <c r="S285" s="9" t="s">
        <v>99</v>
      </c>
      <c r="T285" s="9" t="s">
        <v>53</v>
      </c>
      <c r="U285" s="9" t="s">
        <v>54</v>
      </c>
      <c r="V285" s="9" t="s">
        <v>55</v>
      </c>
      <c r="W285" s="9"/>
      <c r="X285" s="9"/>
      <c r="Y285" s="13">
        <v>73.02</v>
      </c>
      <c r="Z285" s="13">
        <v>1</v>
      </c>
      <c r="AA285" s="9"/>
      <c r="AB285" s="9"/>
      <c r="AC285" s="9"/>
      <c r="AD285" s="9"/>
      <c r="AE285" s="9"/>
      <c r="AF285" s="13">
        <v>73.02</v>
      </c>
      <c r="AG285" s="9"/>
      <c r="AH285" s="9"/>
      <c r="AI285" s="9">
        <v>1</v>
      </c>
      <c r="AJ285" s="9">
        <v>11</v>
      </c>
      <c r="AK285" s="14">
        <f t="shared" si="1"/>
        <v>9.0909090909090912E-2</v>
      </c>
      <c r="AL285" s="9"/>
      <c r="AM285" s="9"/>
      <c r="AN285" s="9"/>
      <c r="AO285" s="6"/>
      <c r="AP285" s="9"/>
      <c r="AQ285" s="9"/>
      <c r="AR285" s="9"/>
      <c r="AS285" s="9"/>
      <c r="AT285" s="9"/>
      <c r="AU285" s="9"/>
      <c r="AV285" s="9"/>
      <c r="AW285" s="9"/>
      <c r="AX285" s="9"/>
      <c r="AY285" s="9"/>
      <c r="AZ285" s="9"/>
      <c r="BA285" s="9"/>
      <c r="BB285" s="9"/>
      <c r="BC285" s="9"/>
      <c r="BD285" s="9"/>
      <c r="BE285" s="9"/>
      <c r="BF285" s="9"/>
      <c r="BG285" s="9"/>
      <c r="BH285" s="9"/>
    </row>
    <row r="286" spans="1:60" ht="12.5" hidden="1">
      <c r="A286" s="6" t="s">
        <v>1295</v>
      </c>
      <c r="B286" s="16">
        <v>45643</v>
      </c>
      <c r="C286" s="8">
        <v>45655</v>
      </c>
      <c r="D286" s="9" t="s">
        <v>41</v>
      </c>
      <c r="E286" s="9"/>
      <c r="F286" s="9"/>
      <c r="G286" s="9" t="s">
        <v>137</v>
      </c>
      <c r="H286" s="10">
        <v>0</v>
      </c>
      <c r="I286" s="9"/>
      <c r="J286" s="9"/>
      <c r="K286" s="9"/>
      <c r="L286" s="11" t="s">
        <v>47</v>
      </c>
      <c r="M286" s="9" t="s">
        <v>48</v>
      </c>
      <c r="N286" s="9" t="s">
        <v>48</v>
      </c>
      <c r="O286" s="12" t="s">
        <v>1296</v>
      </c>
      <c r="P286" s="6" t="s">
        <v>1297</v>
      </c>
      <c r="Q286" s="9" t="s">
        <v>1298</v>
      </c>
      <c r="R286" s="13">
        <v>1</v>
      </c>
      <c r="S286" s="9" t="s">
        <v>92</v>
      </c>
      <c r="T286" s="9" t="s">
        <v>53</v>
      </c>
      <c r="U286" s="9" t="s">
        <v>54</v>
      </c>
      <c r="V286" s="9" t="s">
        <v>141</v>
      </c>
      <c r="W286" s="9"/>
      <c r="X286" s="9"/>
      <c r="Y286" s="13">
        <v>36.89</v>
      </c>
      <c r="Z286" s="13">
        <v>1</v>
      </c>
      <c r="AA286" s="9"/>
      <c r="AB286" s="9"/>
      <c r="AC286" s="9"/>
      <c r="AD286" s="9"/>
      <c r="AE286" s="9"/>
      <c r="AF286" s="13">
        <v>36.89</v>
      </c>
      <c r="AG286" s="9"/>
      <c r="AH286" s="9"/>
      <c r="AI286" s="9">
        <v>3</v>
      </c>
      <c r="AJ286" s="9">
        <v>10</v>
      </c>
      <c r="AK286" s="14">
        <f t="shared" si="1"/>
        <v>0.3</v>
      </c>
      <c r="AL286" s="9"/>
      <c r="AM286" s="9"/>
      <c r="AN286" s="9"/>
      <c r="AO286" s="6"/>
      <c r="AP286" s="9"/>
      <c r="AQ286" s="9"/>
      <c r="AR286" s="9"/>
      <c r="AS286" s="9"/>
      <c r="AT286" s="9"/>
      <c r="AU286" s="9"/>
      <c r="AV286" s="9"/>
      <c r="AW286" s="9"/>
      <c r="AX286" s="9"/>
      <c r="AY286" s="9"/>
      <c r="AZ286" s="9"/>
      <c r="BA286" s="9"/>
      <c r="BB286" s="9"/>
      <c r="BC286" s="9"/>
      <c r="BD286" s="9"/>
      <c r="BE286" s="9"/>
      <c r="BF286" s="9"/>
      <c r="BG286" s="9"/>
      <c r="BH286" s="9"/>
    </row>
    <row r="287" spans="1:60" ht="12.5" hidden="1">
      <c r="A287" s="6" t="s">
        <v>1299</v>
      </c>
      <c r="B287" s="16">
        <v>45621</v>
      </c>
      <c r="C287" s="8">
        <v>45642</v>
      </c>
      <c r="D287" s="9" t="s">
        <v>41</v>
      </c>
      <c r="E287" s="9"/>
      <c r="F287" s="9"/>
      <c r="G287" s="9" t="s">
        <v>137</v>
      </c>
      <c r="H287" s="10">
        <v>0</v>
      </c>
      <c r="I287" s="9"/>
      <c r="J287" s="9"/>
      <c r="K287" s="9"/>
      <c r="L287" s="11" t="s">
        <v>58</v>
      </c>
      <c r="M287" s="9" t="s">
        <v>48</v>
      </c>
      <c r="N287" s="9" t="s">
        <v>48</v>
      </c>
      <c r="O287" s="12" t="s">
        <v>1296</v>
      </c>
      <c r="P287" s="6" t="s">
        <v>1297</v>
      </c>
      <c r="Q287" s="9" t="s">
        <v>1298</v>
      </c>
      <c r="R287" s="13">
        <v>1</v>
      </c>
      <c r="S287" s="9" t="s">
        <v>75</v>
      </c>
      <c r="T287" s="9" t="s">
        <v>53</v>
      </c>
      <c r="U287" s="9" t="s">
        <v>54</v>
      </c>
      <c r="V287" s="9" t="s">
        <v>141</v>
      </c>
      <c r="W287" s="9"/>
      <c r="X287" s="9"/>
      <c r="Y287" s="13">
        <v>38.119999999999997</v>
      </c>
      <c r="Z287" s="13">
        <v>1</v>
      </c>
      <c r="AA287" s="9"/>
      <c r="AB287" s="9"/>
      <c r="AC287" s="9"/>
      <c r="AD287" s="9"/>
      <c r="AE287" s="9"/>
      <c r="AF287" s="13">
        <v>38.119999999999997</v>
      </c>
      <c r="AG287" s="9"/>
      <c r="AH287" s="9"/>
      <c r="AI287" s="9"/>
      <c r="AJ287" s="9"/>
      <c r="AK287" s="14" t="e">
        <f t="shared" si="1"/>
        <v>#DIV/0!</v>
      </c>
      <c r="AL287" s="9"/>
      <c r="AM287" s="9"/>
      <c r="AN287" s="9"/>
      <c r="AO287" s="6"/>
      <c r="AP287" s="9"/>
      <c r="AQ287" s="9"/>
      <c r="AR287" s="9"/>
      <c r="AS287" s="9"/>
      <c r="AT287" s="9"/>
      <c r="AU287" s="9"/>
      <c r="AV287" s="9"/>
      <c r="AW287" s="9"/>
      <c r="AX287" s="9"/>
      <c r="AY287" s="9"/>
      <c r="AZ287" s="9"/>
      <c r="BA287" s="9"/>
      <c r="BB287" s="9"/>
      <c r="BC287" s="9"/>
      <c r="BD287" s="9"/>
      <c r="BE287" s="9"/>
      <c r="BF287" s="9"/>
      <c r="BG287" s="9"/>
      <c r="BH287" s="9"/>
    </row>
    <row r="288" spans="1:60" ht="12.5" hidden="1">
      <c r="A288" s="6" t="s">
        <v>1300</v>
      </c>
      <c r="B288" s="16">
        <v>45619</v>
      </c>
      <c r="C288" s="8">
        <v>45636</v>
      </c>
      <c r="D288" s="9" t="s">
        <v>41</v>
      </c>
      <c r="E288" s="9"/>
      <c r="F288" s="9"/>
      <c r="G288" s="9" t="s">
        <v>137</v>
      </c>
      <c r="H288" s="10">
        <v>0</v>
      </c>
      <c r="I288" s="9"/>
      <c r="J288" s="9"/>
      <c r="K288" s="9"/>
      <c r="L288" s="11" t="s">
        <v>47</v>
      </c>
      <c r="M288" s="9" t="s">
        <v>48</v>
      </c>
      <c r="N288" s="9" t="s">
        <v>48</v>
      </c>
      <c r="O288" s="12" t="s">
        <v>1296</v>
      </c>
      <c r="P288" s="6" t="s">
        <v>1297</v>
      </c>
      <c r="Q288" s="9" t="s">
        <v>1298</v>
      </c>
      <c r="R288" s="13">
        <v>1</v>
      </c>
      <c r="S288" s="9" t="s">
        <v>92</v>
      </c>
      <c r="T288" s="9" t="s">
        <v>53</v>
      </c>
      <c r="U288" s="9" t="s">
        <v>54</v>
      </c>
      <c r="V288" s="9" t="s">
        <v>141</v>
      </c>
      <c r="W288" s="9"/>
      <c r="X288" s="9"/>
      <c r="Y288" s="13">
        <v>37.07</v>
      </c>
      <c r="Z288" s="13">
        <v>1</v>
      </c>
      <c r="AA288" s="9"/>
      <c r="AB288" s="9"/>
      <c r="AC288" s="9"/>
      <c r="AD288" s="9"/>
      <c r="AE288" s="9"/>
      <c r="AF288" s="13">
        <v>37.07</v>
      </c>
      <c r="AG288" s="9"/>
      <c r="AH288" s="9"/>
      <c r="AI288" s="9"/>
      <c r="AJ288" s="9"/>
      <c r="AK288" s="14" t="e">
        <f t="shared" si="1"/>
        <v>#DIV/0!</v>
      </c>
      <c r="AL288" s="9"/>
      <c r="AM288" s="9"/>
      <c r="AN288" s="9"/>
      <c r="AO288" s="6"/>
      <c r="AP288" s="9"/>
      <c r="AQ288" s="9"/>
      <c r="AR288" s="9"/>
      <c r="AS288" s="9"/>
      <c r="AT288" s="9"/>
      <c r="AU288" s="9"/>
      <c r="AV288" s="9"/>
      <c r="AW288" s="9"/>
      <c r="AX288" s="9"/>
      <c r="AY288" s="9"/>
      <c r="AZ288" s="9"/>
      <c r="BA288" s="9"/>
      <c r="BB288" s="9"/>
      <c r="BC288" s="9"/>
      <c r="BD288" s="9"/>
      <c r="BE288" s="9"/>
      <c r="BF288" s="9"/>
      <c r="BG288" s="9"/>
      <c r="BH288" s="9"/>
    </row>
    <row r="289" spans="1:60" ht="12.5" hidden="1">
      <c r="A289" s="6" t="s">
        <v>1301</v>
      </c>
      <c r="B289" s="16">
        <v>45618</v>
      </c>
      <c r="C289" s="8">
        <v>45654</v>
      </c>
      <c r="D289" s="9" t="s">
        <v>41</v>
      </c>
      <c r="E289" s="9" t="s">
        <v>1302</v>
      </c>
      <c r="F289" s="9"/>
      <c r="G289" s="9" t="s">
        <v>43</v>
      </c>
      <c r="H289" s="10">
        <v>11.01</v>
      </c>
      <c r="I289" s="9" t="s">
        <v>44</v>
      </c>
      <c r="J289" s="9" t="s">
        <v>45</v>
      </c>
      <c r="K289" s="9" t="s">
        <v>1303</v>
      </c>
      <c r="L289" s="11" t="s">
        <v>47</v>
      </c>
      <c r="M289" s="9" t="s">
        <v>48</v>
      </c>
      <c r="N289" s="9" t="s">
        <v>48</v>
      </c>
      <c r="O289" s="12" t="s">
        <v>536</v>
      </c>
      <c r="P289" s="6" t="s">
        <v>537</v>
      </c>
      <c r="Q289" s="9" t="s">
        <v>538</v>
      </c>
      <c r="R289" s="13">
        <v>1</v>
      </c>
      <c r="S289" s="9" t="s">
        <v>52</v>
      </c>
      <c r="T289" s="9" t="s">
        <v>53</v>
      </c>
      <c r="U289" s="9" t="s">
        <v>54</v>
      </c>
      <c r="V289" s="9" t="s">
        <v>55</v>
      </c>
      <c r="W289" s="9"/>
      <c r="X289" s="9"/>
      <c r="Y289" s="13">
        <v>81.99</v>
      </c>
      <c r="Z289" s="13">
        <v>1</v>
      </c>
      <c r="AA289" s="9"/>
      <c r="AB289" s="9"/>
      <c r="AC289" s="9"/>
      <c r="AD289" s="9"/>
      <c r="AE289" s="9"/>
      <c r="AF289" s="13">
        <v>81.99</v>
      </c>
      <c r="AG289" s="9"/>
      <c r="AH289" s="9"/>
      <c r="AI289" s="9">
        <v>3</v>
      </c>
      <c r="AJ289" s="9">
        <v>8</v>
      </c>
      <c r="AK289" s="14">
        <f t="shared" si="1"/>
        <v>0.375</v>
      </c>
      <c r="AL289" s="9"/>
      <c r="AM289" s="9"/>
      <c r="AN289" s="9"/>
      <c r="AO289" s="6"/>
      <c r="AP289" s="9"/>
      <c r="AQ289" s="9"/>
      <c r="AR289" s="9"/>
      <c r="AS289" s="9"/>
      <c r="AT289" s="9"/>
      <c r="AU289" s="9"/>
      <c r="AV289" s="9"/>
      <c r="AW289" s="9"/>
      <c r="AX289" s="9"/>
      <c r="AY289" s="9"/>
      <c r="AZ289" s="9"/>
      <c r="BA289" s="9"/>
      <c r="BB289" s="9"/>
      <c r="BC289" s="9"/>
      <c r="BD289" s="9"/>
      <c r="BE289" s="9"/>
      <c r="BF289" s="9"/>
      <c r="BG289" s="9"/>
      <c r="BH289" s="9"/>
    </row>
    <row r="290" spans="1:60" ht="12.5" hidden="1">
      <c r="A290" s="6" t="s">
        <v>1304</v>
      </c>
      <c r="B290" s="16">
        <v>45625</v>
      </c>
      <c r="C290" s="8">
        <v>45649</v>
      </c>
      <c r="D290" s="9" t="s">
        <v>41</v>
      </c>
      <c r="E290" s="9" t="s">
        <v>1305</v>
      </c>
      <c r="F290" s="9"/>
      <c r="G290" s="9" t="s">
        <v>43</v>
      </c>
      <c r="H290" s="10">
        <v>10.69</v>
      </c>
      <c r="I290" s="9" t="s">
        <v>44</v>
      </c>
      <c r="J290" s="9" t="s">
        <v>45</v>
      </c>
      <c r="K290" s="9" t="s">
        <v>1306</v>
      </c>
      <c r="L290" s="11" t="s">
        <v>47</v>
      </c>
      <c r="M290" s="9" t="s">
        <v>48</v>
      </c>
      <c r="N290" s="9" t="s">
        <v>48</v>
      </c>
      <c r="O290" s="12" t="s">
        <v>536</v>
      </c>
      <c r="P290" s="6" t="s">
        <v>537</v>
      </c>
      <c r="Q290" s="9" t="s">
        <v>538</v>
      </c>
      <c r="R290" s="13">
        <v>1</v>
      </c>
      <c r="S290" s="9" t="s">
        <v>52</v>
      </c>
      <c r="T290" s="9" t="s">
        <v>53</v>
      </c>
      <c r="U290" s="9" t="s">
        <v>54</v>
      </c>
      <c r="V290" s="9" t="s">
        <v>55</v>
      </c>
      <c r="W290" s="9"/>
      <c r="X290" s="9"/>
      <c r="Y290" s="13">
        <v>81.99</v>
      </c>
      <c r="Z290" s="13">
        <v>1</v>
      </c>
      <c r="AA290" s="9"/>
      <c r="AB290" s="9"/>
      <c r="AC290" s="9"/>
      <c r="AD290" s="9"/>
      <c r="AE290" s="9"/>
      <c r="AF290" s="13">
        <v>81.99</v>
      </c>
      <c r="AG290" s="9"/>
      <c r="AH290" s="9"/>
      <c r="AI290" s="9"/>
      <c r="AJ290" s="9"/>
      <c r="AK290" s="14" t="e">
        <f t="shared" si="1"/>
        <v>#DIV/0!</v>
      </c>
      <c r="AL290" s="9"/>
      <c r="AM290" s="9"/>
      <c r="AN290" s="9"/>
      <c r="AO290" s="6"/>
      <c r="AP290" s="9"/>
      <c r="AQ290" s="9"/>
      <c r="AR290" s="9"/>
      <c r="AS290" s="9"/>
      <c r="AT290" s="9"/>
      <c r="AU290" s="9"/>
      <c r="AV290" s="9"/>
      <c r="AW290" s="9"/>
      <c r="AX290" s="9"/>
      <c r="AY290" s="9"/>
      <c r="AZ290" s="9"/>
      <c r="BA290" s="9"/>
      <c r="BB290" s="9"/>
      <c r="BC290" s="9"/>
      <c r="BD290" s="9"/>
      <c r="BE290" s="9"/>
      <c r="BF290" s="9"/>
      <c r="BG290" s="9"/>
      <c r="BH290" s="9"/>
    </row>
    <row r="291" spans="1:60" ht="12.5" hidden="1">
      <c r="A291" s="6" t="s">
        <v>1307</v>
      </c>
      <c r="B291" s="16">
        <v>45632</v>
      </c>
      <c r="C291" s="8">
        <v>45640</v>
      </c>
      <c r="D291" s="9" t="s">
        <v>41</v>
      </c>
      <c r="E291" s="9" t="s">
        <v>1308</v>
      </c>
      <c r="F291" s="9"/>
      <c r="G291" s="9" t="s">
        <v>43</v>
      </c>
      <c r="H291" s="10">
        <v>10.69</v>
      </c>
      <c r="I291" s="9" t="s">
        <v>44</v>
      </c>
      <c r="J291" s="9" t="s">
        <v>45</v>
      </c>
      <c r="K291" s="9" t="s">
        <v>1309</v>
      </c>
      <c r="L291" s="11" t="s">
        <v>47</v>
      </c>
      <c r="M291" s="9" t="s">
        <v>48</v>
      </c>
      <c r="N291" s="9" t="s">
        <v>48</v>
      </c>
      <c r="O291" s="12" t="s">
        <v>536</v>
      </c>
      <c r="P291" s="6" t="s">
        <v>537</v>
      </c>
      <c r="Q291" s="9" t="s">
        <v>538</v>
      </c>
      <c r="R291" s="13">
        <v>1</v>
      </c>
      <c r="S291" s="9" t="s">
        <v>184</v>
      </c>
      <c r="T291" s="9" t="s">
        <v>53</v>
      </c>
      <c r="U291" s="9" t="s">
        <v>54</v>
      </c>
      <c r="V291" s="9" t="s">
        <v>55</v>
      </c>
      <c r="W291" s="9"/>
      <c r="X291" s="9"/>
      <c r="Y291" s="13">
        <v>83.97</v>
      </c>
      <c r="Z291" s="13">
        <v>1</v>
      </c>
      <c r="AA291" s="9"/>
      <c r="AB291" s="9"/>
      <c r="AC291" s="9"/>
      <c r="AD291" s="9"/>
      <c r="AE291" s="9"/>
      <c r="AF291" s="13">
        <v>83.97</v>
      </c>
      <c r="AG291" s="9"/>
      <c r="AH291" s="9"/>
      <c r="AI291" s="9"/>
      <c r="AJ291" s="9"/>
      <c r="AK291" s="14" t="e">
        <f t="shared" si="1"/>
        <v>#DIV/0!</v>
      </c>
      <c r="AL291" s="9"/>
      <c r="AM291" s="9"/>
      <c r="AN291" s="9"/>
      <c r="AO291" s="6"/>
      <c r="AP291" s="9"/>
      <c r="AQ291" s="9"/>
      <c r="AR291" s="9"/>
      <c r="AS291" s="9"/>
      <c r="AT291" s="9"/>
      <c r="AU291" s="9"/>
      <c r="AV291" s="9"/>
      <c r="AW291" s="9"/>
      <c r="AX291" s="9"/>
      <c r="AY291" s="9"/>
      <c r="AZ291" s="9"/>
      <c r="BA291" s="9"/>
      <c r="BB291" s="9"/>
      <c r="BC291" s="9"/>
      <c r="BD291" s="9"/>
      <c r="BE291" s="9"/>
      <c r="BF291" s="9"/>
      <c r="BG291" s="9"/>
      <c r="BH291" s="9"/>
    </row>
    <row r="292" spans="1:60" ht="12.5" hidden="1">
      <c r="A292" s="6" t="s">
        <v>1310</v>
      </c>
      <c r="B292" s="16">
        <v>45634</v>
      </c>
      <c r="C292" s="8">
        <v>45655</v>
      </c>
      <c r="D292" s="9" t="s">
        <v>41</v>
      </c>
      <c r="E292" s="9" t="s">
        <v>1311</v>
      </c>
      <c r="F292" s="9"/>
      <c r="G292" s="9" t="s">
        <v>43</v>
      </c>
      <c r="H292" s="10">
        <v>11.65</v>
      </c>
      <c r="I292" s="9" t="s">
        <v>44</v>
      </c>
      <c r="J292" s="9" t="s">
        <v>45</v>
      </c>
      <c r="K292" s="9" t="s">
        <v>1312</v>
      </c>
      <c r="L292" s="11" t="s">
        <v>58</v>
      </c>
      <c r="M292" s="9" t="s">
        <v>48</v>
      </c>
      <c r="N292" s="9" t="s">
        <v>48</v>
      </c>
      <c r="O292" s="12" t="s">
        <v>1313</v>
      </c>
      <c r="P292" s="6" t="s">
        <v>1314</v>
      </c>
      <c r="Q292" s="9" t="s">
        <v>1315</v>
      </c>
      <c r="R292" s="13">
        <v>1</v>
      </c>
      <c r="S292" s="9" t="s">
        <v>75</v>
      </c>
      <c r="T292" s="9" t="s">
        <v>53</v>
      </c>
      <c r="U292" s="9" t="s">
        <v>54</v>
      </c>
      <c r="V292" s="9" t="s">
        <v>61</v>
      </c>
      <c r="W292" s="9"/>
      <c r="X292" s="9"/>
      <c r="Y292" s="13">
        <v>72.459999999999994</v>
      </c>
      <c r="Z292" s="13">
        <v>1</v>
      </c>
      <c r="AA292" s="9"/>
      <c r="AB292" s="9"/>
      <c r="AC292" s="9"/>
      <c r="AD292" s="9"/>
      <c r="AE292" s="9"/>
      <c r="AF292" s="9"/>
      <c r="AG292" s="9"/>
      <c r="AH292" s="9"/>
      <c r="AI292" s="9">
        <v>1</v>
      </c>
      <c r="AJ292" s="9">
        <v>3</v>
      </c>
      <c r="AK292" s="14">
        <f t="shared" si="1"/>
        <v>0.33333333333333331</v>
      </c>
      <c r="AL292" s="9"/>
      <c r="AM292" s="9"/>
      <c r="AN292" s="9"/>
      <c r="AO292" s="6"/>
      <c r="AP292" s="9"/>
      <c r="AQ292" s="9"/>
      <c r="AR292" s="9"/>
      <c r="AS292" s="9"/>
      <c r="AT292" s="9"/>
      <c r="AU292" s="9"/>
      <c r="AV292" s="9"/>
      <c r="AW292" s="9"/>
      <c r="AX292" s="9"/>
      <c r="AY292" s="9"/>
      <c r="AZ292" s="9"/>
      <c r="BA292" s="9"/>
      <c r="BB292" s="9"/>
      <c r="BC292" s="9"/>
      <c r="BD292" s="9"/>
      <c r="BE292" s="9"/>
      <c r="BF292" s="9"/>
      <c r="BG292" s="9"/>
      <c r="BH292" s="9"/>
    </row>
    <row r="293" spans="1:60" ht="12.5" hidden="1">
      <c r="A293" s="6" t="s">
        <v>1316</v>
      </c>
      <c r="B293" s="16">
        <v>45628</v>
      </c>
      <c r="C293" s="8">
        <v>45651</v>
      </c>
      <c r="D293" s="9" t="s">
        <v>41</v>
      </c>
      <c r="E293" s="9" t="s">
        <v>1317</v>
      </c>
      <c r="F293" s="9"/>
      <c r="G293" s="9" t="s">
        <v>43</v>
      </c>
      <c r="H293" s="10">
        <v>13.06</v>
      </c>
      <c r="I293" s="9" t="s">
        <v>44</v>
      </c>
      <c r="J293" s="9" t="s">
        <v>45</v>
      </c>
      <c r="K293" s="9" t="s">
        <v>1318</v>
      </c>
      <c r="L293" s="11" t="s">
        <v>47</v>
      </c>
      <c r="M293" s="9" t="s">
        <v>48</v>
      </c>
      <c r="N293" s="9" t="s">
        <v>48</v>
      </c>
      <c r="O293" s="12" t="s">
        <v>1319</v>
      </c>
      <c r="P293" s="6" t="s">
        <v>1320</v>
      </c>
      <c r="Q293" s="9" t="s">
        <v>1321</v>
      </c>
      <c r="R293" s="13">
        <v>1</v>
      </c>
      <c r="S293" s="9" t="s">
        <v>82</v>
      </c>
      <c r="T293" s="9" t="s">
        <v>53</v>
      </c>
      <c r="U293" s="9" t="s">
        <v>54</v>
      </c>
      <c r="V293" s="9" t="s">
        <v>560</v>
      </c>
      <c r="W293" s="9"/>
      <c r="X293" s="9"/>
      <c r="Y293" s="13">
        <v>100.37</v>
      </c>
      <c r="Z293" s="13">
        <v>1</v>
      </c>
      <c r="AA293" s="9"/>
      <c r="AB293" s="9"/>
      <c r="AC293" s="9"/>
      <c r="AD293" s="9"/>
      <c r="AE293" s="9"/>
      <c r="AF293" s="9"/>
      <c r="AG293" s="9"/>
      <c r="AH293" s="9"/>
      <c r="AI293" s="9">
        <v>3</v>
      </c>
      <c r="AJ293" s="9">
        <v>8</v>
      </c>
      <c r="AK293" s="14">
        <f t="shared" si="1"/>
        <v>0.375</v>
      </c>
      <c r="AL293" s="9"/>
      <c r="AM293" s="9"/>
      <c r="AN293" s="9" t="s">
        <v>953</v>
      </c>
      <c r="AO293" s="6"/>
      <c r="AP293" s="9"/>
      <c r="AQ293" s="9"/>
      <c r="AR293" s="9"/>
      <c r="AS293" s="9"/>
      <c r="AT293" s="9"/>
      <c r="AU293" s="9"/>
      <c r="AV293" s="9"/>
      <c r="AW293" s="9"/>
      <c r="AX293" s="9"/>
      <c r="AY293" s="9"/>
      <c r="AZ293" s="9"/>
      <c r="BA293" s="9"/>
      <c r="BB293" s="9"/>
      <c r="BC293" s="9"/>
      <c r="BD293" s="9"/>
      <c r="BE293" s="9"/>
      <c r="BF293" s="9"/>
      <c r="BG293" s="9"/>
      <c r="BH293" s="9"/>
    </row>
    <row r="294" spans="1:60" ht="12.5" hidden="1">
      <c r="A294" s="6" t="s">
        <v>1322</v>
      </c>
      <c r="B294" s="16">
        <v>45639</v>
      </c>
      <c r="C294" s="8">
        <v>45644</v>
      </c>
      <c r="D294" s="9" t="s">
        <v>41</v>
      </c>
      <c r="E294" s="9" t="s">
        <v>1323</v>
      </c>
      <c r="F294" s="9"/>
      <c r="G294" s="9" t="s">
        <v>43</v>
      </c>
      <c r="H294" s="10">
        <v>13.06</v>
      </c>
      <c r="I294" s="9" t="s">
        <v>44</v>
      </c>
      <c r="J294" s="9" t="s">
        <v>45</v>
      </c>
      <c r="K294" s="9" t="s">
        <v>1324</v>
      </c>
      <c r="L294" s="11" t="s">
        <v>58</v>
      </c>
      <c r="M294" s="9" t="s">
        <v>48</v>
      </c>
      <c r="N294" s="9" t="s">
        <v>48</v>
      </c>
      <c r="O294" s="12" t="s">
        <v>1319</v>
      </c>
      <c r="P294" s="6" t="s">
        <v>1320</v>
      </c>
      <c r="Q294" s="9" t="s">
        <v>1321</v>
      </c>
      <c r="R294" s="13">
        <v>1</v>
      </c>
      <c r="S294" s="9" t="s">
        <v>68</v>
      </c>
      <c r="T294" s="9" t="s">
        <v>53</v>
      </c>
      <c r="U294" s="9" t="s">
        <v>54</v>
      </c>
      <c r="V294" s="9" t="s">
        <v>55</v>
      </c>
      <c r="W294" s="9"/>
      <c r="X294" s="9"/>
      <c r="Y294" s="13">
        <v>98.04</v>
      </c>
      <c r="Z294" s="13">
        <v>1</v>
      </c>
      <c r="AA294" s="9"/>
      <c r="AB294" s="9"/>
      <c r="AC294" s="9"/>
      <c r="AD294" s="9"/>
      <c r="AE294" s="9"/>
      <c r="AF294" s="13">
        <v>84.98</v>
      </c>
      <c r="AG294" s="9"/>
      <c r="AH294" s="9"/>
      <c r="AI294" s="9"/>
      <c r="AJ294" s="9"/>
      <c r="AK294" s="14" t="e">
        <f t="shared" si="1"/>
        <v>#DIV/0!</v>
      </c>
      <c r="AL294" s="9"/>
      <c r="AM294" s="9"/>
      <c r="AN294" s="9"/>
      <c r="AO294" s="6"/>
      <c r="AP294" s="9"/>
      <c r="AQ294" s="9"/>
      <c r="AR294" s="9"/>
      <c r="AS294" s="9"/>
      <c r="AT294" s="9"/>
      <c r="AU294" s="9"/>
      <c r="AV294" s="9"/>
      <c r="AW294" s="9"/>
      <c r="AX294" s="9"/>
      <c r="AY294" s="9"/>
      <c r="AZ294" s="9"/>
      <c r="BA294" s="9"/>
      <c r="BB294" s="9"/>
      <c r="BC294" s="9"/>
      <c r="BD294" s="9"/>
      <c r="BE294" s="9"/>
      <c r="BF294" s="9"/>
      <c r="BG294" s="9"/>
      <c r="BH294" s="9"/>
    </row>
    <row r="295" spans="1:60" ht="12.5" hidden="1">
      <c r="A295" s="6" t="s">
        <v>1325</v>
      </c>
      <c r="B295" s="16">
        <v>45636</v>
      </c>
      <c r="C295" s="8">
        <v>45638</v>
      </c>
      <c r="D295" s="9" t="s">
        <v>41</v>
      </c>
      <c r="E295" s="9" t="s">
        <v>1326</v>
      </c>
      <c r="F295" s="9"/>
      <c r="G295" s="9" t="s">
        <v>43</v>
      </c>
      <c r="H295" s="10">
        <v>13.06</v>
      </c>
      <c r="I295" s="9" t="s">
        <v>44</v>
      </c>
      <c r="J295" s="9" t="s">
        <v>45</v>
      </c>
      <c r="K295" s="9" t="s">
        <v>1327</v>
      </c>
      <c r="L295" s="11" t="s">
        <v>47</v>
      </c>
      <c r="M295" s="9" t="s">
        <v>48</v>
      </c>
      <c r="N295" s="9" t="s">
        <v>48</v>
      </c>
      <c r="O295" s="12" t="s">
        <v>1319</v>
      </c>
      <c r="P295" s="6" t="s">
        <v>1320</v>
      </c>
      <c r="Q295" s="9" t="s">
        <v>1321</v>
      </c>
      <c r="R295" s="13">
        <v>1</v>
      </c>
      <c r="S295" s="9" t="s">
        <v>99</v>
      </c>
      <c r="T295" s="9" t="s">
        <v>53</v>
      </c>
      <c r="U295" s="9" t="s">
        <v>54</v>
      </c>
      <c r="V295" s="9" t="s">
        <v>61</v>
      </c>
      <c r="W295" s="9"/>
      <c r="X295" s="9"/>
      <c r="Y295" s="13">
        <v>100.37</v>
      </c>
      <c r="Z295" s="13">
        <v>1</v>
      </c>
      <c r="AA295" s="9"/>
      <c r="AB295" s="9"/>
      <c r="AC295" s="9"/>
      <c r="AD295" s="9"/>
      <c r="AE295" s="9"/>
      <c r="AF295" s="9"/>
      <c r="AG295" s="9"/>
      <c r="AH295" s="9"/>
      <c r="AI295" s="9"/>
      <c r="AJ295" s="9"/>
      <c r="AK295" s="14" t="e">
        <f t="shared" si="1"/>
        <v>#DIV/0!</v>
      </c>
      <c r="AL295" s="9"/>
      <c r="AM295" s="9"/>
      <c r="AN295" s="9"/>
      <c r="AO295" s="6"/>
      <c r="AP295" s="9"/>
      <c r="AQ295" s="9"/>
      <c r="AR295" s="9"/>
      <c r="AS295" s="9"/>
      <c r="AT295" s="9"/>
      <c r="AU295" s="9"/>
      <c r="AV295" s="9"/>
      <c r="AW295" s="9"/>
      <c r="AX295" s="9"/>
      <c r="AY295" s="9"/>
      <c r="AZ295" s="9"/>
      <c r="BA295" s="9"/>
      <c r="BB295" s="9"/>
      <c r="BC295" s="9"/>
      <c r="BD295" s="9"/>
      <c r="BE295" s="9"/>
      <c r="BF295" s="9"/>
      <c r="BG295" s="9"/>
      <c r="BH295" s="9"/>
    </row>
    <row r="296" spans="1:60" ht="12.5" hidden="1">
      <c r="A296" s="6" t="s">
        <v>1328</v>
      </c>
      <c r="B296" s="16">
        <v>45637</v>
      </c>
      <c r="C296" s="8">
        <v>45642</v>
      </c>
      <c r="D296" s="9" t="s">
        <v>41</v>
      </c>
      <c r="E296" s="9" t="s">
        <v>1329</v>
      </c>
      <c r="F296" s="9"/>
      <c r="G296" s="9" t="s">
        <v>43</v>
      </c>
      <c r="H296" s="10">
        <v>13.9</v>
      </c>
      <c r="I296" s="9" t="s">
        <v>44</v>
      </c>
      <c r="J296" s="9" t="s">
        <v>45</v>
      </c>
      <c r="K296" s="9" t="s">
        <v>1330</v>
      </c>
      <c r="L296" s="11" t="s">
        <v>58</v>
      </c>
      <c r="M296" s="9" t="s">
        <v>48</v>
      </c>
      <c r="N296" s="9" t="s">
        <v>48</v>
      </c>
      <c r="O296" s="12" t="s">
        <v>1331</v>
      </c>
      <c r="P296" s="6" t="s">
        <v>1332</v>
      </c>
      <c r="Q296" s="9" t="s">
        <v>1333</v>
      </c>
      <c r="R296" s="13">
        <v>1</v>
      </c>
      <c r="S296" s="9" t="s">
        <v>75</v>
      </c>
      <c r="T296" s="9" t="s">
        <v>53</v>
      </c>
      <c r="U296" s="9" t="s">
        <v>54</v>
      </c>
      <c r="V296" s="9" t="s">
        <v>55</v>
      </c>
      <c r="W296" s="9"/>
      <c r="X296" s="9"/>
      <c r="Y296" s="13">
        <v>104.57</v>
      </c>
      <c r="Z296" s="13">
        <v>1</v>
      </c>
      <c r="AA296" s="9"/>
      <c r="AB296" s="9"/>
      <c r="AC296" s="9"/>
      <c r="AD296" s="9"/>
      <c r="AE296" s="9"/>
      <c r="AF296" s="13">
        <v>90.67</v>
      </c>
      <c r="AG296" s="9"/>
      <c r="AH296" s="9"/>
      <c r="AI296" s="9">
        <v>1</v>
      </c>
      <c r="AJ296" s="9">
        <v>15</v>
      </c>
      <c r="AK296" s="14">
        <f t="shared" si="1"/>
        <v>6.6666666666666666E-2</v>
      </c>
      <c r="AL296" s="9"/>
      <c r="AM296" s="9"/>
      <c r="AN296" s="9"/>
      <c r="AO296" s="6"/>
      <c r="AP296" s="9"/>
      <c r="AQ296" s="9"/>
      <c r="AR296" s="9"/>
      <c r="AS296" s="9"/>
      <c r="AT296" s="9"/>
      <c r="AU296" s="9"/>
      <c r="AV296" s="9"/>
      <c r="AW296" s="9"/>
      <c r="AX296" s="9"/>
      <c r="AY296" s="9"/>
      <c r="AZ296" s="9"/>
      <c r="BA296" s="9"/>
      <c r="BB296" s="9"/>
      <c r="BC296" s="9"/>
      <c r="BD296" s="9"/>
      <c r="BE296" s="9"/>
      <c r="BF296" s="9"/>
      <c r="BG296" s="9"/>
      <c r="BH296" s="9"/>
    </row>
    <row r="297" spans="1:60" ht="12.5" hidden="1">
      <c r="A297" s="6" t="s">
        <v>1334</v>
      </c>
      <c r="B297" s="16">
        <v>45632</v>
      </c>
      <c r="C297" s="8">
        <v>45637</v>
      </c>
      <c r="D297" s="9" t="s">
        <v>41</v>
      </c>
      <c r="E297" s="9" t="s">
        <v>1335</v>
      </c>
      <c r="F297" s="9"/>
      <c r="G297" s="9" t="s">
        <v>43</v>
      </c>
      <c r="H297" s="10">
        <v>22.71</v>
      </c>
      <c r="I297" s="9" t="s">
        <v>44</v>
      </c>
      <c r="J297" s="9" t="s">
        <v>45</v>
      </c>
      <c r="K297" s="9" t="s">
        <v>1336</v>
      </c>
      <c r="L297" s="11" t="s">
        <v>47</v>
      </c>
      <c r="M297" s="9" t="s">
        <v>48</v>
      </c>
      <c r="N297" s="9" t="s">
        <v>48</v>
      </c>
      <c r="O297" s="12" t="s">
        <v>551</v>
      </c>
      <c r="P297" s="6" t="s">
        <v>552</v>
      </c>
      <c r="Q297" s="9" t="s">
        <v>553</v>
      </c>
      <c r="R297" s="13">
        <v>1</v>
      </c>
      <c r="S297" s="9" t="s">
        <v>92</v>
      </c>
      <c r="T297" s="9" t="s">
        <v>53</v>
      </c>
      <c r="U297" s="9" t="s">
        <v>54</v>
      </c>
      <c r="V297" s="9" t="s">
        <v>55</v>
      </c>
      <c r="W297" s="9"/>
      <c r="X297" s="9"/>
      <c r="Y297" s="13">
        <v>99.44</v>
      </c>
      <c r="Z297" s="13">
        <v>1</v>
      </c>
      <c r="AA297" s="9"/>
      <c r="AB297" s="9"/>
      <c r="AC297" s="9"/>
      <c r="AD297" s="9"/>
      <c r="AE297" s="9"/>
      <c r="AF297" s="13">
        <v>99.44</v>
      </c>
      <c r="AG297" s="9"/>
      <c r="AH297" s="9"/>
      <c r="AI297" s="9">
        <v>2</v>
      </c>
      <c r="AJ297" s="9">
        <v>2</v>
      </c>
      <c r="AK297" s="14">
        <f t="shared" si="1"/>
        <v>1</v>
      </c>
      <c r="AL297" s="9"/>
      <c r="AM297" s="9"/>
      <c r="AN297" s="9"/>
      <c r="AO297" s="6"/>
      <c r="AP297" s="9"/>
      <c r="AQ297" s="9"/>
      <c r="AR297" s="9"/>
      <c r="AS297" s="9"/>
      <c r="AT297" s="9"/>
      <c r="AU297" s="9"/>
      <c r="AV297" s="9"/>
      <c r="AW297" s="9"/>
      <c r="AX297" s="9"/>
      <c r="AY297" s="9"/>
      <c r="AZ297" s="9"/>
      <c r="BA297" s="9"/>
      <c r="BB297" s="9"/>
      <c r="BC297" s="9"/>
      <c r="BD297" s="9"/>
      <c r="BE297" s="9"/>
      <c r="BF297" s="9"/>
      <c r="BG297" s="9"/>
      <c r="BH297" s="9"/>
    </row>
    <row r="298" spans="1:60" ht="12.5" hidden="1">
      <c r="A298" s="6" t="s">
        <v>1337</v>
      </c>
      <c r="B298" s="16">
        <v>45606</v>
      </c>
      <c r="C298" s="8">
        <v>45632</v>
      </c>
      <c r="D298" s="9" t="s">
        <v>41</v>
      </c>
      <c r="E298" s="9" t="s">
        <v>1338</v>
      </c>
      <c r="F298" s="9"/>
      <c r="G298" s="9" t="s">
        <v>43</v>
      </c>
      <c r="H298" s="10">
        <v>19.77</v>
      </c>
      <c r="I298" s="9" t="s">
        <v>44</v>
      </c>
      <c r="J298" s="9" t="s">
        <v>45</v>
      </c>
      <c r="K298" s="9" t="s">
        <v>1339</v>
      </c>
      <c r="L298" s="11" t="s">
        <v>58</v>
      </c>
      <c r="M298" s="9" t="s">
        <v>48</v>
      </c>
      <c r="N298" s="9" t="s">
        <v>48</v>
      </c>
      <c r="O298" s="12" t="s">
        <v>551</v>
      </c>
      <c r="P298" s="6" t="s">
        <v>552</v>
      </c>
      <c r="Q298" s="9" t="s">
        <v>553</v>
      </c>
      <c r="R298" s="13">
        <v>1</v>
      </c>
      <c r="S298" s="9" t="s">
        <v>75</v>
      </c>
      <c r="T298" s="9" t="s">
        <v>53</v>
      </c>
      <c r="U298" s="9" t="s">
        <v>54</v>
      </c>
      <c r="V298" s="9" t="s">
        <v>61</v>
      </c>
      <c r="W298" s="9"/>
      <c r="X298" s="9"/>
      <c r="Y298" s="13">
        <v>99.08</v>
      </c>
      <c r="Z298" s="13">
        <v>1</v>
      </c>
      <c r="AA298" s="9"/>
      <c r="AB298" s="9"/>
      <c r="AC298" s="9"/>
      <c r="AD298" s="9"/>
      <c r="AE298" s="9"/>
      <c r="AF298" s="9"/>
      <c r="AG298" s="9"/>
      <c r="AH298" s="9"/>
      <c r="AI298" s="9"/>
      <c r="AJ298" s="9"/>
      <c r="AK298" s="14" t="e">
        <f t="shared" si="1"/>
        <v>#DIV/0!</v>
      </c>
      <c r="AL298" s="9"/>
      <c r="AM298" s="9"/>
      <c r="AN298" s="9"/>
      <c r="AO298" s="6"/>
      <c r="AP298" s="9"/>
      <c r="AQ298" s="9"/>
      <c r="AR298" s="9"/>
      <c r="AS298" s="9"/>
      <c r="AT298" s="9"/>
      <c r="AU298" s="9"/>
      <c r="AV298" s="9"/>
      <c r="AW298" s="9"/>
      <c r="AX298" s="9"/>
      <c r="AY298" s="9"/>
      <c r="AZ298" s="9"/>
      <c r="BA298" s="9"/>
      <c r="BB298" s="9"/>
      <c r="BC298" s="9"/>
      <c r="BD298" s="9"/>
      <c r="BE298" s="9"/>
      <c r="BF298" s="9"/>
      <c r="BG298" s="9"/>
      <c r="BH298" s="9"/>
    </row>
    <row r="299" spans="1:60" ht="12.5" hidden="1">
      <c r="A299" s="6" t="s">
        <v>1340</v>
      </c>
      <c r="B299" s="16">
        <v>45631</v>
      </c>
      <c r="C299" s="8">
        <v>45636</v>
      </c>
      <c r="D299" s="9" t="s">
        <v>41</v>
      </c>
      <c r="E299" s="9" t="s">
        <v>1341</v>
      </c>
      <c r="F299" s="9"/>
      <c r="G299" s="9" t="s">
        <v>43</v>
      </c>
      <c r="H299" s="10">
        <v>18.13</v>
      </c>
      <c r="I299" s="9" t="s">
        <v>44</v>
      </c>
      <c r="J299" s="9" t="s">
        <v>45</v>
      </c>
      <c r="K299" s="9" t="s">
        <v>1342</v>
      </c>
      <c r="L299" s="11" t="s">
        <v>58</v>
      </c>
      <c r="M299" s="9" t="s">
        <v>48</v>
      </c>
      <c r="N299" s="9" t="s">
        <v>48</v>
      </c>
      <c r="O299" s="12" t="s">
        <v>1343</v>
      </c>
      <c r="P299" s="6" t="s">
        <v>1344</v>
      </c>
      <c r="Q299" s="9" t="s">
        <v>1345</v>
      </c>
      <c r="R299" s="13">
        <v>1</v>
      </c>
      <c r="S299" s="9" t="s">
        <v>75</v>
      </c>
      <c r="T299" s="9" t="s">
        <v>53</v>
      </c>
      <c r="U299" s="9" t="s">
        <v>54</v>
      </c>
      <c r="V299" s="9" t="s">
        <v>55</v>
      </c>
      <c r="W299" s="9"/>
      <c r="X299" s="9"/>
      <c r="Y299" s="13">
        <v>124.42</v>
      </c>
      <c r="Z299" s="13">
        <v>1</v>
      </c>
      <c r="AA299" s="9"/>
      <c r="AB299" s="9"/>
      <c r="AC299" s="9"/>
      <c r="AD299" s="9"/>
      <c r="AE299" s="9"/>
      <c r="AF299" s="13">
        <v>106.29</v>
      </c>
      <c r="AG299" s="9"/>
      <c r="AH299" s="9"/>
      <c r="AI299" s="9">
        <v>1</v>
      </c>
      <c r="AJ299" s="9">
        <v>3</v>
      </c>
      <c r="AK299" s="14">
        <f t="shared" si="1"/>
        <v>0.33333333333333331</v>
      </c>
      <c r="AL299" s="9"/>
      <c r="AM299" s="9"/>
      <c r="AN299" s="9"/>
      <c r="AO299" s="6"/>
      <c r="AP299" s="9"/>
      <c r="AQ299" s="9"/>
      <c r="AR299" s="9"/>
      <c r="AS299" s="9"/>
      <c r="AT299" s="9"/>
      <c r="AU299" s="9"/>
      <c r="AV299" s="9"/>
      <c r="AW299" s="9"/>
      <c r="AX299" s="9"/>
      <c r="AY299" s="9"/>
      <c r="AZ299" s="9"/>
      <c r="BA299" s="9"/>
      <c r="BB299" s="9"/>
      <c r="BC299" s="9"/>
      <c r="BD299" s="9"/>
      <c r="BE299" s="9"/>
      <c r="BF299" s="9"/>
      <c r="BG299" s="9"/>
      <c r="BH299" s="9"/>
    </row>
    <row r="300" spans="1:60" ht="12.5" hidden="1">
      <c r="A300" s="6" t="s">
        <v>1346</v>
      </c>
      <c r="B300" s="16">
        <v>45646</v>
      </c>
      <c r="C300" s="8">
        <v>45648</v>
      </c>
      <c r="D300" s="9" t="s">
        <v>41</v>
      </c>
      <c r="E300" s="9" t="s">
        <v>1347</v>
      </c>
      <c r="F300" s="9"/>
      <c r="G300" s="9" t="s">
        <v>43</v>
      </c>
      <c r="H300" s="10">
        <v>13.06</v>
      </c>
      <c r="I300" s="9" t="s">
        <v>44</v>
      </c>
      <c r="J300" s="9" t="s">
        <v>45</v>
      </c>
      <c r="K300" s="9" t="s">
        <v>1348</v>
      </c>
      <c r="L300" s="11" t="s">
        <v>47</v>
      </c>
      <c r="M300" s="9" t="s">
        <v>48</v>
      </c>
      <c r="N300" s="9" t="s">
        <v>48</v>
      </c>
      <c r="O300" s="12" t="s">
        <v>1349</v>
      </c>
      <c r="P300" s="6" t="s">
        <v>1350</v>
      </c>
      <c r="Q300" s="9" t="s">
        <v>1351</v>
      </c>
      <c r="R300" s="13">
        <v>1</v>
      </c>
      <c r="S300" s="9" t="s">
        <v>99</v>
      </c>
      <c r="T300" s="9" t="s">
        <v>53</v>
      </c>
      <c r="U300" s="9" t="s">
        <v>54</v>
      </c>
      <c r="V300" s="9" t="s">
        <v>61</v>
      </c>
      <c r="W300" s="9"/>
      <c r="X300" s="9"/>
      <c r="Y300" s="13">
        <v>129.25</v>
      </c>
      <c r="Z300" s="13">
        <v>1</v>
      </c>
      <c r="AA300" s="9"/>
      <c r="AB300" s="9"/>
      <c r="AC300" s="9"/>
      <c r="AD300" s="9"/>
      <c r="AE300" s="9"/>
      <c r="AF300" s="9"/>
      <c r="AG300" s="9"/>
      <c r="AH300" s="9"/>
      <c r="AI300" s="9">
        <v>1</v>
      </c>
      <c r="AJ300" s="9">
        <v>2</v>
      </c>
      <c r="AK300" s="14">
        <f t="shared" si="1"/>
        <v>0.5</v>
      </c>
      <c r="AL300" s="9"/>
      <c r="AM300" s="9"/>
      <c r="AN300" s="9"/>
      <c r="AO300" s="6"/>
      <c r="AP300" s="9"/>
      <c r="AQ300" s="9"/>
      <c r="AR300" s="9"/>
      <c r="AS300" s="9"/>
      <c r="AT300" s="9"/>
      <c r="AU300" s="9"/>
      <c r="AV300" s="9"/>
      <c r="AW300" s="9"/>
      <c r="AX300" s="9"/>
      <c r="AY300" s="9"/>
      <c r="AZ300" s="9"/>
      <c r="BA300" s="9"/>
      <c r="BB300" s="9"/>
      <c r="BC300" s="9"/>
      <c r="BD300" s="9"/>
      <c r="BE300" s="9"/>
      <c r="BF300" s="9"/>
      <c r="BG300" s="9"/>
      <c r="BH300" s="9"/>
    </row>
    <row r="301" spans="1:60" ht="12.5" hidden="1">
      <c r="A301" s="6" t="s">
        <v>1352</v>
      </c>
      <c r="B301" s="16">
        <v>45633</v>
      </c>
      <c r="C301" s="8">
        <v>45656</v>
      </c>
      <c r="D301" s="9" t="s">
        <v>41</v>
      </c>
      <c r="E301" s="9" t="s">
        <v>1353</v>
      </c>
      <c r="F301" s="9"/>
      <c r="G301" s="9" t="s">
        <v>137</v>
      </c>
      <c r="H301" s="10">
        <v>0</v>
      </c>
      <c r="I301" s="9"/>
      <c r="J301" s="9"/>
      <c r="K301" s="9"/>
      <c r="L301" s="11" t="s">
        <v>58</v>
      </c>
      <c r="M301" s="9" t="s">
        <v>48</v>
      </c>
      <c r="N301" s="9" t="s">
        <v>48</v>
      </c>
      <c r="O301" s="12" t="s">
        <v>1354</v>
      </c>
      <c r="P301" s="6" t="s">
        <v>1355</v>
      </c>
      <c r="Q301" s="9" t="s">
        <v>1356</v>
      </c>
      <c r="R301" s="13">
        <v>1</v>
      </c>
      <c r="S301" s="9" t="s">
        <v>68</v>
      </c>
      <c r="T301" s="9" t="s">
        <v>53</v>
      </c>
      <c r="U301" s="9" t="s">
        <v>54</v>
      </c>
      <c r="V301" s="9" t="s">
        <v>61</v>
      </c>
      <c r="W301" s="9"/>
      <c r="X301" s="9"/>
      <c r="Y301" s="13">
        <v>133.33000000000001</v>
      </c>
      <c r="Z301" s="13">
        <v>1</v>
      </c>
      <c r="AA301" s="9"/>
      <c r="AB301" s="9"/>
      <c r="AC301" s="9"/>
      <c r="AD301" s="9"/>
      <c r="AE301" s="9"/>
      <c r="AF301" s="9"/>
      <c r="AG301" s="9"/>
      <c r="AH301" s="9"/>
      <c r="AI301" s="9">
        <v>1</v>
      </c>
      <c r="AJ301" s="9">
        <v>2</v>
      </c>
      <c r="AK301" s="14">
        <f t="shared" si="1"/>
        <v>0.5</v>
      </c>
      <c r="AL301" s="9"/>
      <c r="AM301" s="9"/>
      <c r="AN301" s="9"/>
      <c r="AO301" s="6"/>
      <c r="AP301" s="9"/>
      <c r="AQ301" s="9"/>
      <c r="AR301" s="9"/>
      <c r="AS301" s="9"/>
      <c r="AT301" s="9"/>
      <c r="AU301" s="9"/>
      <c r="AV301" s="9"/>
      <c r="AW301" s="9"/>
      <c r="AX301" s="9"/>
      <c r="AY301" s="9"/>
      <c r="AZ301" s="9"/>
      <c r="BA301" s="9"/>
      <c r="BB301" s="9"/>
      <c r="BC301" s="9"/>
      <c r="BD301" s="9"/>
      <c r="BE301" s="9"/>
      <c r="BF301" s="9"/>
      <c r="BG301" s="9"/>
      <c r="BH301" s="9"/>
    </row>
    <row r="302" spans="1:60" ht="12.5" hidden="1">
      <c r="A302" s="6" t="s">
        <v>1357</v>
      </c>
      <c r="B302" s="16">
        <v>45637</v>
      </c>
      <c r="C302" s="8">
        <v>45639</v>
      </c>
      <c r="D302" s="9" t="s">
        <v>41</v>
      </c>
      <c r="E302" s="9" t="s">
        <v>1358</v>
      </c>
      <c r="F302" s="9"/>
      <c r="G302" s="9" t="s">
        <v>43</v>
      </c>
      <c r="H302" s="10">
        <v>11.31</v>
      </c>
      <c r="I302" s="9" t="s">
        <v>44</v>
      </c>
      <c r="J302" s="9" t="s">
        <v>45</v>
      </c>
      <c r="K302" s="9" t="s">
        <v>1359</v>
      </c>
      <c r="L302" s="11" t="s">
        <v>47</v>
      </c>
      <c r="M302" s="9" t="s">
        <v>48</v>
      </c>
      <c r="N302" s="9" t="s">
        <v>48</v>
      </c>
      <c r="O302" s="12" t="s">
        <v>1360</v>
      </c>
      <c r="P302" s="6" t="s">
        <v>1361</v>
      </c>
      <c r="Q302" s="9" t="s">
        <v>1362</v>
      </c>
      <c r="R302" s="13">
        <v>1</v>
      </c>
      <c r="S302" s="9" t="s">
        <v>52</v>
      </c>
      <c r="T302" s="9" t="s">
        <v>53</v>
      </c>
      <c r="U302" s="9" t="s">
        <v>54</v>
      </c>
      <c r="V302" s="9" t="s">
        <v>55</v>
      </c>
      <c r="W302" s="9"/>
      <c r="X302" s="9"/>
      <c r="Y302" s="13">
        <v>118.47</v>
      </c>
      <c r="Z302" s="13">
        <v>1</v>
      </c>
      <c r="AA302" s="9"/>
      <c r="AB302" s="9"/>
      <c r="AC302" s="9"/>
      <c r="AD302" s="9"/>
      <c r="AE302" s="9"/>
      <c r="AF302" s="13">
        <v>118.47</v>
      </c>
      <c r="AG302" s="9"/>
      <c r="AH302" s="9"/>
      <c r="AI302" s="9">
        <v>1</v>
      </c>
      <c r="AJ302" s="9">
        <v>3</v>
      </c>
      <c r="AK302" s="14">
        <f t="shared" si="1"/>
        <v>0.33333333333333331</v>
      </c>
      <c r="AL302" s="9"/>
      <c r="AM302" s="9"/>
      <c r="AN302" s="9"/>
      <c r="AO302" s="6"/>
      <c r="AP302" s="9"/>
      <c r="AQ302" s="9"/>
      <c r="AR302" s="9"/>
      <c r="AS302" s="9"/>
      <c r="AT302" s="9"/>
      <c r="AU302" s="9"/>
      <c r="AV302" s="9"/>
      <c r="AW302" s="9"/>
      <c r="AX302" s="9"/>
      <c r="AY302" s="9"/>
      <c r="AZ302" s="9"/>
      <c r="BA302" s="9"/>
      <c r="BB302" s="9"/>
      <c r="BC302" s="9"/>
      <c r="BD302" s="9"/>
      <c r="BE302" s="9"/>
      <c r="BF302" s="9"/>
      <c r="BG302" s="9"/>
      <c r="BH302" s="9"/>
    </row>
    <row r="303" spans="1:60" ht="12.5" hidden="1">
      <c r="A303" s="6" t="s">
        <v>1363</v>
      </c>
      <c r="B303" s="16">
        <v>45614</v>
      </c>
      <c r="C303" s="8">
        <v>45637</v>
      </c>
      <c r="D303" s="9" t="s">
        <v>41</v>
      </c>
      <c r="E303" s="9" t="s">
        <v>1364</v>
      </c>
      <c r="F303" s="9"/>
      <c r="G303" s="9" t="s">
        <v>43</v>
      </c>
      <c r="H303" s="10">
        <v>11.74</v>
      </c>
      <c r="I303" s="9" t="s">
        <v>44</v>
      </c>
      <c r="J303" s="9" t="s">
        <v>45</v>
      </c>
      <c r="K303" s="9" t="s">
        <v>1365</v>
      </c>
      <c r="L303" s="11" t="s">
        <v>58</v>
      </c>
      <c r="M303" s="9" t="s">
        <v>48</v>
      </c>
      <c r="N303" s="9" t="s">
        <v>48</v>
      </c>
      <c r="O303" s="12" t="s">
        <v>1366</v>
      </c>
      <c r="P303" s="6" t="s">
        <v>1367</v>
      </c>
      <c r="Q303" s="9" t="s">
        <v>1368</v>
      </c>
      <c r="R303" s="13">
        <v>1</v>
      </c>
      <c r="S303" s="9" t="s">
        <v>75</v>
      </c>
      <c r="T303" s="9" t="s">
        <v>53</v>
      </c>
      <c r="U303" s="9" t="s">
        <v>54</v>
      </c>
      <c r="V303" s="9" t="s">
        <v>55</v>
      </c>
      <c r="W303" s="9"/>
      <c r="X303" s="9"/>
      <c r="Y303" s="13">
        <v>101.69</v>
      </c>
      <c r="Z303" s="13">
        <v>1</v>
      </c>
      <c r="AA303" s="9"/>
      <c r="AB303" s="9"/>
      <c r="AC303" s="9"/>
      <c r="AD303" s="9"/>
      <c r="AE303" s="9"/>
      <c r="AF303" s="13">
        <v>89.95</v>
      </c>
      <c r="AG303" s="9"/>
      <c r="AH303" s="9"/>
      <c r="AI303" s="9">
        <v>1</v>
      </c>
      <c r="AJ303" s="9">
        <v>3</v>
      </c>
      <c r="AK303" s="14">
        <f t="shared" si="1"/>
        <v>0.33333333333333331</v>
      </c>
      <c r="AL303" s="9"/>
      <c r="AM303" s="9"/>
      <c r="AN303" s="9"/>
      <c r="AO303" s="6"/>
      <c r="AP303" s="9"/>
      <c r="AQ303" s="9"/>
      <c r="AR303" s="9"/>
      <c r="AS303" s="9"/>
      <c r="AT303" s="9"/>
      <c r="AU303" s="9"/>
      <c r="AV303" s="9"/>
      <c r="AW303" s="9"/>
      <c r="AX303" s="9"/>
      <c r="AY303" s="9"/>
      <c r="AZ303" s="9"/>
      <c r="BA303" s="9"/>
      <c r="BB303" s="9"/>
      <c r="BC303" s="9"/>
      <c r="BD303" s="9"/>
      <c r="BE303" s="9"/>
      <c r="BF303" s="9"/>
      <c r="BG303" s="9"/>
      <c r="BH303" s="9"/>
    </row>
    <row r="304" spans="1:60" ht="12.5" hidden="1">
      <c r="A304" s="6" t="s">
        <v>1369</v>
      </c>
      <c r="B304" s="16">
        <v>45628</v>
      </c>
      <c r="C304" s="8">
        <v>45636</v>
      </c>
      <c r="D304" s="9" t="s">
        <v>41</v>
      </c>
      <c r="E304" s="9" t="s">
        <v>1370</v>
      </c>
      <c r="F304" s="9"/>
      <c r="G304" s="9" t="s">
        <v>43</v>
      </c>
      <c r="H304" s="10">
        <v>10.26</v>
      </c>
      <c r="I304" s="9" t="s">
        <v>44</v>
      </c>
      <c r="J304" s="9" t="s">
        <v>45</v>
      </c>
      <c r="K304" s="9" t="s">
        <v>1371</v>
      </c>
      <c r="L304" s="11" t="s">
        <v>58</v>
      </c>
      <c r="M304" s="9" t="s">
        <v>48</v>
      </c>
      <c r="N304" s="9" t="s">
        <v>48</v>
      </c>
      <c r="O304" s="12" t="s">
        <v>581</v>
      </c>
      <c r="P304" s="6" t="s">
        <v>582</v>
      </c>
      <c r="Q304" s="9" t="s">
        <v>583</v>
      </c>
      <c r="R304" s="13">
        <v>1</v>
      </c>
      <c r="S304" s="9" t="s">
        <v>75</v>
      </c>
      <c r="T304" s="9" t="s">
        <v>53</v>
      </c>
      <c r="U304" s="9" t="s">
        <v>54</v>
      </c>
      <c r="V304" s="9" t="s">
        <v>61</v>
      </c>
      <c r="W304" s="9"/>
      <c r="X304" s="9"/>
      <c r="Y304" s="13">
        <v>91</v>
      </c>
      <c r="Z304" s="13">
        <v>1</v>
      </c>
      <c r="AA304" s="9"/>
      <c r="AB304" s="9"/>
      <c r="AC304" s="9"/>
      <c r="AD304" s="9"/>
      <c r="AE304" s="9"/>
      <c r="AF304" s="9"/>
      <c r="AG304" s="9"/>
      <c r="AH304" s="9"/>
      <c r="AI304" s="9">
        <v>1</v>
      </c>
      <c r="AJ304" s="9">
        <v>5</v>
      </c>
      <c r="AK304" s="14">
        <f t="shared" si="1"/>
        <v>0.2</v>
      </c>
      <c r="AL304" s="9"/>
      <c r="AM304" s="9"/>
      <c r="AN304" s="9"/>
      <c r="AO304" s="6"/>
      <c r="AP304" s="9"/>
      <c r="AQ304" s="9"/>
      <c r="AR304" s="9"/>
      <c r="AS304" s="9"/>
      <c r="AT304" s="9"/>
      <c r="AU304" s="9"/>
      <c r="AV304" s="9"/>
      <c r="AW304" s="9"/>
      <c r="AX304" s="9"/>
      <c r="AY304" s="9"/>
      <c r="AZ304" s="9"/>
      <c r="BA304" s="9"/>
      <c r="BB304" s="9"/>
      <c r="BC304" s="9"/>
      <c r="BD304" s="9"/>
      <c r="BE304" s="9"/>
      <c r="BF304" s="9"/>
      <c r="BG304" s="9"/>
      <c r="BH304" s="9"/>
    </row>
    <row r="305" spans="1:60" ht="12.5" hidden="1">
      <c r="A305" s="6" t="s">
        <v>1372</v>
      </c>
      <c r="B305" s="16">
        <v>45637</v>
      </c>
      <c r="C305" s="8">
        <v>45641</v>
      </c>
      <c r="D305" s="9" t="s">
        <v>41</v>
      </c>
      <c r="E305" s="9" t="s">
        <v>1373</v>
      </c>
      <c r="F305" s="9"/>
      <c r="G305" s="9" t="s">
        <v>43</v>
      </c>
      <c r="H305" s="10">
        <v>16.18</v>
      </c>
      <c r="I305" s="9" t="s">
        <v>44</v>
      </c>
      <c r="J305" s="9" t="s">
        <v>45</v>
      </c>
      <c r="K305" s="9" t="s">
        <v>1374</v>
      </c>
      <c r="L305" s="11" t="s">
        <v>47</v>
      </c>
      <c r="M305" s="9" t="s">
        <v>48</v>
      </c>
      <c r="N305" s="9" t="s">
        <v>48</v>
      </c>
      <c r="O305" s="12" t="s">
        <v>587</v>
      </c>
      <c r="P305" s="6" t="s">
        <v>588</v>
      </c>
      <c r="Q305" s="9" t="s">
        <v>589</v>
      </c>
      <c r="R305" s="13">
        <v>1</v>
      </c>
      <c r="S305" s="9" t="s">
        <v>99</v>
      </c>
      <c r="T305" s="9" t="s">
        <v>53</v>
      </c>
      <c r="U305" s="9" t="s">
        <v>54</v>
      </c>
      <c r="V305" s="9" t="s">
        <v>55</v>
      </c>
      <c r="W305" s="9"/>
      <c r="X305" s="9"/>
      <c r="Y305" s="13">
        <v>119.57</v>
      </c>
      <c r="Z305" s="13">
        <v>1</v>
      </c>
      <c r="AA305" s="9"/>
      <c r="AB305" s="9"/>
      <c r="AC305" s="9"/>
      <c r="AD305" s="9"/>
      <c r="AE305" s="9"/>
      <c r="AF305" s="13">
        <v>119.57</v>
      </c>
      <c r="AG305" s="9"/>
      <c r="AH305" s="9"/>
      <c r="AI305" s="9">
        <v>1</v>
      </c>
      <c r="AJ305" s="9">
        <v>4</v>
      </c>
      <c r="AK305" s="14">
        <f t="shared" si="1"/>
        <v>0.25</v>
      </c>
      <c r="AL305" s="9"/>
      <c r="AM305" s="9"/>
      <c r="AN305" s="9"/>
      <c r="AO305" s="6"/>
      <c r="AP305" s="9"/>
      <c r="AQ305" s="9"/>
      <c r="AR305" s="9"/>
      <c r="AS305" s="9"/>
      <c r="AT305" s="9"/>
      <c r="AU305" s="9"/>
      <c r="AV305" s="9"/>
      <c r="AW305" s="9"/>
      <c r="AX305" s="9"/>
      <c r="AY305" s="9"/>
      <c r="AZ305" s="9"/>
      <c r="BA305" s="9"/>
      <c r="BB305" s="9"/>
      <c r="BC305" s="9"/>
      <c r="BD305" s="9"/>
      <c r="BE305" s="9"/>
      <c r="BF305" s="9"/>
      <c r="BG305" s="9"/>
      <c r="BH305" s="9"/>
    </row>
    <row r="306" spans="1:60" ht="12.5" hidden="1">
      <c r="A306" s="6" t="s">
        <v>1375</v>
      </c>
      <c r="B306" s="16">
        <v>45633</v>
      </c>
      <c r="C306" s="8">
        <v>45654</v>
      </c>
      <c r="D306" s="9" t="s">
        <v>41</v>
      </c>
      <c r="E306" s="9" t="s">
        <v>1376</v>
      </c>
      <c r="F306" s="9"/>
      <c r="G306" s="9" t="s">
        <v>43</v>
      </c>
      <c r="H306" s="10">
        <v>16.309999999999999</v>
      </c>
      <c r="I306" s="9" t="s">
        <v>44</v>
      </c>
      <c r="J306" s="9" t="s">
        <v>45</v>
      </c>
      <c r="K306" s="9" t="s">
        <v>1377</v>
      </c>
      <c r="L306" s="11" t="s">
        <v>47</v>
      </c>
      <c r="M306" s="9" t="s">
        <v>48</v>
      </c>
      <c r="N306" s="9" t="s">
        <v>48</v>
      </c>
      <c r="O306" s="12" t="s">
        <v>1378</v>
      </c>
      <c r="P306" s="6" t="s">
        <v>1379</v>
      </c>
      <c r="Q306" s="9" t="s">
        <v>1380</v>
      </c>
      <c r="R306" s="13">
        <v>1</v>
      </c>
      <c r="S306" s="9" t="s">
        <v>52</v>
      </c>
      <c r="T306" s="9" t="s">
        <v>53</v>
      </c>
      <c r="U306" s="9" t="s">
        <v>54</v>
      </c>
      <c r="V306" s="9" t="s">
        <v>61</v>
      </c>
      <c r="W306" s="9"/>
      <c r="X306" s="9"/>
      <c r="Y306" s="13">
        <v>120.51</v>
      </c>
      <c r="Z306" s="13">
        <v>1</v>
      </c>
      <c r="AA306" s="9"/>
      <c r="AB306" s="9"/>
      <c r="AC306" s="9"/>
      <c r="AD306" s="9"/>
      <c r="AE306" s="9"/>
      <c r="AF306" s="9"/>
      <c r="AG306" s="9"/>
      <c r="AH306" s="9"/>
      <c r="AI306" s="9">
        <v>1</v>
      </c>
      <c r="AJ306" s="9">
        <v>2</v>
      </c>
      <c r="AK306" s="14">
        <f t="shared" si="1"/>
        <v>0.5</v>
      </c>
      <c r="AL306" s="9"/>
      <c r="AM306" s="9"/>
      <c r="AN306" s="9"/>
      <c r="AO306" s="6"/>
      <c r="AP306" s="9"/>
      <c r="AQ306" s="9"/>
      <c r="AR306" s="9"/>
      <c r="AS306" s="9"/>
      <c r="AT306" s="9"/>
      <c r="AU306" s="9"/>
      <c r="AV306" s="9"/>
      <c r="AW306" s="9"/>
      <c r="AX306" s="9"/>
      <c r="AY306" s="9"/>
      <c r="AZ306" s="9"/>
      <c r="BA306" s="9"/>
      <c r="BB306" s="9"/>
      <c r="BC306" s="9"/>
      <c r="BD306" s="9"/>
      <c r="BE306" s="9"/>
      <c r="BF306" s="9"/>
      <c r="BG306" s="9"/>
      <c r="BH306" s="9"/>
    </row>
    <row r="307" spans="1:60" ht="12.5" hidden="1">
      <c r="A307" s="6" t="s">
        <v>1381</v>
      </c>
      <c r="B307" s="16">
        <v>45628</v>
      </c>
      <c r="C307" s="8">
        <v>45631</v>
      </c>
      <c r="D307" s="9" t="s">
        <v>41</v>
      </c>
      <c r="E307" s="9" t="s">
        <v>1382</v>
      </c>
      <c r="F307" s="9"/>
      <c r="G307" s="9" t="s">
        <v>43</v>
      </c>
      <c r="H307" s="10">
        <v>11.07</v>
      </c>
      <c r="I307" s="9" t="s">
        <v>44</v>
      </c>
      <c r="J307" s="9" t="s">
        <v>45</v>
      </c>
      <c r="K307" s="9" t="s">
        <v>1383</v>
      </c>
      <c r="L307" s="11" t="s">
        <v>47</v>
      </c>
      <c r="M307" s="9" t="s">
        <v>48</v>
      </c>
      <c r="N307" s="9" t="s">
        <v>48</v>
      </c>
      <c r="O307" s="12" t="s">
        <v>1384</v>
      </c>
      <c r="P307" s="6" t="s">
        <v>1385</v>
      </c>
      <c r="Q307" s="9" t="s">
        <v>1386</v>
      </c>
      <c r="R307" s="13">
        <v>1</v>
      </c>
      <c r="S307" s="9" t="s">
        <v>92</v>
      </c>
      <c r="T307" s="9" t="s">
        <v>53</v>
      </c>
      <c r="U307" s="9" t="s">
        <v>54</v>
      </c>
      <c r="V307" s="9" t="s">
        <v>55</v>
      </c>
      <c r="W307" s="9"/>
      <c r="X307" s="9"/>
      <c r="Y307" s="13">
        <v>96.9</v>
      </c>
      <c r="Z307" s="13">
        <v>1</v>
      </c>
      <c r="AA307" s="9"/>
      <c r="AB307" s="9"/>
      <c r="AC307" s="9"/>
      <c r="AD307" s="9"/>
      <c r="AE307" s="9"/>
      <c r="AF307" s="13">
        <v>96.9</v>
      </c>
      <c r="AG307" s="9"/>
      <c r="AH307" s="9"/>
      <c r="AI307" s="9">
        <v>3</v>
      </c>
      <c r="AJ307" s="9">
        <v>5</v>
      </c>
      <c r="AK307" s="14">
        <f t="shared" si="1"/>
        <v>0.6</v>
      </c>
      <c r="AL307" s="9"/>
      <c r="AM307" s="9"/>
      <c r="AN307" s="9"/>
      <c r="AO307" s="6"/>
      <c r="AP307" s="9"/>
      <c r="AQ307" s="9"/>
      <c r="AR307" s="9"/>
      <c r="AS307" s="9"/>
      <c r="AT307" s="9"/>
      <c r="AU307" s="9"/>
      <c r="AV307" s="9"/>
      <c r="AW307" s="9"/>
      <c r="AX307" s="9"/>
      <c r="AY307" s="9"/>
      <c r="AZ307" s="9"/>
      <c r="BA307" s="9"/>
      <c r="BB307" s="9"/>
      <c r="BC307" s="9"/>
      <c r="BD307" s="9"/>
      <c r="BE307" s="9"/>
      <c r="BF307" s="9"/>
      <c r="BG307" s="9"/>
      <c r="BH307" s="9"/>
    </row>
    <row r="308" spans="1:60" ht="12.5" hidden="1">
      <c r="A308" s="6" t="s">
        <v>1387</v>
      </c>
      <c r="B308" s="16">
        <v>45604</v>
      </c>
      <c r="C308" s="8">
        <v>45629</v>
      </c>
      <c r="D308" s="9" t="s">
        <v>41</v>
      </c>
      <c r="E308" s="9" t="s">
        <v>1388</v>
      </c>
      <c r="F308" s="9"/>
      <c r="G308" s="9" t="s">
        <v>43</v>
      </c>
      <c r="H308" s="10">
        <v>11.07</v>
      </c>
      <c r="I308" s="9" t="s">
        <v>44</v>
      </c>
      <c r="J308" s="9" t="s">
        <v>45</v>
      </c>
      <c r="K308" s="9" t="s">
        <v>1389</v>
      </c>
      <c r="L308" s="11" t="s">
        <v>58</v>
      </c>
      <c r="M308" s="9" t="s">
        <v>48</v>
      </c>
      <c r="N308" s="9" t="s">
        <v>48</v>
      </c>
      <c r="O308" s="12" t="s">
        <v>1384</v>
      </c>
      <c r="P308" s="6" t="s">
        <v>1385</v>
      </c>
      <c r="Q308" s="9" t="s">
        <v>1386</v>
      </c>
      <c r="R308" s="13">
        <v>1</v>
      </c>
      <c r="S308" s="9" t="s">
        <v>75</v>
      </c>
      <c r="T308" s="9" t="s">
        <v>53</v>
      </c>
      <c r="U308" s="9" t="s">
        <v>54</v>
      </c>
      <c r="V308" s="9" t="s">
        <v>55</v>
      </c>
      <c r="W308" s="9"/>
      <c r="X308" s="9"/>
      <c r="Y308" s="13">
        <v>94.88</v>
      </c>
      <c r="Z308" s="13">
        <v>1</v>
      </c>
      <c r="AA308" s="9"/>
      <c r="AB308" s="9"/>
      <c r="AC308" s="9"/>
      <c r="AD308" s="9"/>
      <c r="AE308" s="9"/>
      <c r="AF308" s="13">
        <v>83.81</v>
      </c>
      <c r="AG308" s="9"/>
      <c r="AH308" s="9"/>
      <c r="AI308" s="9"/>
      <c r="AJ308" s="9"/>
      <c r="AK308" s="14" t="e">
        <f t="shared" si="1"/>
        <v>#DIV/0!</v>
      </c>
      <c r="AL308" s="9"/>
      <c r="AM308" s="9"/>
      <c r="AN308" s="9"/>
      <c r="AO308" s="6"/>
      <c r="AP308" s="9"/>
      <c r="AQ308" s="9"/>
      <c r="AR308" s="9"/>
      <c r="AS308" s="9"/>
      <c r="AT308" s="9"/>
      <c r="AU308" s="9"/>
      <c r="AV308" s="9"/>
      <c r="AW308" s="9"/>
      <c r="AX308" s="9"/>
      <c r="AY308" s="9"/>
      <c r="AZ308" s="9"/>
      <c r="BA308" s="9"/>
      <c r="BB308" s="9"/>
      <c r="BC308" s="9"/>
      <c r="BD308" s="9"/>
      <c r="BE308" s="9"/>
      <c r="BF308" s="9"/>
      <c r="BG308" s="9"/>
      <c r="BH308" s="9"/>
    </row>
    <row r="309" spans="1:60" ht="12.5" hidden="1">
      <c r="A309" s="6" t="s">
        <v>1387</v>
      </c>
      <c r="B309" s="16">
        <v>45604</v>
      </c>
      <c r="C309" s="8">
        <v>45629</v>
      </c>
      <c r="D309" s="9" t="s">
        <v>41</v>
      </c>
      <c r="E309" s="9" t="s">
        <v>1390</v>
      </c>
      <c r="F309" s="9"/>
      <c r="G309" s="9" t="s">
        <v>43</v>
      </c>
      <c r="H309" s="10">
        <v>11.07</v>
      </c>
      <c r="I309" s="9" t="s">
        <v>44</v>
      </c>
      <c r="J309" s="9" t="s">
        <v>45</v>
      </c>
      <c r="K309" s="9" t="s">
        <v>1391</v>
      </c>
      <c r="L309" s="11" t="s">
        <v>58</v>
      </c>
      <c r="M309" s="9" t="s">
        <v>48</v>
      </c>
      <c r="N309" s="9" t="s">
        <v>48</v>
      </c>
      <c r="O309" s="12" t="s">
        <v>1384</v>
      </c>
      <c r="P309" s="6" t="s">
        <v>1385</v>
      </c>
      <c r="Q309" s="9" t="s">
        <v>1386</v>
      </c>
      <c r="R309" s="13">
        <v>1</v>
      </c>
      <c r="S309" s="9" t="s">
        <v>75</v>
      </c>
      <c r="T309" s="9" t="s">
        <v>53</v>
      </c>
      <c r="U309" s="9" t="s">
        <v>54</v>
      </c>
      <c r="V309" s="9" t="s">
        <v>61</v>
      </c>
      <c r="W309" s="9"/>
      <c r="X309" s="9"/>
      <c r="Y309" s="13">
        <v>94.88</v>
      </c>
      <c r="Z309" s="13">
        <v>1</v>
      </c>
      <c r="AA309" s="9"/>
      <c r="AB309" s="9"/>
      <c r="AC309" s="9"/>
      <c r="AD309" s="9"/>
      <c r="AE309" s="9"/>
      <c r="AF309" s="9"/>
      <c r="AG309" s="9"/>
      <c r="AH309" s="9"/>
      <c r="AI309" s="9"/>
      <c r="AJ309" s="9"/>
      <c r="AK309" s="14" t="e">
        <f t="shared" si="1"/>
        <v>#DIV/0!</v>
      </c>
      <c r="AL309" s="9"/>
      <c r="AM309" s="9"/>
      <c r="AN309" s="9"/>
      <c r="AO309" s="6"/>
      <c r="AP309" s="9"/>
      <c r="AQ309" s="9"/>
      <c r="AR309" s="9"/>
      <c r="AS309" s="9"/>
      <c r="AT309" s="9"/>
      <c r="AU309" s="9"/>
      <c r="AV309" s="9"/>
      <c r="AW309" s="9"/>
      <c r="AX309" s="9"/>
      <c r="AY309" s="9"/>
      <c r="AZ309" s="9"/>
      <c r="BA309" s="9"/>
      <c r="BB309" s="9"/>
      <c r="BC309" s="9"/>
      <c r="BD309" s="9"/>
      <c r="BE309" s="9"/>
      <c r="BF309" s="9"/>
      <c r="BG309" s="9"/>
      <c r="BH309" s="9"/>
    </row>
    <row r="310" spans="1:60" ht="12.5" hidden="1">
      <c r="A310" s="6" t="s">
        <v>1392</v>
      </c>
      <c r="B310" s="16">
        <v>45625</v>
      </c>
      <c r="C310" s="8">
        <v>45629</v>
      </c>
      <c r="D310" s="9" t="s">
        <v>41</v>
      </c>
      <c r="E310" s="9" t="s">
        <v>1393</v>
      </c>
      <c r="F310" s="9"/>
      <c r="G310" s="9" t="s">
        <v>43</v>
      </c>
      <c r="H310" s="10">
        <v>12.63</v>
      </c>
      <c r="I310" s="9" t="s">
        <v>44</v>
      </c>
      <c r="J310" s="9" t="s">
        <v>45</v>
      </c>
      <c r="K310" s="9" t="s">
        <v>1394</v>
      </c>
      <c r="L310" s="11" t="s">
        <v>58</v>
      </c>
      <c r="M310" s="9" t="s">
        <v>48</v>
      </c>
      <c r="N310" s="9" t="s">
        <v>48</v>
      </c>
      <c r="O310" s="12" t="s">
        <v>1395</v>
      </c>
      <c r="P310" s="6" t="s">
        <v>1396</v>
      </c>
      <c r="Q310" s="9" t="s">
        <v>1397</v>
      </c>
      <c r="R310" s="13">
        <v>1</v>
      </c>
      <c r="S310" s="9" t="s">
        <v>68</v>
      </c>
      <c r="T310" s="9" t="s">
        <v>53</v>
      </c>
      <c r="U310" s="9" t="s">
        <v>54</v>
      </c>
      <c r="V310" s="9" t="s">
        <v>240</v>
      </c>
      <c r="W310" s="9"/>
      <c r="X310" s="9"/>
      <c r="Y310" s="13">
        <v>130.47</v>
      </c>
      <c r="Z310" s="13">
        <v>1</v>
      </c>
      <c r="AA310" s="9"/>
      <c r="AB310" s="9"/>
      <c r="AC310" s="9"/>
      <c r="AD310" s="9"/>
      <c r="AE310" s="9"/>
      <c r="AF310" s="13">
        <v>96.49</v>
      </c>
      <c r="AG310" s="9"/>
      <c r="AH310" s="9"/>
      <c r="AI310" s="9">
        <v>1</v>
      </c>
      <c r="AJ310" s="9">
        <v>0</v>
      </c>
      <c r="AK310" s="14" t="e">
        <f t="shared" si="1"/>
        <v>#DIV/0!</v>
      </c>
      <c r="AL310" s="9"/>
      <c r="AM310" s="9"/>
      <c r="AN310" s="9"/>
      <c r="AO310" s="6"/>
      <c r="AP310" s="9"/>
      <c r="AQ310" s="9"/>
      <c r="AR310" s="9"/>
      <c r="AS310" s="9"/>
      <c r="AT310" s="9"/>
      <c r="AU310" s="9"/>
      <c r="AV310" s="9"/>
      <c r="AW310" s="9"/>
      <c r="AX310" s="9"/>
      <c r="AY310" s="9"/>
      <c r="AZ310" s="9"/>
      <c r="BA310" s="9"/>
      <c r="BB310" s="9"/>
      <c r="BC310" s="9"/>
      <c r="BD310" s="9"/>
      <c r="BE310" s="9"/>
      <c r="BF310" s="9"/>
      <c r="BG310" s="9"/>
      <c r="BH310" s="9"/>
    </row>
    <row r="311" spans="1:60" ht="12.5" hidden="1">
      <c r="A311" s="6" t="s">
        <v>1398</v>
      </c>
      <c r="B311" s="16">
        <v>45634</v>
      </c>
      <c r="C311" s="8">
        <v>45636</v>
      </c>
      <c r="D311" s="9" t="s">
        <v>41</v>
      </c>
      <c r="E311" s="9" t="s">
        <v>1399</v>
      </c>
      <c r="F311" s="9"/>
      <c r="G311" s="9" t="s">
        <v>43</v>
      </c>
      <c r="H311" s="10">
        <v>40.880000000000003</v>
      </c>
      <c r="I311" s="9" t="s">
        <v>44</v>
      </c>
      <c r="J311" s="9" t="s">
        <v>45</v>
      </c>
      <c r="K311" s="9" t="s">
        <v>1400</v>
      </c>
      <c r="L311" s="11" t="s">
        <v>47</v>
      </c>
      <c r="M311" s="9" t="s">
        <v>48</v>
      </c>
      <c r="N311" s="9" t="s">
        <v>48</v>
      </c>
      <c r="O311" s="12" t="s">
        <v>599</v>
      </c>
      <c r="P311" s="6" t="s">
        <v>600</v>
      </c>
      <c r="Q311" s="9" t="s">
        <v>601</v>
      </c>
      <c r="R311" s="13">
        <v>1</v>
      </c>
      <c r="S311" s="9" t="s">
        <v>421</v>
      </c>
      <c r="T311" s="9" t="s">
        <v>53</v>
      </c>
      <c r="U311" s="9" t="s">
        <v>54</v>
      </c>
      <c r="V311" s="9" t="s">
        <v>55</v>
      </c>
      <c r="W311" s="9"/>
      <c r="X311" s="9"/>
      <c r="Y311" s="13">
        <v>128.33000000000001</v>
      </c>
      <c r="Z311" s="13">
        <v>1</v>
      </c>
      <c r="AA311" s="9"/>
      <c r="AB311" s="9"/>
      <c r="AC311" s="9"/>
      <c r="AD311" s="9"/>
      <c r="AE311" s="9"/>
      <c r="AF311" s="13">
        <v>128.33000000000001</v>
      </c>
      <c r="AG311" s="9"/>
      <c r="AH311" s="9"/>
      <c r="AI311" s="9">
        <v>1</v>
      </c>
      <c r="AJ311" s="9">
        <v>2</v>
      </c>
      <c r="AK311" s="14">
        <f t="shared" si="1"/>
        <v>0.5</v>
      </c>
      <c r="AL311" s="9"/>
      <c r="AM311" s="9"/>
      <c r="AN311" s="9"/>
      <c r="AO311" s="6"/>
      <c r="AP311" s="9"/>
      <c r="AQ311" s="9"/>
      <c r="AR311" s="9"/>
      <c r="AS311" s="9"/>
      <c r="AT311" s="9"/>
      <c r="AU311" s="9"/>
      <c r="AV311" s="9"/>
      <c r="AW311" s="9"/>
      <c r="AX311" s="9"/>
      <c r="AY311" s="9"/>
      <c r="AZ311" s="9"/>
      <c r="BA311" s="9"/>
      <c r="BB311" s="9"/>
      <c r="BC311" s="9"/>
      <c r="BD311" s="9"/>
      <c r="BE311" s="9"/>
      <c r="BF311" s="9"/>
      <c r="BG311" s="9"/>
      <c r="BH311" s="9"/>
    </row>
    <row r="312" spans="1:60" ht="12.5" hidden="1">
      <c r="A312" s="6" t="s">
        <v>1401</v>
      </c>
      <c r="B312" s="16">
        <v>45621</v>
      </c>
      <c r="C312" s="8">
        <v>45631</v>
      </c>
      <c r="D312" s="9" t="s">
        <v>41</v>
      </c>
      <c r="E312" s="9" t="s">
        <v>1402</v>
      </c>
      <c r="F312" s="9"/>
      <c r="G312" s="9" t="s">
        <v>43</v>
      </c>
      <c r="H312" s="10">
        <v>11.31</v>
      </c>
      <c r="I312" s="9" t="s">
        <v>44</v>
      </c>
      <c r="J312" s="9" t="s">
        <v>45</v>
      </c>
      <c r="K312" s="9" t="s">
        <v>1403</v>
      </c>
      <c r="L312" s="11" t="s">
        <v>47</v>
      </c>
      <c r="M312" s="9" t="s">
        <v>48</v>
      </c>
      <c r="N312" s="9" t="s">
        <v>48</v>
      </c>
      <c r="O312" s="12" t="s">
        <v>1404</v>
      </c>
      <c r="P312" s="6" t="s">
        <v>1405</v>
      </c>
      <c r="Q312" s="9" t="s">
        <v>1406</v>
      </c>
      <c r="R312" s="13">
        <v>1</v>
      </c>
      <c r="S312" s="9" t="s">
        <v>52</v>
      </c>
      <c r="T312" s="9" t="s">
        <v>53</v>
      </c>
      <c r="U312" s="9" t="s">
        <v>54</v>
      </c>
      <c r="V312" s="9" t="s">
        <v>61</v>
      </c>
      <c r="W312" s="9"/>
      <c r="X312" s="9"/>
      <c r="Y312" s="13">
        <v>69.37</v>
      </c>
      <c r="Z312" s="13">
        <v>1</v>
      </c>
      <c r="AA312" s="9"/>
      <c r="AB312" s="9"/>
      <c r="AC312" s="9"/>
      <c r="AD312" s="9"/>
      <c r="AE312" s="9"/>
      <c r="AF312" s="9"/>
      <c r="AG312" s="9"/>
      <c r="AH312" s="9"/>
      <c r="AI312" s="9">
        <v>1</v>
      </c>
      <c r="AJ312" s="9">
        <v>2</v>
      </c>
      <c r="AK312" s="14">
        <f t="shared" si="1"/>
        <v>0.5</v>
      </c>
      <c r="AL312" s="9"/>
      <c r="AM312" s="9"/>
      <c r="AN312" s="9"/>
      <c r="AO312" s="6"/>
      <c r="AP312" s="9"/>
      <c r="AQ312" s="9"/>
      <c r="AR312" s="9"/>
      <c r="AS312" s="9"/>
      <c r="AT312" s="9"/>
      <c r="AU312" s="9"/>
      <c r="AV312" s="9"/>
      <c r="AW312" s="9"/>
      <c r="AX312" s="9"/>
      <c r="AY312" s="9"/>
      <c r="AZ312" s="9"/>
      <c r="BA312" s="9"/>
      <c r="BB312" s="9"/>
      <c r="BC312" s="9"/>
      <c r="BD312" s="9"/>
      <c r="BE312" s="9"/>
      <c r="BF312" s="9"/>
      <c r="BG312" s="9"/>
      <c r="BH312" s="9"/>
    </row>
    <row r="313" spans="1:60" ht="12.5" hidden="1">
      <c r="A313" s="6" t="s">
        <v>1407</v>
      </c>
      <c r="B313" s="16">
        <v>45623</v>
      </c>
      <c r="C313" s="8">
        <v>45641</v>
      </c>
      <c r="D313" s="9" t="s">
        <v>41</v>
      </c>
      <c r="E313" s="9" t="s">
        <v>1408</v>
      </c>
      <c r="F313" s="9"/>
      <c r="G313" s="9" t="s">
        <v>43</v>
      </c>
      <c r="H313" s="10">
        <v>11.31</v>
      </c>
      <c r="I313" s="9" t="s">
        <v>44</v>
      </c>
      <c r="J313" s="9" t="s">
        <v>45</v>
      </c>
      <c r="K313" s="9" t="s">
        <v>1409</v>
      </c>
      <c r="L313" s="11" t="s">
        <v>58</v>
      </c>
      <c r="M313" s="9" t="s">
        <v>48</v>
      </c>
      <c r="N313" s="9" t="s">
        <v>48</v>
      </c>
      <c r="O313" s="12" t="s">
        <v>1410</v>
      </c>
      <c r="P313" s="6" t="s">
        <v>1411</v>
      </c>
      <c r="Q313" s="9" t="s">
        <v>1412</v>
      </c>
      <c r="R313" s="13">
        <v>1</v>
      </c>
      <c r="S313" s="9" t="s">
        <v>75</v>
      </c>
      <c r="T313" s="9" t="s">
        <v>53</v>
      </c>
      <c r="U313" s="9" t="s">
        <v>54</v>
      </c>
      <c r="V313" s="9" t="s">
        <v>55</v>
      </c>
      <c r="W313" s="9"/>
      <c r="X313" s="9"/>
      <c r="Y313" s="13">
        <v>66.569999999999993</v>
      </c>
      <c r="Z313" s="13">
        <v>1</v>
      </c>
      <c r="AA313" s="9"/>
      <c r="AB313" s="9"/>
      <c r="AC313" s="9"/>
      <c r="AD313" s="9"/>
      <c r="AE313" s="9"/>
      <c r="AF313" s="13">
        <v>55.26</v>
      </c>
      <c r="AG313" s="9"/>
      <c r="AH313" s="9"/>
      <c r="AI313" s="9">
        <v>1</v>
      </c>
      <c r="AJ313" s="9">
        <v>0</v>
      </c>
      <c r="AK313" s="14" t="e">
        <f t="shared" si="1"/>
        <v>#DIV/0!</v>
      </c>
      <c r="AL313" s="9"/>
      <c r="AM313" s="9"/>
      <c r="AN313" s="9"/>
      <c r="AO313" s="6"/>
      <c r="AP313" s="9"/>
      <c r="AQ313" s="9"/>
      <c r="AR313" s="9"/>
      <c r="AS313" s="9"/>
      <c r="AT313" s="9"/>
      <c r="AU313" s="9"/>
      <c r="AV313" s="9"/>
      <c r="AW313" s="9"/>
      <c r="AX313" s="9"/>
      <c r="AY313" s="9"/>
      <c r="AZ313" s="9"/>
      <c r="BA313" s="9"/>
      <c r="BB313" s="9"/>
      <c r="BC313" s="9"/>
      <c r="BD313" s="9"/>
      <c r="BE313" s="9"/>
      <c r="BF313" s="9"/>
      <c r="BG313" s="9"/>
      <c r="BH313" s="9"/>
    </row>
    <row r="314" spans="1:60" ht="12.5" hidden="1">
      <c r="A314" s="6" t="s">
        <v>1413</v>
      </c>
      <c r="B314" s="16">
        <v>45640</v>
      </c>
      <c r="C314" s="8">
        <v>45652</v>
      </c>
      <c r="D314" s="9" t="s">
        <v>41</v>
      </c>
      <c r="E314" s="9" t="s">
        <v>1414</v>
      </c>
      <c r="F314" s="9"/>
      <c r="G314" s="9" t="s">
        <v>43</v>
      </c>
      <c r="H314" s="10">
        <v>7.4</v>
      </c>
      <c r="I314" s="9" t="s">
        <v>44</v>
      </c>
      <c r="J314" s="9" t="s">
        <v>45</v>
      </c>
      <c r="K314" s="9" t="s">
        <v>1415</v>
      </c>
      <c r="L314" s="11" t="s">
        <v>58</v>
      </c>
      <c r="M314" s="9" t="s">
        <v>48</v>
      </c>
      <c r="N314" s="9" t="s">
        <v>48</v>
      </c>
      <c r="O314" s="12" t="s">
        <v>1416</v>
      </c>
      <c r="P314" s="6" t="s">
        <v>1417</v>
      </c>
      <c r="Q314" s="9" t="s">
        <v>1418</v>
      </c>
      <c r="R314" s="13">
        <v>1</v>
      </c>
      <c r="S314" s="9" t="s">
        <v>68</v>
      </c>
      <c r="T314" s="9" t="s">
        <v>53</v>
      </c>
      <c r="U314" s="9" t="s">
        <v>54</v>
      </c>
      <c r="V314" s="9" t="s">
        <v>61</v>
      </c>
      <c r="W314" s="9"/>
      <c r="X314" s="9"/>
      <c r="Y314" s="13">
        <v>102.02</v>
      </c>
      <c r="Z314" s="13">
        <v>1</v>
      </c>
      <c r="AA314" s="9"/>
      <c r="AB314" s="9"/>
      <c r="AC314" s="9"/>
      <c r="AD314" s="9"/>
      <c r="AE314" s="9"/>
      <c r="AF314" s="9"/>
      <c r="AG314" s="9"/>
      <c r="AH314" s="9"/>
      <c r="AI314" s="9">
        <v>1</v>
      </c>
      <c r="AJ314" s="9">
        <v>2</v>
      </c>
      <c r="AK314" s="14">
        <f t="shared" si="1"/>
        <v>0.5</v>
      </c>
      <c r="AL314" s="9"/>
      <c r="AM314" s="9"/>
      <c r="AN314" s="9"/>
      <c r="AO314" s="6"/>
      <c r="AP314" s="9"/>
      <c r="AQ314" s="9"/>
      <c r="AR314" s="9"/>
      <c r="AS314" s="9"/>
      <c r="AT314" s="9"/>
      <c r="AU314" s="9"/>
      <c r="AV314" s="9"/>
      <c r="AW314" s="9"/>
      <c r="AX314" s="9"/>
      <c r="AY314" s="9"/>
      <c r="AZ314" s="9"/>
      <c r="BA314" s="9"/>
      <c r="BB314" s="9"/>
      <c r="BC314" s="9"/>
      <c r="BD314" s="9"/>
      <c r="BE314" s="9"/>
      <c r="BF314" s="9"/>
      <c r="BG314" s="9"/>
      <c r="BH314" s="9"/>
    </row>
    <row r="315" spans="1:60" ht="12.5" hidden="1">
      <c r="A315" s="6" t="s">
        <v>1419</v>
      </c>
      <c r="B315" s="16">
        <v>45598</v>
      </c>
      <c r="C315" s="8">
        <v>45638</v>
      </c>
      <c r="D315" s="9" t="s">
        <v>41</v>
      </c>
      <c r="E315" s="9" t="s">
        <v>1420</v>
      </c>
      <c r="F315" s="9"/>
      <c r="G315" s="9" t="s">
        <v>43</v>
      </c>
      <c r="H315" s="10">
        <v>11.31</v>
      </c>
      <c r="I315" s="9" t="s">
        <v>44</v>
      </c>
      <c r="J315" s="9" t="s">
        <v>45</v>
      </c>
      <c r="K315" s="9" t="s">
        <v>1421</v>
      </c>
      <c r="L315" s="11" t="s">
        <v>47</v>
      </c>
      <c r="M315" s="9" t="s">
        <v>48</v>
      </c>
      <c r="N315" s="9" t="s">
        <v>48</v>
      </c>
      <c r="O315" s="12" t="s">
        <v>1422</v>
      </c>
      <c r="P315" s="6" t="s">
        <v>1423</v>
      </c>
      <c r="Q315" s="9" t="s">
        <v>1424</v>
      </c>
      <c r="R315" s="13">
        <v>1</v>
      </c>
      <c r="S315" s="9" t="s">
        <v>99</v>
      </c>
      <c r="T315" s="9" t="s">
        <v>53</v>
      </c>
      <c r="U315" s="9" t="s">
        <v>54</v>
      </c>
      <c r="V315" s="9" t="s">
        <v>560</v>
      </c>
      <c r="W315" s="9"/>
      <c r="X315" s="9"/>
      <c r="Y315" s="13">
        <v>80.930000000000007</v>
      </c>
      <c r="Z315" s="13">
        <v>1</v>
      </c>
      <c r="AA315" s="9"/>
      <c r="AB315" s="9"/>
      <c r="AC315" s="9"/>
      <c r="AD315" s="9"/>
      <c r="AE315" s="9"/>
      <c r="AF315" s="9"/>
      <c r="AG315" s="9"/>
      <c r="AH315" s="9"/>
      <c r="AI315" s="9">
        <v>1</v>
      </c>
      <c r="AJ315" s="9">
        <v>10</v>
      </c>
      <c r="AK315" s="14">
        <f t="shared" si="1"/>
        <v>0.1</v>
      </c>
      <c r="AL315" s="9"/>
      <c r="AM315" s="9"/>
      <c r="AN315" s="9" t="s">
        <v>953</v>
      </c>
      <c r="AO315" s="6"/>
      <c r="AP315" s="9"/>
      <c r="AQ315" s="9"/>
      <c r="AR315" s="9"/>
      <c r="AS315" s="9"/>
      <c r="AT315" s="9"/>
      <c r="AU315" s="9"/>
      <c r="AV315" s="9"/>
      <c r="AW315" s="9"/>
      <c r="AX315" s="9"/>
      <c r="AY315" s="9"/>
      <c r="AZ315" s="9"/>
      <c r="BA315" s="9"/>
      <c r="BB315" s="9"/>
      <c r="BC315" s="9"/>
      <c r="BD315" s="9"/>
      <c r="BE315" s="9"/>
      <c r="BF315" s="9"/>
      <c r="BG315" s="9"/>
      <c r="BH315" s="9"/>
    </row>
    <row r="316" spans="1:60" ht="12.5" hidden="1">
      <c r="A316" s="6" t="s">
        <v>1425</v>
      </c>
      <c r="B316" s="16">
        <v>45630</v>
      </c>
      <c r="C316" s="8">
        <v>45640</v>
      </c>
      <c r="D316" s="9" t="s">
        <v>41</v>
      </c>
      <c r="E316" s="9" t="s">
        <v>1426</v>
      </c>
      <c r="F316" s="9"/>
      <c r="G316" s="9" t="s">
        <v>43</v>
      </c>
      <c r="H316" s="10">
        <v>9.99</v>
      </c>
      <c r="I316" s="9" t="s">
        <v>44</v>
      </c>
      <c r="J316" s="9" t="s">
        <v>45</v>
      </c>
      <c r="K316" s="9" t="s">
        <v>1427</v>
      </c>
      <c r="L316" s="11" t="s">
        <v>58</v>
      </c>
      <c r="M316" s="9" t="s">
        <v>48</v>
      </c>
      <c r="N316" s="9" t="s">
        <v>48</v>
      </c>
      <c r="O316" s="12" t="s">
        <v>1428</v>
      </c>
      <c r="P316" s="6" t="s">
        <v>1429</v>
      </c>
      <c r="Q316" s="9" t="s">
        <v>1430</v>
      </c>
      <c r="R316" s="13">
        <v>1</v>
      </c>
      <c r="S316" s="9" t="s">
        <v>68</v>
      </c>
      <c r="T316" s="9" t="s">
        <v>53</v>
      </c>
      <c r="U316" s="9" t="s">
        <v>54</v>
      </c>
      <c r="V316" s="9" t="s">
        <v>240</v>
      </c>
      <c r="W316" s="9"/>
      <c r="X316" s="9"/>
      <c r="Y316" s="13">
        <v>83.72</v>
      </c>
      <c r="Z316" s="13">
        <v>1</v>
      </c>
      <c r="AA316" s="9"/>
      <c r="AB316" s="9"/>
      <c r="AC316" s="9"/>
      <c r="AD316" s="9"/>
      <c r="AE316" s="9"/>
      <c r="AF316" s="13">
        <v>52.3</v>
      </c>
      <c r="AG316" s="9"/>
      <c r="AH316" s="9"/>
      <c r="AI316" s="9">
        <v>2</v>
      </c>
      <c r="AJ316" s="9">
        <v>2</v>
      </c>
      <c r="AK316" s="14">
        <f t="shared" si="1"/>
        <v>1</v>
      </c>
      <c r="AL316" s="9"/>
      <c r="AM316" s="9"/>
      <c r="AN316" s="9"/>
      <c r="AO316" s="6"/>
      <c r="AP316" s="9"/>
      <c r="AQ316" s="9"/>
      <c r="AR316" s="9"/>
      <c r="AS316" s="9"/>
      <c r="AT316" s="9"/>
      <c r="AU316" s="9"/>
      <c r="AV316" s="9"/>
      <c r="AW316" s="9"/>
      <c r="AX316" s="9"/>
      <c r="AY316" s="9"/>
      <c r="AZ316" s="9"/>
      <c r="BA316" s="9"/>
      <c r="BB316" s="9"/>
      <c r="BC316" s="9"/>
      <c r="BD316" s="9"/>
      <c r="BE316" s="9"/>
      <c r="BF316" s="9"/>
      <c r="BG316" s="9"/>
      <c r="BH316" s="9"/>
    </row>
    <row r="317" spans="1:60" ht="12.5" hidden="1">
      <c r="A317" s="6" t="s">
        <v>1431</v>
      </c>
      <c r="B317" s="16">
        <v>45625</v>
      </c>
      <c r="C317" s="8">
        <v>45629</v>
      </c>
      <c r="D317" s="9" t="s">
        <v>41</v>
      </c>
      <c r="E317" s="9" t="s">
        <v>1432</v>
      </c>
      <c r="F317" s="9"/>
      <c r="G317" s="9" t="s">
        <v>43</v>
      </c>
      <c r="H317" s="10">
        <v>9.99</v>
      </c>
      <c r="I317" s="9" t="s">
        <v>44</v>
      </c>
      <c r="J317" s="9" t="s">
        <v>45</v>
      </c>
      <c r="K317" s="9" t="s">
        <v>1433</v>
      </c>
      <c r="L317" s="11" t="s">
        <v>47</v>
      </c>
      <c r="M317" s="9" t="s">
        <v>48</v>
      </c>
      <c r="N317" s="9" t="s">
        <v>48</v>
      </c>
      <c r="O317" s="12" t="s">
        <v>1428</v>
      </c>
      <c r="P317" s="6" t="s">
        <v>1429</v>
      </c>
      <c r="Q317" s="9" t="s">
        <v>1430</v>
      </c>
      <c r="R317" s="13">
        <v>1</v>
      </c>
      <c r="S317" s="9" t="s">
        <v>156</v>
      </c>
      <c r="T317" s="9" t="s">
        <v>53</v>
      </c>
      <c r="U317" s="9" t="s">
        <v>54</v>
      </c>
      <c r="V317" s="9" t="s">
        <v>61</v>
      </c>
      <c r="W317" s="9"/>
      <c r="X317" s="9"/>
      <c r="Y317" s="13">
        <v>83.87</v>
      </c>
      <c r="Z317" s="13">
        <v>1</v>
      </c>
      <c r="AA317" s="9"/>
      <c r="AB317" s="9"/>
      <c r="AC317" s="9"/>
      <c r="AD317" s="9"/>
      <c r="AE317" s="9"/>
      <c r="AF317" s="9"/>
      <c r="AG317" s="9"/>
      <c r="AH317" s="9"/>
      <c r="AI317" s="9"/>
      <c r="AJ317" s="9"/>
      <c r="AK317" s="14" t="e">
        <f t="shared" si="1"/>
        <v>#DIV/0!</v>
      </c>
      <c r="AL317" s="9"/>
      <c r="AM317" s="9"/>
      <c r="AN317" s="9"/>
      <c r="AO317" s="6"/>
      <c r="AP317" s="9"/>
      <c r="AQ317" s="9"/>
      <c r="AR317" s="9"/>
      <c r="AS317" s="9"/>
      <c r="AT317" s="9"/>
      <c r="AU317" s="9"/>
      <c r="AV317" s="9"/>
      <c r="AW317" s="9"/>
      <c r="AX317" s="9"/>
      <c r="AY317" s="9"/>
      <c r="AZ317" s="9"/>
      <c r="BA317" s="9"/>
      <c r="BB317" s="9"/>
      <c r="BC317" s="9"/>
      <c r="BD317" s="9"/>
      <c r="BE317" s="9"/>
      <c r="BF317" s="9"/>
      <c r="BG317" s="9"/>
      <c r="BH317" s="9"/>
    </row>
    <row r="318" spans="1:60" ht="12.5" hidden="1">
      <c r="A318" s="6" t="s">
        <v>1434</v>
      </c>
      <c r="B318" s="16">
        <v>45616</v>
      </c>
      <c r="C318" s="8">
        <v>45656</v>
      </c>
      <c r="D318" s="9" t="s">
        <v>41</v>
      </c>
      <c r="E318" s="9" t="s">
        <v>1435</v>
      </c>
      <c r="F318" s="9"/>
      <c r="G318" s="9" t="s">
        <v>43</v>
      </c>
      <c r="H318" s="10">
        <v>12.54</v>
      </c>
      <c r="I318" s="9" t="s">
        <v>44</v>
      </c>
      <c r="J318" s="9" t="s">
        <v>45</v>
      </c>
      <c r="K318" s="9" t="s">
        <v>1436</v>
      </c>
      <c r="L318" s="11" t="s">
        <v>47</v>
      </c>
      <c r="M318" s="9" t="s">
        <v>48</v>
      </c>
      <c r="N318" s="9" t="s">
        <v>48</v>
      </c>
      <c r="O318" s="12" t="s">
        <v>1437</v>
      </c>
      <c r="P318" s="6" t="s">
        <v>1438</v>
      </c>
      <c r="Q318" s="9" t="s">
        <v>1439</v>
      </c>
      <c r="R318" s="13">
        <v>1</v>
      </c>
      <c r="S318" s="9" t="s">
        <v>92</v>
      </c>
      <c r="T318" s="9" t="s">
        <v>53</v>
      </c>
      <c r="U318" s="9" t="s">
        <v>54</v>
      </c>
      <c r="V318" s="9" t="s">
        <v>61</v>
      </c>
      <c r="W318" s="9"/>
      <c r="X318" s="9"/>
      <c r="Y318" s="13">
        <v>78.37</v>
      </c>
      <c r="Z318" s="13">
        <v>1</v>
      </c>
      <c r="AA318" s="9"/>
      <c r="AB318" s="9"/>
      <c r="AC318" s="9"/>
      <c r="AD318" s="9"/>
      <c r="AE318" s="9"/>
      <c r="AF318" s="9"/>
      <c r="AG318" s="9"/>
      <c r="AH318" s="9"/>
      <c r="AI318" s="9">
        <v>1</v>
      </c>
      <c r="AJ318" s="9">
        <v>11</v>
      </c>
      <c r="AK318" s="14">
        <f t="shared" si="1"/>
        <v>9.0909090909090912E-2</v>
      </c>
      <c r="AL318" s="9"/>
      <c r="AM318" s="9"/>
      <c r="AN318" s="9"/>
      <c r="AO318" s="6"/>
      <c r="AP318" s="9"/>
      <c r="AQ318" s="9"/>
      <c r="AR318" s="9"/>
      <c r="AS318" s="9"/>
      <c r="AT318" s="9"/>
      <c r="AU318" s="9"/>
      <c r="AV318" s="9"/>
      <c r="AW318" s="9"/>
      <c r="AX318" s="9"/>
      <c r="AY318" s="9"/>
      <c r="AZ318" s="9"/>
      <c r="BA318" s="9"/>
      <c r="BB318" s="9"/>
      <c r="BC318" s="9"/>
      <c r="BD318" s="9"/>
      <c r="BE318" s="9"/>
      <c r="BF318" s="9"/>
      <c r="BG318" s="9"/>
      <c r="BH318" s="9"/>
    </row>
    <row r="319" spans="1:60" ht="12.5" hidden="1">
      <c r="A319" s="6" t="s">
        <v>1440</v>
      </c>
      <c r="B319" s="16">
        <v>45649</v>
      </c>
      <c r="C319" s="8">
        <v>45655</v>
      </c>
      <c r="D319" s="9" t="s">
        <v>41</v>
      </c>
      <c r="E319" s="9" t="s">
        <v>1441</v>
      </c>
      <c r="F319" s="9"/>
      <c r="G319" s="9" t="s">
        <v>43</v>
      </c>
      <c r="H319" s="10">
        <v>13.92</v>
      </c>
      <c r="I319" s="9" t="s">
        <v>44</v>
      </c>
      <c r="J319" s="9" t="s">
        <v>45</v>
      </c>
      <c r="K319" s="9" t="s">
        <v>1442</v>
      </c>
      <c r="L319" s="11" t="s">
        <v>58</v>
      </c>
      <c r="M319" s="9" t="s">
        <v>48</v>
      </c>
      <c r="N319" s="9" t="s">
        <v>48</v>
      </c>
      <c r="O319" s="12" t="s">
        <v>1443</v>
      </c>
      <c r="P319" s="6" t="s">
        <v>1444</v>
      </c>
      <c r="Q319" s="9" t="s">
        <v>1445</v>
      </c>
      <c r="R319" s="13">
        <v>1</v>
      </c>
      <c r="S319" s="9" t="s">
        <v>75</v>
      </c>
      <c r="T319" s="9" t="s">
        <v>53</v>
      </c>
      <c r="U319" s="9" t="s">
        <v>54</v>
      </c>
      <c r="V319" s="9" t="s">
        <v>61</v>
      </c>
      <c r="W319" s="9"/>
      <c r="X319" s="9"/>
      <c r="Y319" s="13">
        <v>113.59</v>
      </c>
      <c r="Z319" s="13">
        <v>1</v>
      </c>
      <c r="AA319" s="9"/>
      <c r="AB319" s="9"/>
      <c r="AC319" s="9"/>
      <c r="AD319" s="9"/>
      <c r="AE319" s="9"/>
      <c r="AF319" s="9"/>
      <c r="AG319" s="9"/>
      <c r="AH319" s="9"/>
      <c r="AI319" s="9">
        <v>1</v>
      </c>
      <c r="AJ319" s="9">
        <v>7</v>
      </c>
      <c r="AK319" s="14">
        <f t="shared" si="1"/>
        <v>0.14285714285714285</v>
      </c>
      <c r="AL319" s="9"/>
      <c r="AM319" s="9"/>
      <c r="AN319" s="9"/>
      <c r="AO319" s="6"/>
      <c r="AP319" s="9"/>
      <c r="AQ319" s="9"/>
      <c r="AR319" s="9"/>
      <c r="AS319" s="9"/>
      <c r="AT319" s="9"/>
      <c r="AU319" s="9"/>
      <c r="AV319" s="9"/>
      <c r="AW319" s="9"/>
      <c r="AX319" s="9"/>
      <c r="AY319" s="9"/>
      <c r="AZ319" s="9"/>
      <c r="BA319" s="9"/>
      <c r="BB319" s="9"/>
      <c r="BC319" s="9"/>
      <c r="BD319" s="9"/>
      <c r="BE319" s="9"/>
      <c r="BF319" s="9"/>
      <c r="BG319" s="9"/>
      <c r="BH319" s="9"/>
    </row>
    <row r="320" spans="1:60" ht="12.5" hidden="1">
      <c r="A320" s="6" t="s">
        <v>1446</v>
      </c>
      <c r="B320" s="16">
        <v>45629</v>
      </c>
      <c r="C320" s="8">
        <v>45637</v>
      </c>
      <c r="D320" s="9" t="s">
        <v>41</v>
      </c>
      <c r="E320" s="9" t="s">
        <v>1447</v>
      </c>
      <c r="F320" s="9"/>
      <c r="G320" s="9" t="s">
        <v>43</v>
      </c>
      <c r="H320" s="10">
        <v>9.99</v>
      </c>
      <c r="I320" s="9" t="s">
        <v>44</v>
      </c>
      <c r="J320" s="9" t="s">
        <v>45</v>
      </c>
      <c r="K320" s="9" t="s">
        <v>1448</v>
      </c>
      <c r="L320" s="11" t="s">
        <v>47</v>
      </c>
      <c r="M320" s="9" t="s">
        <v>48</v>
      </c>
      <c r="N320" s="9" t="s">
        <v>48</v>
      </c>
      <c r="O320" s="12" t="s">
        <v>647</v>
      </c>
      <c r="P320" s="6" t="s">
        <v>648</v>
      </c>
      <c r="Q320" s="9" t="s">
        <v>649</v>
      </c>
      <c r="R320" s="13">
        <v>1</v>
      </c>
      <c r="S320" s="9" t="s">
        <v>99</v>
      </c>
      <c r="T320" s="9" t="s">
        <v>53</v>
      </c>
      <c r="U320" s="9" t="s">
        <v>54</v>
      </c>
      <c r="V320" s="9" t="s">
        <v>55</v>
      </c>
      <c r="W320" s="9"/>
      <c r="X320" s="9"/>
      <c r="Y320" s="13">
        <v>78.48</v>
      </c>
      <c r="Z320" s="13">
        <v>1</v>
      </c>
      <c r="AA320" s="9"/>
      <c r="AB320" s="9"/>
      <c r="AC320" s="9"/>
      <c r="AD320" s="9"/>
      <c r="AE320" s="9"/>
      <c r="AF320" s="13">
        <v>78.48</v>
      </c>
      <c r="AG320" s="9"/>
      <c r="AH320" s="9"/>
      <c r="AI320" s="9">
        <v>1</v>
      </c>
      <c r="AJ320" s="9">
        <v>3</v>
      </c>
      <c r="AK320" s="14">
        <f t="shared" si="1"/>
        <v>0.33333333333333331</v>
      </c>
      <c r="AL320" s="9"/>
      <c r="AM320" s="9"/>
      <c r="AN320" s="9"/>
      <c r="AO320" s="6"/>
      <c r="AP320" s="9"/>
      <c r="AQ320" s="9"/>
      <c r="AR320" s="9"/>
      <c r="AS320" s="9"/>
      <c r="AT320" s="9"/>
      <c r="AU320" s="9"/>
      <c r="AV320" s="9"/>
      <c r="AW320" s="9"/>
      <c r="AX320" s="9"/>
      <c r="AY320" s="9"/>
      <c r="AZ320" s="9"/>
      <c r="BA320" s="9"/>
      <c r="BB320" s="9"/>
      <c r="BC320" s="9"/>
      <c r="BD320" s="9"/>
      <c r="BE320" s="9"/>
      <c r="BF320" s="9"/>
      <c r="BG320" s="9"/>
      <c r="BH320" s="9"/>
    </row>
    <row r="321" spans="1:60" ht="12.5" hidden="1">
      <c r="A321" s="6" t="s">
        <v>1449</v>
      </c>
      <c r="B321" s="16">
        <v>45647</v>
      </c>
      <c r="C321" s="8">
        <v>45650</v>
      </c>
      <c r="D321" s="9" t="s">
        <v>41</v>
      </c>
      <c r="E321" s="9" t="s">
        <v>1450</v>
      </c>
      <c r="F321" s="9"/>
      <c r="G321" s="9" t="s">
        <v>43</v>
      </c>
      <c r="H321" s="10">
        <v>7.85</v>
      </c>
      <c r="I321" s="9" t="s">
        <v>44</v>
      </c>
      <c r="J321" s="9" t="s">
        <v>45</v>
      </c>
      <c r="K321" s="9" t="s">
        <v>1451</v>
      </c>
      <c r="L321" s="11" t="s">
        <v>47</v>
      </c>
      <c r="M321" s="9" t="s">
        <v>48</v>
      </c>
      <c r="N321" s="9" t="s">
        <v>48</v>
      </c>
      <c r="O321" s="12" t="s">
        <v>1452</v>
      </c>
      <c r="P321" s="6" t="s">
        <v>1453</v>
      </c>
      <c r="Q321" s="9" t="s">
        <v>1454</v>
      </c>
      <c r="R321" s="13">
        <v>1</v>
      </c>
      <c r="S321" s="9" t="s">
        <v>99</v>
      </c>
      <c r="T321" s="9" t="s">
        <v>53</v>
      </c>
      <c r="U321" s="9" t="s">
        <v>54</v>
      </c>
      <c r="V321" s="9" t="s">
        <v>55</v>
      </c>
      <c r="W321" s="9"/>
      <c r="X321" s="9"/>
      <c r="Y321" s="13">
        <v>102.93</v>
      </c>
      <c r="Z321" s="13">
        <v>1</v>
      </c>
      <c r="AA321" s="9"/>
      <c r="AB321" s="9"/>
      <c r="AC321" s="9"/>
      <c r="AD321" s="9"/>
      <c r="AE321" s="9"/>
      <c r="AF321" s="13">
        <v>102.93</v>
      </c>
      <c r="AG321" s="9"/>
      <c r="AH321" s="9"/>
      <c r="AI321" s="9">
        <v>1</v>
      </c>
      <c r="AJ321" s="9">
        <v>1</v>
      </c>
      <c r="AK321" s="14">
        <f t="shared" si="1"/>
        <v>1</v>
      </c>
      <c r="AL321" s="9"/>
      <c r="AM321" s="9"/>
      <c r="AN321" s="9"/>
      <c r="AO321" s="6"/>
      <c r="AP321" s="9"/>
      <c r="AQ321" s="9"/>
      <c r="AR321" s="9"/>
      <c r="AS321" s="9"/>
      <c r="AT321" s="9"/>
      <c r="AU321" s="9"/>
      <c r="AV321" s="9"/>
      <c r="AW321" s="9"/>
      <c r="AX321" s="9"/>
      <c r="AY321" s="9"/>
      <c r="AZ321" s="9"/>
      <c r="BA321" s="9"/>
      <c r="BB321" s="9"/>
      <c r="BC321" s="9"/>
      <c r="BD321" s="9"/>
      <c r="BE321" s="9"/>
      <c r="BF321" s="9"/>
      <c r="BG321" s="9"/>
      <c r="BH321" s="9"/>
    </row>
    <row r="322" spans="1:60" ht="12.5" hidden="1">
      <c r="A322" s="6" t="s">
        <v>1455</v>
      </c>
      <c r="B322" s="16">
        <v>45634</v>
      </c>
      <c r="C322" s="8">
        <v>45653</v>
      </c>
      <c r="D322" s="9" t="s">
        <v>41</v>
      </c>
      <c r="E322" s="9" t="s">
        <v>1456</v>
      </c>
      <c r="F322" s="9"/>
      <c r="G322" s="9" t="s">
        <v>43</v>
      </c>
      <c r="H322" s="10">
        <v>12.17</v>
      </c>
      <c r="I322" s="9" t="s">
        <v>44</v>
      </c>
      <c r="J322" s="9" t="s">
        <v>45</v>
      </c>
      <c r="K322" s="9" t="s">
        <v>1457</v>
      </c>
      <c r="L322" s="11" t="s">
        <v>47</v>
      </c>
      <c r="M322" s="9" t="s">
        <v>48</v>
      </c>
      <c r="N322" s="9" t="s">
        <v>48</v>
      </c>
      <c r="O322" s="12" t="s">
        <v>1458</v>
      </c>
      <c r="P322" s="6" t="s">
        <v>1459</v>
      </c>
      <c r="Q322" s="9" t="s">
        <v>1460</v>
      </c>
      <c r="R322" s="13">
        <v>1</v>
      </c>
      <c r="S322" s="9" t="s">
        <v>99</v>
      </c>
      <c r="T322" s="9" t="s">
        <v>53</v>
      </c>
      <c r="U322" s="9" t="s">
        <v>54</v>
      </c>
      <c r="V322" s="9" t="s">
        <v>560</v>
      </c>
      <c r="W322" s="9"/>
      <c r="X322" s="9"/>
      <c r="Y322" s="13">
        <v>93.76</v>
      </c>
      <c r="Z322" s="13">
        <v>1</v>
      </c>
      <c r="AA322" s="9"/>
      <c r="AB322" s="9"/>
      <c r="AC322" s="9"/>
      <c r="AD322" s="9"/>
      <c r="AE322" s="9"/>
      <c r="AF322" s="9"/>
      <c r="AG322" s="9"/>
      <c r="AH322" s="9"/>
      <c r="AI322" s="9">
        <v>1</v>
      </c>
      <c r="AJ322" s="9">
        <v>6</v>
      </c>
      <c r="AK322" s="14">
        <f t="shared" si="1"/>
        <v>0.16666666666666666</v>
      </c>
      <c r="AL322" s="9"/>
      <c r="AM322" s="9"/>
      <c r="AN322" s="9" t="s">
        <v>953</v>
      </c>
      <c r="AO322" s="6"/>
      <c r="AP322" s="9"/>
      <c r="AQ322" s="9"/>
      <c r="AR322" s="9"/>
      <c r="AS322" s="9"/>
      <c r="AT322" s="9"/>
      <c r="AU322" s="9"/>
      <c r="AV322" s="9"/>
      <c r="AW322" s="9"/>
      <c r="AX322" s="9"/>
      <c r="AY322" s="9"/>
      <c r="AZ322" s="9"/>
      <c r="BA322" s="9"/>
      <c r="BB322" s="9"/>
      <c r="BC322" s="9"/>
      <c r="BD322" s="9"/>
      <c r="BE322" s="9"/>
      <c r="BF322" s="9"/>
      <c r="BG322" s="9"/>
      <c r="BH322" s="9"/>
    </row>
    <row r="323" spans="1:60" ht="12.5" hidden="1">
      <c r="A323" s="6" t="s">
        <v>1461</v>
      </c>
      <c r="B323" s="16">
        <v>45629</v>
      </c>
      <c r="C323" s="8">
        <v>45652</v>
      </c>
      <c r="D323" s="9" t="s">
        <v>41</v>
      </c>
      <c r="E323" s="9" t="s">
        <v>1462</v>
      </c>
      <c r="F323" s="9"/>
      <c r="G323" s="9" t="s">
        <v>43</v>
      </c>
      <c r="H323" s="10">
        <v>13.9</v>
      </c>
      <c r="I323" s="9" t="s">
        <v>44</v>
      </c>
      <c r="J323" s="9" t="s">
        <v>45</v>
      </c>
      <c r="K323" s="9" t="s">
        <v>1463</v>
      </c>
      <c r="L323" s="11" t="s">
        <v>47</v>
      </c>
      <c r="M323" s="9" t="s">
        <v>48</v>
      </c>
      <c r="N323" s="9" t="s">
        <v>48</v>
      </c>
      <c r="O323" s="12" t="s">
        <v>668</v>
      </c>
      <c r="P323" s="6" t="s">
        <v>669</v>
      </c>
      <c r="Q323" s="9" t="s">
        <v>670</v>
      </c>
      <c r="R323" s="13">
        <v>1</v>
      </c>
      <c r="S323" s="9" t="s">
        <v>52</v>
      </c>
      <c r="T323" s="9" t="s">
        <v>53</v>
      </c>
      <c r="U323" s="9" t="s">
        <v>54</v>
      </c>
      <c r="V323" s="9" t="s">
        <v>55</v>
      </c>
      <c r="W323" s="9"/>
      <c r="X323" s="9"/>
      <c r="Y323" s="13">
        <v>91.97</v>
      </c>
      <c r="Z323" s="13">
        <v>1</v>
      </c>
      <c r="AA323" s="9"/>
      <c r="AB323" s="9"/>
      <c r="AC323" s="9"/>
      <c r="AD323" s="9"/>
      <c r="AE323" s="9"/>
      <c r="AF323" s="13">
        <v>91.97</v>
      </c>
      <c r="AG323" s="9"/>
      <c r="AH323" s="9"/>
      <c r="AI323" s="9">
        <v>4</v>
      </c>
      <c r="AJ323" s="9">
        <v>25</v>
      </c>
      <c r="AK323" s="14">
        <f t="shared" si="1"/>
        <v>0.16</v>
      </c>
      <c r="AL323" s="9"/>
      <c r="AM323" s="9"/>
      <c r="AN323" s="9"/>
      <c r="AO323" s="6"/>
      <c r="AP323" s="9"/>
      <c r="AQ323" s="9"/>
      <c r="AR323" s="9"/>
      <c r="AS323" s="9"/>
      <c r="AT323" s="9"/>
      <c r="AU323" s="9"/>
      <c r="AV323" s="9"/>
      <c r="AW323" s="9"/>
      <c r="AX323" s="9"/>
      <c r="AY323" s="9"/>
      <c r="AZ323" s="9"/>
      <c r="BA323" s="9"/>
      <c r="BB323" s="9"/>
      <c r="BC323" s="9"/>
      <c r="BD323" s="9"/>
      <c r="BE323" s="9"/>
      <c r="BF323" s="9"/>
      <c r="BG323" s="9"/>
      <c r="BH323" s="9"/>
    </row>
    <row r="324" spans="1:60" ht="12.5" hidden="1">
      <c r="A324" s="6" t="s">
        <v>1464</v>
      </c>
      <c r="B324" s="16">
        <v>45643</v>
      </c>
      <c r="C324" s="8">
        <v>45646</v>
      </c>
      <c r="D324" s="9" t="s">
        <v>41</v>
      </c>
      <c r="E324" s="9" t="s">
        <v>1465</v>
      </c>
      <c r="F324" s="9"/>
      <c r="G324" s="9" t="s">
        <v>43</v>
      </c>
      <c r="H324" s="10">
        <v>13.9</v>
      </c>
      <c r="I324" s="9" t="s">
        <v>44</v>
      </c>
      <c r="J324" s="9" t="s">
        <v>45</v>
      </c>
      <c r="K324" s="9" t="s">
        <v>1466</v>
      </c>
      <c r="L324" s="11" t="s">
        <v>58</v>
      </c>
      <c r="M324" s="9" t="s">
        <v>48</v>
      </c>
      <c r="N324" s="9" t="s">
        <v>48</v>
      </c>
      <c r="O324" s="12" t="s">
        <v>668</v>
      </c>
      <c r="P324" s="6" t="s">
        <v>669</v>
      </c>
      <c r="Q324" s="9" t="s">
        <v>670</v>
      </c>
      <c r="R324" s="13">
        <v>1</v>
      </c>
      <c r="S324" s="9" t="s">
        <v>75</v>
      </c>
      <c r="T324" s="9" t="s">
        <v>53</v>
      </c>
      <c r="U324" s="9" t="s">
        <v>54</v>
      </c>
      <c r="V324" s="9" t="s">
        <v>61</v>
      </c>
      <c r="W324" s="9"/>
      <c r="X324" s="9"/>
      <c r="Y324" s="13">
        <v>91.75</v>
      </c>
      <c r="Z324" s="13">
        <v>1</v>
      </c>
      <c r="AA324" s="9"/>
      <c r="AB324" s="9"/>
      <c r="AC324" s="9"/>
      <c r="AD324" s="9"/>
      <c r="AE324" s="9"/>
      <c r="AF324" s="9"/>
      <c r="AG324" s="9"/>
      <c r="AH324" s="9"/>
      <c r="AI324" s="9"/>
      <c r="AJ324" s="9"/>
      <c r="AK324" s="14" t="e">
        <f t="shared" si="1"/>
        <v>#DIV/0!</v>
      </c>
      <c r="AL324" s="9"/>
      <c r="AM324" s="9"/>
      <c r="AN324" s="9"/>
      <c r="AO324" s="6"/>
      <c r="AP324" s="9"/>
      <c r="AQ324" s="9"/>
      <c r="AR324" s="9"/>
      <c r="AS324" s="9"/>
      <c r="AT324" s="9"/>
      <c r="AU324" s="9"/>
      <c r="AV324" s="9"/>
      <c r="AW324" s="9"/>
      <c r="AX324" s="9"/>
      <c r="AY324" s="9"/>
      <c r="AZ324" s="9"/>
      <c r="BA324" s="9"/>
      <c r="BB324" s="9"/>
      <c r="BC324" s="9"/>
      <c r="BD324" s="9"/>
      <c r="BE324" s="9"/>
      <c r="BF324" s="9"/>
      <c r="BG324" s="9"/>
      <c r="BH324" s="9"/>
    </row>
    <row r="325" spans="1:60" ht="12.5" hidden="1">
      <c r="A325" s="6" t="s">
        <v>1467</v>
      </c>
      <c r="B325" s="16">
        <v>45609</v>
      </c>
      <c r="C325" s="8">
        <v>45643</v>
      </c>
      <c r="D325" s="9" t="s">
        <v>41</v>
      </c>
      <c r="E325" s="9" t="s">
        <v>1468</v>
      </c>
      <c r="F325" s="9"/>
      <c r="G325" s="9" t="s">
        <v>43</v>
      </c>
      <c r="H325" s="10">
        <v>13.9</v>
      </c>
      <c r="I325" s="9" t="s">
        <v>44</v>
      </c>
      <c r="J325" s="9" t="s">
        <v>45</v>
      </c>
      <c r="K325" s="9" t="s">
        <v>1469</v>
      </c>
      <c r="L325" s="11" t="s">
        <v>47</v>
      </c>
      <c r="M325" s="9" t="s">
        <v>48</v>
      </c>
      <c r="N325" s="9" t="s">
        <v>48</v>
      </c>
      <c r="O325" s="12" t="s">
        <v>668</v>
      </c>
      <c r="P325" s="6" t="s">
        <v>669</v>
      </c>
      <c r="Q325" s="9" t="s">
        <v>670</v>
      </c>
      <c r="R325" s="13">
        <v>1</v>
      </c>
      <c r="S325" s="9" t="s">
        <v>82</v>
      </c>
      <c r="T325" s="9" t="s">
        <v>53</v>
      </c>
      <c r="U325" s="9" t="s">
        <v>54</v>
      </c>
      <c r="V325" s="9" t="s">
        <v>560</v>
      </c>
      <c r="W325" s="9"/>
      <c r="X325" s="9"/>
      <c r="Y325" s="13">
        <v>90.68</v>
      </c>
      <c r="Z325" s="13">
        <v>1</v>
      </c>
      <c r="AA325" s="9"/>
      <c r="AB325" s="9"/>
      <c r="AC325" s="9"/>
      <c r="AD325" s="9"/>
      <c r="AE325" s="9"/>
      <c r="AF325" s="9"/>
      <c r="AG325" s="9"/>
      <c r="AH325" s="9"/>
      <c r="AI325" s="9"/>
      <c r="AJ325" s="9"/>
      <c r="AK325" s="14" t="e">
        <f t="shared" si="1"/>
        <v>#DIV/0!</v>
      </c>
      <c r="AL325" s="9"/>
      <c r="AM325" s="9"/>
      <c r="AN325" s="9" t="s">
        <v>561</v>
      </c>
      <c r="AO325" s="6" t="s">
        <v>562</v>
      </c>
      <c r="AP325" s="9"/>
      <c r="AQ325" s="9"/>
      <c r="AR325" s="9"/>
      <c r="AS325" s="9"/>
      <c r="AT325" s="9"/>
      <c r="AU325" s="9"/>
      <c r="AV325" s="9"/>
      <c r="AW325" s="9"/>
      <c r="AX325" s="9"/>
      <c r="AY325" s="9"/>
      <c r="AZ325" s="9"/>
      <c r="BA325" s="9"/>
      <c r="BB325" s="9"/>
      <c r="BC325" s="9"/>
      <c r="BD325" s="9"/>
      <c r="BE325" s="9"/>
      <c r="BF325" s="9"/>
      <c r="BG325" s="9"/>
      <c r="BH325" s="9"/>
    </row>
    <row r="326" spans="1:60" ht="12.5" hidden="1">
      <c r="A326" s="6" t="s">
        <v>1470</v>
      </c>
      <c r="B326" s="16">
        <v>45628</v>
      </c>
      <c r="C326" s="8">
        <v>45631</v>
      </c>
      <c r="D326" s="9" t="s">
        <v>41</v>
      </c>
      <c r="E326" s="9" t="s">
        <v>1471</v>
      </c>
      <c r="F326" s="9"/>
      <c r="G326" s="9" t="s">
        <v>43</v>
      </c>
      <c r="H326" s="10">
        <v>13.9</v>
      </c>
      <c r="I326" s="9" t="s">
        <v>44</v>
      </c>
      <c r="J326" s="9" t="s">
        <v>45</v>
      </c>
      <c r="K326" s="9" t="s">
        <v>1472</v>
      </c>
      <c r="L326" s="11" t="s">
        <v>47</v>
      </c>
      <c r="M326" s="9" t="s">
        <v>48</v>
      </c>
      <c r="N326" s="9" t="s">
        <v>48</v>
      </c>
      <c r="O326" s="12" t="s">
        <v>668</v>
      </c>
      <c r="P326" s="6" t="s">
        <v>669</v>
      </c>
      <c r="Q326" s="9" t="s">
        <v>670</v>
      </c>
      <c r="R326" s="13">
        <v>1</v>
      </c>
      <c r="S326" s="9" t="s">
        <v>421</v>
      </c>
      <c r="T326" s="9" t="s">
        <v>53</v>
      </c>
      <c r="U326" s="9" t="s">
        <v>54</v>
      </c>
      <c r="V326" s="9" t="s">
        <v>61</v>
      </c>
      <c r="W326" s="9"/>
      <c r="X326" s="9"/>
      <c r="Y326" s="13">
        <v>90.05</v>
      </c>
      <c r="Z326" s="13">
        <v>1</v>
      </c>
      <c r="AA326" s="9"/>
      <c r="AB326" s="9"/>
      <c r="AC326" s="9"/>
      <c r="AD326" s="9"/>
      <c r="AE326" s="9"/>
      <c r="AF326" s="9"/>
      <c r="AG326" s="9"/>
      <c r="AH326" s="9"/>
      <c r="AI326" s="9"/>
      <c r="AJ326" s="9"/>
      <c r="AK326" s="14" t="e">
        <f t="shared" si="1"/>
        <v>#DIV/0!</v>
      </c>
      <c r="AL326" s="9"/>
      <c r="AM326" s="9"/>
      <c r="AN326" s="9"/>
      <c r="AO326" s="6"/>
      <c r="AP326" s="9"/>
      <c r="AQ326" s="9"/>
      <c r="AR326" s="9"/>
      <c r="AS326" s="9"/>
      <c r="AT326" s="9"/>
      <c r="AU326" s="9"/>
      <c r="AV326" s="9"/>
      <c r="AW326" s="9"/>
      <c r="AX326" s="9"/>
      <c r="AY326" s="9"/>
      <c r="AZ326" s="9"/>
      <c r="BA326" s="9"/>
      <c r="BB326" s="9"/>
      <c r="BC326" s="9"/>
      <c r="BD326" s="9"/>
      <c r="BE326" s="9"/>
      <c r="BF326" s="9"/>
      <c r="BG326" s="9"/>
      <c r="BH326" s="9"/>
    </row>
    <row r="327" spans="1:60" ht="12.5" hidden="1">
      <c r="A327" s="6" t="s">
        <v>1473</v>
      </c>
      <c r="B327" s="16">
        <v>45636</v>
      </c>
      <c r="C327" s="8">
        <v>45653</v>
      </c>
      <c r="D327" s="9" t="s">
        <v>41</v>
      </c>
      <c r="E327" s="9" t="s">
        <v>1474</v>
      </c>
      <c r="F327" s="9"/>
      <c r="G327" s="9" t="s">
        <v>43</v>
      </c>
      <c r="H327" s="10">
        <v>11.07</v>
      </c>
      <c r="I327" s="9" t="s">
        <v>44</v>
      </c>
      <c r="J327" s="9" t="s">
        <v>45</v>
      </c>
      <c r="K327" s="9" t="s">
        <v>1475</v>
      </c>
      <c r="L327" s="11" t="s">
        <v>47</v>
      </c>
      <c r="M327" s="9" t="s">
        <v>48</v>
      </c>
      <c r="N327" s="9" t="s">
        <v>48</v>
      </c>
      <c r="O327" s="12" t="s">
        <v>680</v>
      </c>
      <c r="P327" s="6" t="s">
        <v>681</v>
      </c>
      <c r="Q327" s="9" t="s">
        <v>682</v>
      </c>
      <c r="R327" s="13">
        <v>1</v>
      </c>
      <c r="S327" s="9" t="s">
        <v>92</v>
      </c>
      <c r="T327" s="9" t="s">
        <v>53</v>
      </c>
      <c r="U327" s="9" t="s">
        <v>54</v>
      </c>
      <c r="V327" s="9" t="s">
        <v>55</v>
      </c>
      <c r="W327" s="9"/>
      <c r="X327" s="9"/>
      <c r="Y327" s="13">
        <v>64.930000000000007</v>
      </c>
      <c r="Z327" s="13">
        <v>1</v>
      </c>
      <c r="AA327" s="9"/>
      <c r="AB327" s="9"/>
      <c r="AC327" s="9"/>
      <c r="AD327" s="9"/>
      <c r="AE327" s="9"/>
      <c r="AF327" s="13">
        <v>64.930000000000007</v>
      </c>
      <c r="AG327" s="9"/>
      <c r="AH327" s="9"/>
      <c r="AI327" s="9">
        <v>4</v>
      </c>
      <c r="AJ327" s="9">
        <v>7</v>
      </c>
      <c r="AK327" s="14">
        <f t="shared" si="1"/>
        <v>0.5714285714285714</v>
      </c>
      <c r="AL327" s="9"/>
      <c r="AM327" s="9"/>
      <c r="AN327" s="9"/>
      <c r="AO327" s="6"/>
      <c r="AP327" s="9"/>
      <c r="AQ327" s="9"/>
      <c r="AR327" s="9"/>
      <c r="AS327" s="9"/>
      <c r="AT327" s="9"/>
      <c r="AU327" s="9"/>
      <c r="AV327" s="9"/>
      <c r="AW327" s="9"/>
      <c r="AX327" s="9"/>
      <c r="AY327" s="9"/>
      <c r="AZ327" s="9"/>
      <c r="BA327" s="9"/>
      <c r="BB327" s="9"/>
      <c r="BC327" s="9"/>
      <c r="BD327" s="9"/>
      <c r="BE327" s="9"/>
      <c r="BF327" s="9"/>
      <c r="BG327" s="9"/>
      <c r="BH327" s="9"/>
    </row>
    <row r="328" spans="1:60" ht="12.5" hidden="1">
      <c r="A328" s="6" t="s">
        <v>1476</v>
      </c>
      <c r="B328" s="16">
        <v>45622</v>
      </c>
      <c r="C328" s="8">
        <v>45649</v>
      </c>
      <c r="D328" s="9" t="s">
        <v>41</v>
      </c>
      <c r="E328" s="9" t="s">
        <v>1477</v>
      </c>
      <c r="F328" s="9"/>
      <c r="G328" s="9" t="s">
        <v>43</v>
      </c>
      <c r="H328" s="10">
        <v>11.07</v>
      </c>
      <c r="I328" s="9" t="s">
        <v>44</v>
      </c>
      <c r="J328" s="9" t="s">
        <v>45</v>
      </c>
      <c r="K328" s="9" t="s">
        <v>1478</v>
      </c>
      <c r="L328" s="11" t="s">
        <v>47</v>
      </c>
      <c r="M328" s="9" t="s">
        <v>48</v>
      </c>
      <c r="N328" s="9" t="s">
        <v>48</v>
      </c>
      <c r="O328" s="12" t="s">
        <v>680</v>
      </c>
      <c r="P328" s="6" t="s">
        <v>681</v>
      </c>
      <c r="Q328" s="9" t="s">
        <v>682</v>
      </c>
      <c r="R328" s="13">
        <v>1</v>
      </c>
      <c r="S328" s="9" t="s">
        <v>99</v>
      </c>
      <c r="T328" s="9" t="s">
        <v>53</v>
      </c>
      <c r="U328" s="9" t="s">
        <v>54</v>
      </c>
      <c r="V328" s="9" t="s">
        <v>61</v>
      </c>
      <c r="W328" s="9"/>
      <c r="X328" s="9"/>
      <c r="Y328" s="13">
        <v>68.83</v>
      </c>
      <c r="Z328" s="13">
        <v>1</v>
      </c>
      <c r="AA328" s="9"/>
      <c r="AB328" s="9"/>
      <c r="AC328" s="9"/>
      <c r="AD328" s="9"/>
      <c r="AE328" s="9"/>
      <c r="AF328" s="9"/>
      <c r="AG328" s="9"/>
      <c r="AH328" s="9"/>
      <c r="AI328" s="9"/>
      <c r="AJ328" s="9"/>
      <c r="AK328" s="14" t="e">
        <f t="shared" si="1"/>
        <v>#DIV/0!</v>
      </c>
      <c r="AL328" s="9"/>
      <c r="AM328" s="9"/>
      <c r="AN328" s="9"/>
      <c r="AO328" s="6"/>
      <c r="AP328" s="9"/>
      <c r="AQ328" s="9"/>
      <c r="AR328" s="9"/>
      <c r="AS328" s="9"/>
      <c r="AT328" s="9"/>
      <c r="AU328" s="9"/>
      <c r="AV328" s="9"/>
      <c r="AW328" s="9"/>
      <c r="AX328" s="9"/>
      <c r="AY328" s="9"/>
      <c r="AZ328" s="9"/>
      <c r="BA328" s="9"/>
      <c r="BB328" s="9"/>
      <c r="BC328" s="9"/>
      <c r="BD328" s="9"/>
      <c r="BE328" s="9"/>
      <c r="BF328" s="9"/>
      <c r="BG328" s="9"/>
      <c r="BH328" s="9"/>
    </row>
    <row r="329" spans="1:60" ht="12.5" hidden="1">
      <c r="A329" s="6" t="s">
        <v>1479</v>
      </c>
      <c r="B329" s="16">
        <v>45632</v>
      </c>
      <c r="C329" s="8">
        <v>45641</v>
      </c>
      <c r="D329" s="9" t="s">
        <v>41</v>
      </c>
      <c r="E329" s="9" t="s">
        <v>1480</v>
      </c>
      <c r="F329" s="9"/>
      <c r="G329" s="9" t="s">
        <v>43</v>
      </c>
      <c r="H329" s="10">
        <v>10.69</v>
      </c>
      <c r="I329" s="9" t="s">
        <v>44</v>
      </c>
      <c r="J329" s="9" t="s">
        <v>45</v>
      </c>
      <c r="K329" s="9" t="s">
        <v>1481</v>
      </c>
      <c r="L329" s="11" t="s">
        <v>47</v>
      </c>
      <c r="M329" s="9" t="s">
        <v>48</v>
      </c>
      <c r="N329" s="9" t="s">
        <v>48</v>
      </c>
      <c r="O329" s="12" t="s">
        <v>680</v>
      </c>
      <c r="P329" s="6" t="s">
        <v>681</v>
      </c>
      <c r="Q329" s="9" t="s">
        <v>682</v>
      </c>
      <c r="R329" s="13">
        <v>1</v>
      </c>
      <c r="S329" s="9" t="s">
        <v>99</v>
      </c>
      <c r="T329" s="9" t="s">
        <v>53</v>
      </c>
      <c r="U329" s="9" t="s">
        <v>54</v>
      </c>
      <c r="V329" s="9" t="s">
        <v>55</v>
      </c>
      <c r="W329" s="9"/>
      <c r="X329" s="9"/>
      <c r="Y329" s="13">
        <v>69.22</v>
      </c>
      <c r="Z329" s="13">
        <v>1</v>
      </c>
      <c r="AA329" s="9"/>
      <c r="AB329" s="9"/>
      <c r="AC329" s="9"/>
      <c r="AD329" s="9"/>
      <c r="AE329" s="9"/>
      <c r="AF329" s="13">
        <v>69.22</v>
      </c>
      <c r="AG329" s="9"/>
      <c r="AH329" s="9"/>
      <c r="AI329" s="9"/>
      <c r="AJ329" s="9"/>
      <c r="AK329" s="14" t="e">
        <f t="shared" si="1"/>
        <v>#DIV/0!</v>
      </c>
      <c r="AL329" s="9"/>
      <c r="AM329" s="9"/>
      <c r="AN329" s="9"/>
      <c r="AO329" s="6"/>
      <c r="AP329" s="9"/>
      <c r="AQ329" s="9"/>
      <c r="AR329" s="9"/>
      <c r="AS329" s="9"/>
      <c r="AT329" s="9"/>
      <c r="AU329" s="9"/>
      <c r="AV329" s="9"/>
      <c r="AW329" s="9"/>
      <c r="AX329" s="9"/>
      <c r="AY329" s="9"/>
      <c r="AZ329" s="9"/>
      <c r="BA329" s="9"/>
      <c r="BB329" s="9"/>
      <c r="BC329" s="9"/>
      <c r="BD329" s="9"/>
      <c r="BE329" s="9"/>
      <c r="BF329" s="9"/>
      <c r="BG329" s="9"/>
      <c r="BH329" s="9"/>
    </row>
    <row r="330" spans="1:60" ht="12.5" hidden="1">
      <c r="A330" s="6" t="s">
        <v>1482</v>
      </c>
      <c r="B330" s="16">
        <v>45620</v>
      </c>
      <c r="C330" s="8">
        <v>45628</v>
      </c>
      <c r="D330" s="9" t="s">
        <v>41</v>
      </c>
      <c r="E330" s="9" t="s">
        <v>1483</v>
      </c>
      <c r="F330" s="9"/>
      <c r="G330" s="9" t="s">
        <v>43</v>
      </c>
      <c r="H330" s="10">
        <v>10.69</v>
      </c>
      <c r="I330" s="9" t="s">
        <v>44</v>
      </c>
      <c r="J330" s="9" t="s">
        <v>45</v>
      </c>
      <c r="K330" s="9" t="s">
        <v>1484</v>
      </c>
      <c r="L330" s="11" t="s">
        <v>58</v>
      </c>
      <c r="M330" s="9" t="s">
        <v>48</v>
      </c>
      <c r="N330" s="9" t="s">
        <v>48</v>
      </c>
      <c r="O330" s="12" t="s">
        <v>680</v>
      </c>
      <c r="P330" s="6" t="s">
        <v>681</v>
      </c>
      <c r="Q330" s="9" t="s">
        <v>682</v>
      </c>
      <c r="R330" s="13">
        <v>1</v>
      </c>
      <c r="S330" s="9" t="s">
        <v>68</v>
      </c>
      <c r="T330" s="9" t="s">
        <v>53</v>
      </c>
      <c r="U330" s="9" t="s">
        <v>54</v>
      </c>
      <c r="V330" s="9" t="s">
        <v>55</v>
      </c>
      <c r="W330" s="9"/>
      <c r="X330" s="9"/>
      <c r="Y330" s="13">
        <v>69.02</v>
      </c>
      <c r="Z330" s="13">
        <v>1</v>
      </c>
      <c r="AA330" s="9"/>
      <c r="AB330" s="9"/>
      <c r="AC330" s="9"/>
      <c r="AD330" s="9"/>
      <c r="AE330" s="9"/>
      <c r="AF330" s="13">
        <v>58.33</v>
      </c>
      <c r="AG330" s="9"/>
      <c r="AH330" s="9"/>
      <c r="AI330" s="9"/>
      <c r="AJ330" s="9"/>
      <c r="AK330" s="14" t="e">
        <f t="shared" si="1"/>
        <v>#DIV/0!</v>
      </c>
      <c r="AL330" s="9"/>
      <c r="AM330" s="9"/>
      <c r="AN330" s="9"/>
      <c r="AO330" s="6"/>
      <c r="AP330" s="9"/>
      <c r="AQ330" s="9"/>
      <c r="AR330" s="9"/>
      <c r="AS330" s="9"/>
      <c r="AT330" s="9"/>
      <c r="AU330" s="9"/>
      <c r="AV330" s="9"/>
      <c r="AW330" s="9"/>
      <c r="AX330" s="9"/>
      <c r="AY330" s="9"/>
      <c r="AZ330" s="9"/>
      <c r="BA330" s="9"/>
      <c r="BB330" s="9"/>
      <c r="BC330" s="9"/>
      <c r="BD330" s="9"/>
      <c r="BE330" s="9"/>
      <c r="BF330" s="9"/>
      <c r="BG330" s="9"/>
      <c r="BH330" s="9"/>
    </row>
    <row r="331" spans="1:60" ht="12.5" hidden="1">
      <c r="A331" s="6" t="s">
        <v>1485</v>
      </c>
      <c r="B331" s="16">
        <v>45642</v>
      </c>
      <c r="C331" s="8">
        <v>45657</v>
      </c>
      <c r="D331" s="9" t="s">
        <v>41</v>
      </c>
      <c r="E331" s="9" t="s">
        <v>1486</v>
      </c>
      <c r="F331" s="9"/>
      <c r="G331" s="9" t="s">
        <v>43</v>
      </c>
      <c r="H331" s="10">
        <v>11.65</v>
      </c>
      <c r="I331" s="9" t="s">
        <v>44</v>
      </c>
      <c r="J331" s="9" t="s">
        <v>45</v>
      </c>
      <c r="K331" s="9" t="s">
        <v>1487</v>
      </c>
      <c r="L331" s="11" t="s">
        <v>47</v>
      </c>
      <c r="M331" s="9" t="s">
        <v>48</v>
      </c>
      <c r="N331" s="9" t="s">
        <v>48</v>
      </c>
      <c r="O331" s="12" t="s">
        <v>698</v>
      </c>
      <c r="P331" s="6" t="s">
        <v>699</v>
      </c>
      <c r="Q331" s="9" t="s">
        <v>700</v>
      </c>
      <c r="R331" s="13">
        <v>1</v>
      </c>
      <c r="S331" s="9" t="s">
        <v>99</v>
      </c>
      <c r="T331" s="9" t="s">
        <v>53</v>
      </c>
      <c r="U331" s="9" t="s">
        <v>54</v>
      </c>
      <c r="V331" s="9" t="s">
        <v>61</v>
      </c>
      <c r="W331" s="9"/>
      <c r="X331" s="9"/>
      <c r="Y331" s="13">
        <v>55.16</v>
      </c>
      <c r="Z331" s="13">
        <v>1</v>
      </c>
      <c r="AA331" s="9"/>
      <c r="AB331" s="9"/>
      <c r="AC331" s="9"/>
      <c r="AD331" s="9"/>
      <c r="AE331" s="9"/>
      <c r="AF331" s="9"/>
      <c r="AG331" s="9"/>
      <c r="AH331" s="9"/>
      <c r="AI331" s="9">
        <v>3</v>
      </c>
      <c r="AJ331" s="9">
        <v>10</v>
      </c>
      <c r="AK331" s="14">
        <f t="shared" si="1"/>
        <v>0.3</v>
      </c>
      <c r="AL331" s="9"/>
      <c r="AM331" s="9"/>
      <c r="AN331" s="9"/>
      <c r="AO331" s="6"/>
      <c r="AP331" s="9"/>
      <c r="AQ331" s="9"/>
      <c r="AR331" s="9"/>
      <c r="AS331" s="9"/>
      <c r="AT331" s="9"/>
      <c r="AU331" s="9"/>
      <c r="AV331" s="9"/>
      <c r="AW331" s="9"/>
      <c r="AX331" s="9"/>
      <c r="AY331" s="9"/>
      <c r="AZ331" s="9"/>
      <c r="BA331" s="9"/>
      <c r="BB331" s="9"/>
      <c r="BC331" s="9"/>
      <c r="BD331" s="9"/>
      <c r="BE331" s="9"/>
      <c r="BF331" s="9"/>
      <c r="BG331" s="9"/>
      <c r="BH331" s="9"/>
    </row>
    <row r="332" spans="1:60" ht="12.5" hidden="1">
      <c r="A332" s="6" t="s">
        <v>1488</v>
      </c>
      <c r="B332" s="16">
        <v>45635</v>
      </c>
      <c r="C332" s="8">
        <v>45649</v>
      </c>
      <c r="D332" s="9" t="s">
        <v>41</v>
      </c>
      <c r="E332" s="9" t="s">
        <v>1489</v>
      </c>
      <c r="F332" s="9"/>
      <c r="G332" s="9" t="s">
        <v>43</v>
      </c>
      <c r="H332" s="10">
        <v>11.31</v>
      </c>
      <c r="I332" s="9" t="s">
        <v>44</v>
      </c>
      <c r="J332" s="9" t="s">
        <v>45</v>
      </c>
      <c r="K332" s="9" t="s">
        <v>1490</v>
      </c>
      <c r="L332" s="11" t="s">
        <v>58</v>
      </c>
      <c r="M332" s="9" t="s">
        <v>48</v>
      </c>
      <c r="N332" s="9" t="s">
        <v>48</v>
      </c>
      <c r="O332" s="12" t="s">
        <v>698</v>
      </c>
      <c r="P332" s="6" t="s">
        <v>699</v>
      </c>
      <c r="Q332" s="9" t="s">
        <v>700</v>
      </c>
      <c r="R332" s="13">
        <v>1</v>
      </c>
      <c r="S332" s="9" t="s">
        <v>68</v>
      </c>
      <c r="T332" s="9" t="s">
        <v>53</v>
      </c>
      <c r="U332" s="9" t="s">
        <v>54</v>
      </c>
      <c r="V332" s="9" t="s">
        <v>61</v>
      </c>
      <c r="W332" s="9"/>
      <c r="X332" s="9"/>
      <c r="Y332" s="13">
        <v>56.77</v>
      </c>
      <c r="Z332" s="13">
        <v>1</v>
      </c>
      <c r="AA332" s="9"/>
      <c r="AB332" s="9"/>
      <c r="AC332" s="9"/>
      <c r="AD332" s="9"/>
      <c r="AE332" s="9"/>
      <c r="AF332" s="9"/>
      <c r="AG332" s="9"/>
      <c r="AH332" s="9"/>
      <c r="AI332" s="9"/>
      <c r="AJ332" s="9"/>
      <c r="AK332" s="14" t="e">
        <f t="shared" si="1"/>
        <v>#DIV/0!</v>
      </c>
      <c r="AL332" s="9"/>
      <c r="AM332" s="9"/>
      <c r="AN332" s="9"/>
      <c r="AO332" s="6"/>
      <c r="AP332" s="9"/>
      <c r="AQ332" s="9"/>
      <c r="AR332" s="9"/>
      <c r="AS332" s="9"/>
      <c r="AT332" s="9"/>
      <c r="AU332" s="9"/>
      <c r="AV332" s="9"/>
      <c r="AW332" s="9"/>
      <c r="AX332" s="9"/>
      <c r="AY332" s="9"/>
      <c r="AZ332" s="9"/>
      <c r="BA332" s="9"/>
      <c r="BB332" s="9"/>
      <c r="BC332" s="9"/>
      <c r="BD332" s="9"/>
      <c r="BE332" s="9"/>
      <c r="BF332" s="9"/>
      <c r="BG332" s="9"/>
      <c r="BH332" s="9"/>
    </row>
    <row r="333" spans="1:60" ht="12.5" hidden="1">
      <c r="A333" s="6" t="s">
        <v>1491</v>
      </c>
      <c r="B333" s="16">
        <v>45632</v>
      </c>
      <c r="C333" s="8">
        <v>45638</v>
      </c>
      <c r="D333" s="9" t="s">
        <v>41</v>
      </c>
      <c r="E333" s="9" t="s">
        <v>1492</v>
      </c>
      <c r="F333" s="9"/>
      <c r="G333" s="9" t="s">
        <v>43</v>
      </c>
      <c r="H333" s="10">
        <v>11.31</v>
      </c>
      <c r="I333" s="9" t="s">
        <v>44</v>
      </c>
      <c r="J333" s="9" t="s">
        <v>45</v>
      </c>
      <c r="K333" s="9" t="s">
        <v>1493</v>
      </c>
      <c r="L333" s="11" t="s">
        <v>47</v>
      </c>
      <c r="M333" s="9" t="s">
        <v>48</v>
      </c>
      <c r="N333" s="9" t="s">
        <v>48</v>
      </c>
      <c r="O333" s="12" t="s">
        <v>698</v>
      </c>
      <c r="P333" s="6" t="s">
        <v>699</v>
      </c>
      <c r="Q333" s="9" t="s">
        <v>700</v>
      </c>
      <c r="R333" s="13">
        <v>1</v>
      </c>
      <c r="S333" s="9" t="s">
        <v>99</v>
      </c>
      <c r="T333" s="9" t="s">
        <v>53</v>
      </c>
      <c r="U333" s="9" t="s">
        <v>54</v>
      </c>
      <c r="V333" s="9" t="s">
        <v>55</v>
      </c>
      <c r="W333" s="9"/>
      <c r="X333" s="9"/>
      <c r="Y333" s="13">
        <v>56.11</v>
      </c>
      <c r="Z333" s="13">
        <v>1</v>
      </c>
      <c r="AA333" s="9"/>
      <c r="AB333" s="9"/>
      <c r="AC333" s="9"/>
      <c r="AD333" s="9"/>
      <c r="AE333" s="9"/>
      <c r="AF333" s="13">
        <v>56.11</v>
      </c>
      <c r="AG333" s="9"/>
      <c r="AH333" s="9"/>
      <c r="AI333" s="9"/>
      <c r="AJ333" s="9"/>
      <c r="AK333" s="14" t="e">
        <f t="shared" si="1"/>
        <v>#DIV/0!</v>
      </c>
      <c r="AL333" s="9"/>
      <c r="AM333" s="9"/>
      <c r="AN333" s="9"/>
      <c r="AO333" s="6"/>
      <c r="AP333" s="9"/>
      <c r="AQ333" s="9"/>
      <c r="AR333" s="9"/>
      <c r="AS333" s="9"/>
      <c r="AT333" s="9"/>
      <c r="AU333" s="9"/>
      <c r="AV333" s="9"/>
      <c r="AW333" s="9"/>
      <c r="AX333" s="9"/>
      <c r="AY333" s="9"/>
      <c r="AZ333" s="9"/>
      <c r="BA333" s="9"/>
      <c r="BB333" s="9"/>
      <c r="BC333" s="9"/>
      <c r="BD333" s="9"/>
      <c r="BE333" s="9"/>
      <c r="BF333" s="9"/>
      <c r="BG333" s="9"/>
      <c r="BH333" s="9"/>
    </row>
    <row r="334" spans="1:60" ht="12.5" hidden="1">
      <c r="A334" s="6" t="s">
        <v>1494</v>
      </c>
      <c r="B334" s="16">
        <v>45638</v>
      </c>
      <c r="C334" s="8">
        <v>45647</v>
      </c>
      <c r="D334" s="9" t="s">
        <v>41</v>
      </c>
      <c r="E334" s="9" t="s">
        <v>1495</v>
      </c>
      <c r="F334" s="9"/>
      <c r="G334" s="9" t="s">
        <v>43</v>
      </c>
      <c r="H334" s="10">
        <v>12.63</v>
      </c>
      <c r="I334" s="9" t="s">
        <v>44</v>
      </c>
      <c r="J334" s="9" t="s">
        <v>45</v>
      </c>
      <c r="K334" s="9" t="s">
        <v>1496</v>
      </c>
      <c r="L334" s="11" t="s">
        <v>58</v>
      </c>
      <c r="M334" s="9" t="s">
        <v>48</v>
      </c>
      <c r="N334" s="9" t="s">
        <v>48</v>
      </c>
      <c r="O334" s="12" t="s">
        <v>1497</v>
      </c>
      <c r="P334" s="6" t="s">
        <v>1498</v>
      </c>
      <c r="Q334" s="9" t="s">
        <v>1499</v>
      </c>
      <c r="R334" s="13">
        <v>1</v>
      </c>
      <c r="S334" s="9" t="s">
        <v>75</v>
      </c>
      <c r="T334" s="9" t="s">
        <v>53</v>
      </c>
      <c r="U334" s="9" t="s">
        <v>54</v>
      </c>
      <c r="V334" s="9" t="s">
        <v>61</v>
      </c>
      <c r="W334" s="9"/>
      <c r="X334" s="9"/>
      <c r="Y334" s="13">
        <v>95.29</v>
      </c>
      <c r="Z334" s="13">
        <v>1</v>
      </c>
      <c r="AA334" s="9"/>
      <c r="AB334" s="9"/>
      <c r="AC334" s="9"/>
      <c r="AD334" s="9"/>
      <c r="AE334" s="9"/>
      <c r="AF334" s="9"/>
      <c r="AG334" s="9"/>
      <c r="AH334" s="9"/>
      <c r="AI334" s="9">
        <v>2</v>
      </c>
      <c r="AJ334" s="9">
        <v>14</v>
      </c>
      <c r="AK334" s="14">
        <f t="shared" si="1"/>
        <v>0.14285714285714285</v>
      </c>
      <c r="AL334" s="9"/>
      <c r="AM334" s="9"/>
      <c r="AN334" s="9"/>
      <c r="AO334" s="6"/>
      <c r="AP334" s="9"/>
      <c r="AQ334" s="9"/>
      <c r="AR334" s="9"/>
      <c r="AS334" s="9"/>
      <c r="AT334" s="9"/>
      <c r="AU334" s="9"/>
      <c r="AV334" s="9"/>
      <c r="AW334" s="9"/>
      <c r="AX334" s="9"/>
      <c r="AY334" s="9"/>
      <c r="AZ334" s="9"/>
      <c r="BA334" s="9"/>
      <c r="BB334" s="9"/>
      <c r="BC334" s="9"/>
      <c r="BD334" s="9"/>
      <c r="BE334" s="9"/>
      <c r="BF334" s="9"/>
      <c r="BG334" s="9"/>
      <c r="BH334" s="9"/>
    </row>
    <row r="335" spans="1:60" ht="12.5" hidden="1">
      <c r="A335" s="6" t="s">
        <v>1500</v>
      </c>
      <c r="B335" s="16">
        <v>45619</v>
      </c>
      <c r="C335" s="8">
        <v>45637</v>
      </c>
      <c r="D335" s="9" t="s">
        <v>41</v>
      </c>
      <c r="E335" s="9" t="s">
        <v>1501</v>
      </c>
      <c r="F335" s="9"/>
      <c r="G335" s="9" t="s">
        <v>43</v>
      </c>
      <c r="H335" s="10">
        <v>12.63</v>
      </c>
      <c r="I335" s="9" t="s">
        <v>44</v>
      </c>
      <c r="J335" s="9" t="s">
        <v>45</v>
      </c>
      <c r="K335" s="9" t="s">
        <v>1502</v>
      </c>
      <c r="L335" s="11" t="s">
        <v>58</v>
      </c>
      <c r="M335" s="9" t="s">
        <v>48</v>
      </c>
      <c r="N335" s="9" t="s">
        <v>48</v>
      </c>
      <c r="O335" s="12" t="s">
        <v>1497</v>
      </c>
      <c r="P335" s="6" t="s">
        <v>1498</v>
      </c>
      <c r="Q335" s="9" t="s">
        <v>1499</v>
      </c>
      <c r="R335" s="13">
        <v>1</v>
      </c>
      <c r="S335" s="9" t="s">
        <v>75</v>
      </c>
      <c r="T335" s="9" t="s">
        <v>53</v>
      </c>
      <c r="U335" s="9" t="s">
        <v>54</v>
      </c>
      <c r="V335" s="9" t="s">
        <v>55</v>
      </c>
      <c r="W335" s="9"/>
      <c r="X335" s="9"/>
      <c r="Y335" s="13">
        <v>87.93</v>
      </c>
      <c r="Z335" s="13">
        <v>1</v>
      </c>
      <c r="AA335" s="9"/>
      <c r="AB335" s="9"/>
      <c r="AC335" s="9"/>
      <c r="AD335" s="9"/>
      <c r="AE335" s="9"/>
      <c r="AF335" s="13">
        <v>75.3</v>
      </c>
      <c r="AG335" s="9"/>
      <c r="AH335" s="9"/>
      <c r="AI335" s="9"/>
      <c r="AJ335" s="9"/>
      <c r="AK335" s="14" t="e">
        <f t="shared" si="1"/>
        <v>#DIV/0!</v>
      </c>
      <c r="AL335" s="9"/>
      <c r="AM335" s="9"/>
      <c r="AN335" s="9"/>
      <c r="AO335" s="6"/>
      <c r="AP335" s="9"/>
      <c r="AQ335" s="9"/>
      <c r="AR335" s="9"/>
      <c r="AS335" s="9"/>
      <c r="AT335" s="9"/>
      <c r="AU335" s="9"/>
      <c r="AV335" s="9"/>
      <c r="AW335" s="9"/>
      <c r="AX335" s="9"/>
      <c r="AY335" s="9"/>
      <c r="AZ335" s="9"/>
      <c r="BA335" s="9"/>
      <c r="BB335" s="9"/>
      <c r="BC335" s="9"/>
      <c r="BD335" s="9"/>
      <c r="BE335" s="9"/>
      <c r="BF335" s="9"/>
      <c r="BG335" s="9"/>
      <c r="BH335" s="9"/>
    </row>
    <row r="336" spans="1:60" ht="12.5" hidden="1">
      <c r="A336" s="6" t="s">
        <v>1503</v>
      </c>
      <c r="B336" s="16">
        <v>45639</v>
      </c>
      <c r="C336" s="8">
        <v>45644</v>
      </c>
      <c r="D336" s="9" t="s">
        <v>41</v>
      </c>
      <c r="E336" s="9" t="s">
        <v>1504</v>
      </c>
      <c r="F336" s="9"/>
      <c r="G336" s="9" t="s">
        <v>43</v>
      </c>
      <c r="H336" s="10">
        <v>13.51</v>
      </c>
      <c r="I336" s="9" t="s">
        <v>44</v>
      </c>
      <c r="J336" s="9" t="s">
        <v>45</v>
      </c>
      <c r="K336" s="9" t="s">
        <v>1505</v>
      </c>
      <c r="L336" s="11" t="s">
        <v>58</v>
      </c>
      <c r="M336" s="9" t="s">
        <v>48</v>
      </c>
      <c r="N336" s="9" t="s">
        <v>48</v>
      </c>
      <c r="O336" s="12" t="s">
        <v>713</v>
      </c>
      <c r="P336" s="6" t="s">
        <v>714</v>
      </c>
      <c r="Q336" s="9" t="s">
        <v>715</v>
      </c>
      <c r="R336" s="13">
        <v>1</v>
      </c>
      <c r="S336" s="9" t="s">
        <v>68</v>
      </c>
      <c r="T336" s="9" t="s">
        <v>53</v>
      </c>
      <c r="U336" s="9" t="s">
        <v>54</v>
      </c>
      <c r="V336" s="9" t="s">
        <v>61</v>
      </c>
      <c r="W336" s="9"/>
      <c r="X336" s="9"/>
      <c r="Y336" s="13">
        <v>79.05</v>
      </c>
      <c r="Z336" s="13">
        <v>1</v>
      </c>
      <c r="AA336" s="9"/>
      <c r="AB336" s="9"/>
      <c r="AC336" s="9"/>
      <c r="AD336" s="9"/>
      <c r="AE336" s="9"/>
      <c r="AF336" s="9"/>
      <c r="AG336" s="9"/>
      <c r="AH336" s="9"/>
      <c r="AI336" s="9">
        <v>2</v>
      </c>
      <c r="AJ336" s="9">
        <v>16</v>
      </c>
      <c r="AK336" s="14">
        <f t="shared" si="1"/>
        <v>0.125</v>
      </c>
      <c r="AL336" s="9"/>
      <c r="AM336" s="9"/>
      <c r="AN336" s="9"/>
      <c r="AO336" s="6"/>
      <c r="AP336" s="9"/>
      <c r="AQ336" s="9"/>
      <c r="AR336" s="9"/>
      <c r="AS336" s="9"/>
      <c r="AT336" s="9"/>
      <c r="AU336" s="9"/>
      <c r="AV336" s="9"/>
      <c r="AW336" s="9"/>
      <c r="AX336" s="9"/>
      <c r="AY336" s="9"/>
      <c r="AZ336" s="9"/>
      <c r="BA336" s="9"/>
      <c r="BB336" s="9"/>
      <c r="BC336" s="9"/>
      <c r="BD336" s="9"/>
      <c r="BE336" s="9"/>
      <c r="BF336" s="9"/>
      <c r="BG336" s="9"/>
      <c r="BH336" s="9"/>
    </row>
    <row r="337" spans="1:60" ht="12.5" hidden="1">
      <c r="A337" s="6" t="s">
        <v>1506</v>
      </c>
      <c r="B337" s="16">
        <v>45632</v>
      </c>
      <c r="C337" s="8">
        <v>45639</v>
      </c>
      <c r="D337" s="9" t="s">
        <v>41</v>
      </c>
      <c r="E337" s="9" t="s">
        <v>1507</v>
      </c>
      <c r="F337" s="9"/>
      <c r="G337" s="9" t="s">
        <v>43</v>
      </c>
      <c r="H337" s="10">
        <v>13.51</v>
      </c>
      <c r="I337" s="9" t="s">
        <v>44</v>
      </c>
      <c r="J337" s="9" t="s">
        <v>45</v>
      </c>
      <c r="K337" s="9" t="s">
        <v>1508</v>
      </c>
      <c r="L337" s="11" t="s">
        <v>47</v>
      </c>
      <c r="M337" s="9" t="s">
        <v>48</v>
      </c>
      <c r="N337" s="9" t="s">
        <v>48</v>
      </c>
      <c r="O337" s="12" t="s">
        <v>713</v>
      </c>
      <c r="P337" s="6" t="s">
        <v>714</v>
      </c>
      <c r="Q337" s="9" t="s">
        <v>715</v>
      </c>
      <c r="R337" s="13">
        <v>1</v>
      </c>
      <c r="S337" s="9" t="s">
        <v>82</v>
      </c>
      <c r="T337" s="9" t="s">
        <v>53</v>
      </c>
      <c r="U337" s="9" t="s">
        <v>54</v>
      </c>
      <c r="V337" s="9" t="s">
        <v>560</v>
      </c>
      <c r="W337" s="9"/>
      <c r="X337" s="9"/>
      <c r="Y337" s="13">
        <v>80.180000000000007</v>
      </c>
      <c r="Z337" s="13">
        <v>1</v>
      </c>
      <c r="AA337" s="9"/>
      <c r="AB337" s="9"/>
      <c r="AC337" s="9"/>
      <c r="AD337" s="9"/>
      <c r="AE337" s="9"/>
      <c r="AF337" s="9"/>
      <c r="AG337" s="9"/>
      <c r="AH337" s="9"/>
      <c r="AI337" s="9"/>
      <c r="AJ337" s="9"/>
      <c r="AK337" s="14" t="e">
        <f t="shared" si="1"/>
        <v>#DIV/0!</v>
      </c>
      <c r="AL337" s="9"/>
      <c r="AM337" s="9"/>
      <c r="AN337" s="9" t="s">
        <v>953</v>
      </c>
      <c r="AO337" s="6"/>
      <c r="AP337" s="9"/>
      <c r="AQ337" s="9"/>
      <c r="AR337" s="9"/>
      <c r="AS337" s="9"/>
      <c r="AT337" s="9"/>
      <c r="AU337" s="9"/>
      <c r="AV337" s="9"/>
      <c r="AW337" s="9"/>
      <c r="AX337" s="9"/>
      <c r="AY337" s="9"/>
      <c r="AZ337" s="9"/>
      <c r="BA337" s="9"/>
      <c r="BB337" s="9"/>
      <c r="BC337" s="9"/>
      <c r="BD337" s="9"/>
      <c r="BE337" s="9"/>
      <c r="BF337" s="9"/>
      <c r="BG337" s="9"/>
      <c r="BH337" s="9"/>
    </row>
    <row r="338" spans="1:60" ht="12.5" hidden="1">
      <c r="A338" s="6" t="s">
        <v>1509</v>
      </c>
      <c r="B338" s="16">
        <v>45638</v>
      </c>
      <c r="C338" s="8">
        <v>45654</v>
      </c>
      <c r="D338" s="9" t="s">
        <v>41</v>
      </c>
      <c r="E338" s="9" t="s">
        <v>1510</v>
      </c>
      <c r="F338" s="9"/>
      <c r="G338" s="9" t="s">
        <v>43</v>
      </c>
      <c r="H338" s="10">
        <v>12.54</v>
      </c>
      <c r="I338" s="9" t="s">
        <v>44</v>
      </c>
      <c r="J338" s="9" t="s">
        <v>45</v>
      </c>
      <c r="K338" s="9" t="s">
        <v>1511</v>
      </c>
      <c r="L338" s="11" t="s">
        <v>47</v>
      </c>
      <c r="M338" s="9" t="s">
        <v>48</v>
      </c>
      <c r="N338" s="9" t="s">
        <v>48</v>
      </c>
      <c r="O338" s="12" t="s">
        <v>1512</v>
      </c>
      <c r="P338" s="6" t="s">
        <v>1513</v>
      </c>
      <c r="Q338" s="9" t="s">
        <v>1514</v>
      </c>
      <c r="R338" s="13">
        <v>1</v>
      </c>
      <c r="S338" s="9" t="s">
        <v>92</v>
      </c>
      <c r="T338" s="9" t="s">
        <v>53</v>
      </c>
      <c r="U338" s="9" t="s">
        <v>54</v>
      </c>
      <c r="V338" s="9" t="s">
        <v>560</v>
      </c>
      <c r="W338" s="9"/>
      <c r="X338" s="9"/>
      <c r="Y338" s="13">
        <v>67.66</v>
      </c>
      <c r="Z338" s="13">
        <v>1</v>
      </c>
      <c r="AA338" s="9"/>
      <c r="AB338" s="9"/>
      <c r="AC338" s="9"/>
      <c r="AD338" s="9"/>
      <c r="AE338" s="9"/>
      <c r="AF338" s="9"/>
      <c r="AG338" s="9"/>
      <c r="AH338" s="9"/>
      <c r="AI338" s="9">
        <v>1</v>
      </c>
      <c r="AJ338" s="9">
        <v>3</v>
      </c>
      <c r="AK338" s="14">
        <f t="shared" si="1"/>
        <v>0.33333333333333331</v>
      </c>
      <c r="AL338" s="9"/>
      <c r="AM338" s="9"/>
      <c r="AN338" s="9" t="s">
        <v>561</v>
      </c>
      <c r="AO338" s="6" t="s">
        <v>1515</v>
      </c>
      <c r="AP338" s="9"/>
      <c r="AQ338" s="9"/>
      <c r="AR338" s="9"/>
      <c r="AS338" s="9"/>
      <c r="AT338" s="9"/>
      <c r="AU338" s="9"/>
      <c r="AV338" s="9"/>
      <c r="AW338" s="9"/>
      <c r="AX338" s="9"/>
      <c r="AY338" s="9"/>
      <c r="AZ338" s="9"/>
      <c r="BA338" s="9"/>
      <c r="BB338" s="9"/>
      <c r="BC338" s="9"/>
      <c r="BD338" s="9"/>
      <c r="BE338" s="9"/>
      <c r="BF338" s="9"/>
      <c r="BG338" s="9"/>
      <c r="BH338" s="9"/>
    </row>
    <row r="339" spans="1:60" ht="12.5" hidden="1">
      <c r="A339" s="6" t="s">
        <v>1516</v>
      </c>
      <c r="B339" s="16">
        <v>45636</v>
      </c>
      <c r="C339" s="8">
        <v>45643</v>
      </c>
      <c r="D339" s="9" t="s">
        <v>41</v>
      </c>
      <c r="E339" s="9" t="s">
        <v>1517</v>
      </c>
      <c r="F339" s="9"/>
      <c r="G339" s="9" t="s">
        <v>43</v>
      </c>
      <c r="H339" s="10">
        <v>11.31</v>
      </c>
      <c r="I339" s="9" t="s">
        <v>44</v>
      </c>
      <c r="J339" s="9" t="s">
        <v>45</v>
      </c>
      <c r="K339" s="9" t="s">
        <v>1518</v>
      </c>
      <c r="L339" s="11" t="s">
        <v>47</v>
      </c>
      <c r="M339" s="9" t="s">
        <v>48</v>
      </c>
      <c r="N339" s="9" t="s">
        <v>48</v>
      </c>
      <c r="O339" s="12" t="s">
        <v>1519</v>
      </c>
      <c r="P339" s="6" t="s">
        <v>1520</v>
      </c>
      <c r="Q339" s="9" t="s">
        <v>1521</v>
      </c>
      <c r="R339" s="13">
        <v>1</v>
      </c>
      <c r="S339" s="9" t="s">
        <v>156</v>
      </c>
      <c r="T339" s="9" t="s">
        <v>53</v>
      </c>
      <c r="U339" s="9" t="s">
        <v>54</v>
      </c>
      <c r="V339" s="9" t="s">
        <v>55</v>
      </c>
      <c r="W339" s="9"/>
      <c r="X339" s="9"/>
      <c r="Y339" s="13">
        <v>74.13</v>
      </c>
      <c r="Z339" s="13">
        <v>1</v>
      </c>
      <c r="AA339" s="9"/>
      <c r="AB339" s="9"/>
      <c r="AC339" s="9"/>
      <c r="AD339" s="9"/>
      <c r="AE339" s="9"/>
      <c r="AF339" s="13">
        <v>74.13</v>
      </c>
      <c r="AG339" s="9"/>
      <c r="AH339" s="9"/>
      <c r="AI339" s="9">
        <v>1</v>
      </c>
      <c r="AJ339" s="9">
        <v>12</v>
      </c>
      <c r="AK339" s="14">
        <f t="shared" si="1"/>
        <v>8.3333333333333329E-2</v>
      </c>
      <c r="AL339" s="9"/>
      <c r="AM339" s="9"/>
      <c r="AN339" s="9"/>
      <c r="AO339" s="6"/>
      <c r="AP339" s="9"/>
      <c r="AQ339" s="9"/>
      <c r="AR339" s="9"/>
      <c r="AS339" s="9"/>
      <c r="AT339" s="9"/>
      <c r="AU339" s="9"/>
      <c r="AV339" s="9"/>
      <c r="AW339" s="9"/>
      <c r="AX339" s="9"/>
      <c r="AY339" s="9"/>
      <c r="AZ339" s="9"/>
      <c r="BA339" s="9"/>
      <c r="BB339" s="9"/>
      <c r="BC339" s="9"/>
      <c r="BD339" s="9"/>
      <c r="BE339" s="9"/>
      <c r="BF339" s="9"/>
      <c r="BG339" s="9"/>
      <c r="BH339" s="9"/>
    </row>
    <row r="340" spans="1:60" ht="12.5" hidden="1">
      <c r="A340" s="6" t="s">
        <v>1522</v>
      </c>
      <c r="B340" s="16">
        <v>45624</v>
      </c>
      <c r="C340" s="8">
        <v>45630</v>
      </c>
      <c r="D340" s="9" t="s">
        <v>41</v>
      </c>
      <c r="E340" s="9" t="s">
        <v>1523</v>
      </c>
      <c r="F340" s="9"/>
      <c r="G340" s="9" t="s">
        <v>43</v>
      </c>
      <c r="H340" s="10">
        <v>11.74</v>
      </c>
      <c r="I340" s="9" t="s">
        <v>44</v>
      </c>
      <c r="J340" s="9" t="s">
        <v>45</v>
      </c>
      <c r="K340" s="9" t="s">
        <v>1524</v>
      </c>
      <c r="L340" s="11" t="s">
        <v>58</v>
      </c>
      <c r="M340" s="9" t="s">
        <v>48</v>
      </c>
      <c r="N340" s="9" t="s">
        <v>48</v>
      </c>
      <c r="O340" s="12" t="s">
        <v>1525</v>
      </c>
      <c r="P340" s="6" t="s">
        <v>1526</v>
      </c>
      <c r="Q340" s="9" t="s">
        <v>1527</v>
      </c>
      <c r="R340" s="13">
        <v>1</v>
      </c>
      <c r="S340" s="9" t="s">
        <v>68</v>
      </c>
      <c r="T340" s="9" t="s">
        <v>53</v>
      </c>
      <c r="U340" s="9" t="s">
        <v>54</v>
      </c>
      <c r="V340" s="9" t="s">
        <v>55</v>
      </c>
      <c r="W340" s="9"/>
      <c r="X340" s="9"/>
      <c r="Y340" s="13">
        <v>219.22</v>
      </c>
      <c r="Z340" s="13">
        <v>2</v>
      </c>
      <c r="AA340" s="9"/>
      <c r="AB340" s="9"/>
      <c r="AC340" s="9"/>
      <c r="AD340" s="9"/>
      <c r="AE340" s="9"/>
      <c r="AF340" s="13">
        <v>97.87</v>
      </c>
      <c r="AG340" s="9"/>
      <c r="AH340" s="9"/>
      <c r="AI340" s="9">
        <v>1</v>
      </c>
      <c r="AJ340" s="9">
        <v>1</v>
      </c>
      <c r="AK340" s="14">
        <f t="shared" si="1"/>
        <v>1</v>
      </c>
      <c r="AL340" s="9"/>
      <c r="AM340" s="9"/>
      <c r="AN340" s="9"/>
      <c r="AO340" s="6"/>
      <c r="AP340" s="9"/>
      <c r="AQ340" s="9"/>
      <c r="AR340" s="9"/>
      <c r="AS340" s="9"/>
      <c r="AT340" s="9"/>
      <c r="AU340" s="9"/>
      <c r="AV340" s="9"/>
      <c r="AW340" s="9"/>
      <c r="AX340" s="9"/>
      <c r="AY340" s="9"/>
      <c r="AZ340" s="9"/>
      <c r="BA340" s="9"/>
      <c r="BB340" s="9"/>
      <c r="BC340" s="9"/>
      <c r="BD340" s="9"/>
      <c r="BE340" s="9"/>
      <c r="BF340" s="9"/>
      <c r="BG340" s="9"/>
      <c r="BH340" s="9"/>
    </row>
    <row r="341" spans="1:60" ht="12.5" hidden="1">
      <c r="A341" s="6" t="s">
        <v>1528</v>
      </c>
      <c r="B341" s="16">
        <v>45636</v>
      </c>
      <c r="C341" s="8">
        <v>45641</v>
      </c>
      <c r="D341" s="9" t="s">
        <v>41</v>
      </c>
      <c r="E341" s="9" t="s">
        <v>1529</v>
      </c>
      <c r="F341" s="9"/>
      <c r="G341" s="9" t="s">
        <v>43</v>
      </c>
      <c r="H341" s="10">
        <v>12.63</v>
      </c>
      <c r="I341" s="9" t="s">
        <v>44</v>
      </c>
      <c r="J341" s="9" t="s">
        <v>45</v>
      </c>
      <c r="K341" s="9" t="s">
        <v>1530</v>
      </c>
      <c r="L341" s="11" t="s">
        <v>47</v>
      </c>
      <c r="M341" s="9" t="s">
        <v>48</v>
      </c>
      <c r="N341" s="9" t="s">
        <v>48</v>
      </c>
      <c r="O341" s="12" t="s">
        <v>1531</v>
      </c>
      <c r="P341" s="6" t="s">
        <v>1532</v>
      </c>
      <c r="Q341" s="9" t="s">
        <v>1533</v>
      </c>
      <c r="R341" s="13">
        <v>1</v>
      </c>
      <c r="S341" s="9" t="s">
        <v>92</v>
      </c>
      <c r="T341" s="9" t="s">
        <v>53</v>
      </c>
      <c r="U341" s="9" t="s">
        <v>54</v>
      </c>
      <c r="V341" s="9" t="s">
        <v>55</v>
      </c>
      <c r="W341" s="9"/>
      <c r="X341" s="9"/>
      <c r="Y341" s="13">
        <v>100.27</v>
      </c>
      <c r="Z341" s="13">
        <v>1</v>
      </c>
      <c r="AA341" s="9"/>
      <c r="AB341" s="9"/>
      <c r="AC341" s="9"/>
      <c r="AD341" s="9"/>
      <c r="AE341" s="9"/>
      <c r="AF341" s="13">
        <v>100.27</v>
      </c>
      <c r="AG341" s="9"/>
      <c r="AH341" s="9"/>
      <c r="AI341" s="9">
        <v>1</v>
      </c>
      <c r="AJ341" s="9">
        <v>1</v>
      </c>
      <c r="AK341" s="14">
        <f t="shared" si="1"/>
        <v>1</v>
      </c>
      <c r="AL341" s="9"/>
      <c r="AM341" s="9"/>
      <c r="AN341" s="9"/>
      <c r="AO341" s="6"/>
      <c r="AP341" s="9"/>
      <c r="AQ341" s="9"/>
      <c r="AR341" s="9"/>
      <c r="AS341" s="9"/>
      <c r="AT341" s="9"/>
      <c r="AU341" s="9"/>
      <c r="AV341" s="9"/>
      <c r="AW341" s="9"/>
      <c r="AX341" s="9"/>
      <c r="AY341" s="9"/>
      <c r="AZ341" s="9"/>
      <c r="BA341" s="9"/>
      <c r="BB341" s="9"/>
      <c r="BC341" s="9"/>
      <c r="BD341" s="9"/>
      <c r="BE341" s="9"/>
      <c r="BF341" s="9"/>
      <c r="BG341" s="9"/>
      <c r="BH341" s="9"/>
    </row>
    <row r="342" spans="1:60" ht="12.5" hidden="1">
      <c r="A342" s="6" t="s">
        <v>1534</v>
      </c>
      <c r="B342" s="16">
        <v>45629</v>
      </c>
      <c r="C342" s="8">
        <v>45633</v>
      </c>
      <c r="D342" s="9" t="s">
        <v>41</v>
      </c>
      <c r="E342" s="9" t="s">
        <v>1535</v>
      </c>
      <c r="F342" s="9"/>
      <c r="G342" s="9" t="s">
        <v>43</v>
      </c>
      <c r="H342" s="10">
        <v>13.9</v>
      </c>
      <c r="I342" s="9" t="s">
        <v>44</v>
      </c>
      <c r="J342" s="9" t="s">
        <v>45</v>
      </c>
      <c r="K342" s="9" t="s">
        <v>1536</v>
      </c>
      <c r="L342" s="11" t="s">
        <v>58</v>
      </c>
      <c r="M342" s="9" t="s">
        <v>48</v>
      </c>
      <c r="N342" s="9" t="s">
        <v>48</v>
      </c>
      <c r="O342" s="12" t="s">
        <v>1537</v>
      </c>
      <c r="P342" s="6" t="s">
        <v>1538</v>
      </c>
      <c r="Q342" s="9" t="s">
        <v>1539</v>
      </c>
      <c r="R342" s="13">
        <v>1</v>
      </c>
      <c r="S342" s="9" t="s">
        <v>75</v>
      </c>
      <c r="T342" s="9" t="s">
        <v>53</v>
      </c>
      <c r="U342" s="9" t="s">
        <v>54</v>
      </c>
      <c r="V342" s="9" t="s">
        <v>55</v>
      </c>
      <c r="W342" s="9"/>
      <c r="X342" s="9"/>
      <c r="Y342" s="13">
        <v>109.81</v>
      </c>
      <c r="Z342" s="13">
        <v>1</v>
      </c>
      <c r="AA342" s="9"/>
      <c r="AB342" s="9"/>
      <c r="AC342" s="9"/>
      <c r="AD342" s="9"/>
      <c r="AE342" s="9"/>
      <c r="AF342" s="13">
        <v>95.91</v>
      </c>
      <c r="AG342" s="9"/>
      <c r="AH342" s="9"/>
      <c r="AI342" s="9">
        <v>2</v>
      </c>
      <c r="AJ342" s="9">
        <v>1</v>
      </c>
      <c r="AK342" s="14">
        <f t="shared" si="1"/>
        <v>2</v>
      </c>
      <c r="AL342" s="9"/>
      <c r="AM342" s="9"/>
      <c r="AN342" s="9"/>
      <c r="AO342" s="6"/>
      <c r="AP342" s="9"/>
      <c r="AQ342" s="9"/>
      <c r="AR342" s="9"/>
      <c r="AS342" s="9"/>
      <c r="AT342" s="9"/>
      <c r="AU342" s="9"/>
      <c r="AV342" s="9"/>
      <c r="AW342" s="9"/>
      <c r="AX342" s="9"/>
      <c r="AY342" s="9"/>
      <c r="AZ342" s="9"/>
      <c r="BA342" s="9"/>
      <c r="BB342" s="9"/>
      <c r="BC342" s="9"/>
      <c r="BD342" s="9"/>
      <c r="BE342" s="9"/>
      <c r="BF342" s="9"/>
      <c r="BG342" s="9"/>
      <c r="BH342" s="9"/>
    </row>
    <row r="343" spans="1:60" ht="12.5" hidden="1">
      <c r="A343" s="6" t="s">
        <v>1540</v>
      </c>
      <c r="B343" s="16">
        <v>45620</v>
      </c>
      <c r="C343" s="8">
        <v>45629</v>
      </c>
      <c r="D343" s="9" t="s">
        <v>41</v>
      </c>
      <c r="E343" s="9" t="s">
        <v>1541</v>
      </c>
      <c r="F343" s="9"/>
      <c r="G343" s="9" t="s">
        <v>43</v>
      </c>
      <c r="H343" s="10">
        <v>13.9</v>
      </c>
      <c r="I343" s="9" t="s">
        <v>44</v>
      </c>
      <c r="J343" s="9" t="s">
        <v>45</v>
      </c>
      <c r="K343" s="9" t="s">
        <v>1542</v>
      </c>
      <c r="L343" s="11" t="s">
        <v>58</v>
      </c>
      <c r="M343" s="9" t="s">
        <v>48</v>
      </c>
      <c r="N343" s="9" t="s">
        <v>48</v>
      </c>
      <c r="O343" s="12" t="s">
        <v>1537</v>
      </c>
      <c r="P343" s="6" t="s">
        <v>1538</v>
      </c>
      <c r="Q343" s="9" t="s">
        <v>1539</v>
      </c>
      <c r="R343" s="13">
        <v>1</v>
      </c>
      <c r="S343" s="9" t="s">
        <v>75</v>
      </c>
      <c r="T343" s="9" t="s">
        <v>53</v>
      </c>
      <c r="U343" s="9" t="s">
        <v>54</v>
      </c>
      <c r="V343" s="9" t="s">
        <v>55</v>
      </c>
      <c r="W343" s="9"/>
      <c r="X343" s="9"/>
      <c r="Y343" s="13">
        <v>112.25</v>
      </c>
      <c r="Z343" s="13">
        <v>1</v>
      </c>
      <c r="AA343" s="9"/>
      <c r="AB343" s="9"/>
      <c r="AC343" s="9"/>
      <c r="AD343" s="9"/>
      <c r="AE343" s="9"/>
      <c r="AF343" s="13">
        <v>98.35</v>
      </c>
      <c r="AG343" s="9"/>
      <c r="AH343" s="9"/>
      <c r="AI343" s="9"/>
      <c r="AJ343" s="9"/>
      <c r="AK343" s="14" t="e">
        <f t="shared" si="1"/>
        <v>#DIV/0!</v>
      </c>
      <c r="AL343" s="9"/>
      <c r="AM343" s="9"/>
      <c r="AN343" s="9"/>
      <c r="AO343" s="6"/>
      <c r="AP343" s="9"/>
      <c r="AQ343" s="9"/>
      <c r="AR343" s="9"/>
      <c r="AS343" s="9"/>
      <c r="AT343" s="9"/>
      <c r="AU343" s="9"/>
      <c r="AV343" s="9"/>
      <c r="AW343" s="9"/>
      <c r="AX343" s="9"/>
      <c r="AY343" s="9"/>
      <c r="AZ343" s="9"/>
      <c r="BA343" s="9"/>
      <c r="BB343" s="9"/>
      <c r="BC343" s="9"/>
      <c r="BD343" s="9"/>
      <c r="BE343" s="9"/>
      <c r="BF343" s="9"/>
      <c r="BG343" s="9"/>
      <c r="BH343" s="9"/>
    </row>
    <row r="344" spans="1:60" ht="12.5" hidden="1">
      <c r="A344" s="6" t="s">
        <v>1543</v>
      </c>
      <c r="B344" s="16">
        <v>45633</v>
      </c>
      <c r="C344" s="8">
        <v>45642</v>
      </c>
      <c r="D344" s="9" t="s">
        <v>41</v>
      </c>
      <c r="E344" s="9" t="s">
        <v>1544</v>
      </c>
      <c r="F344" s="9"/>
      <c r="G344" s="9" t="s">
        <v>43</v>
      </c>
      <c r="H344" s="10">
        <v>11.74</v>
      </c>
      <c r="I344" s="9" t="s">
        <v>44</v>
      </c>
      <c r="J344" s="9" t="s">
        <v>45</v>
      </c>
      <c r="K344" s="9" t="s">
        <v>1545</v>
      </c>
      <c r="L344" s="11" t="s">
        <v>47</v>
      </c>
      <c r="M344" s="9" t="s">
        <v>48</v>
      </c>
      <c r="N344" s="9" t="s">
        <v>48</v>
      </c>
      <c r="O344" s="12" t="s">
        <v>1546</v>
      </c>
      <c r="P344" s="6" t="s">
        <v>1547</v>
      </c>
      <c r="Q344" s="9" t="s">
        <v>1548</v>
      </c>
      <c r="R344" s="13">
        <v>1</v>
      </c>
      <c r="S344" s="9" t="s">
        <v>92</v>
      </c>
      <c r="T344" s="9" t="s">
        <v>53</v>
      </c>
      <c r="U344" s="9" t="s">
        <v>54</v>
      </c>
      <c r="V344" s="9" t="s">
        <v>55</v>
      </c>
      <c r="W344" s="9"/>
      <c r="X344" s="9"/>
      <c r="Y344" s="13">
        <v>124.43</v>
      </c>
      <c r="Z344" s="13">
        <v>1</v>
      </c>
      <c r="AA344" s="9"/>
      <c r="AB344" s="9"/>
      <c r="AC344" s="9"/>
      <c r="AD344" s="9"/>
      <c r="AE344" s="9"/>
      <c r="AF344" s="13">
        <v>124.43</v>
      </c>
      <c r="AG344" s="9"/>
      <c r="AH344" s="9"/>
      <c r="AI344" s="9">
        <v>1</v>
      </c>
      <c r="AJ344" s="9">
        <v>2</v>
      </c>
      <c r="AK344" s="14">
        <f t="shared" si="1"/>
        <v>0.5</v>
      </c>
      <c r="AL344" s="9"/>
      <c r="AM344" s="9"/>
      <c r="AN344" s="9"/>
      <c r="AO344" s="6"/>
      <c r="AP344" s="9"/>
      <c r="AQ344" s="9"/>
      <c r="AR344" s="9"/>
      <c r="AS344" s="9"/>
      <c r="AT344" s="9"/>
      <c r="AU344" s="9"/>
      <c r="AV344" s="9"/>
      <c r="AW344" s="9"/>
      <c r="AX344" s="9"/>
      <c r="AY344" s="9"/>
      <c r="AZ344" s="9"/>
      <c r="BA344" s="9"/>
      <c r="BB344" s="9"/>
      <c r="BC344" s="9"/>
      <c r="BD344" s="9"/>
      <c r="BE344" s="9"/>
      <c r="BF344" s="9"/>
      <c r="BG344" s="9"/>
      <c r="BH344" s="9"/>
    </row>
    <row r="345" spans="1:60" ht="12.5" hidden="1">
      <c r="A345" s="6" t="s">
        <v>1549</v>
      </c>
      <c r="B345" s="16">
        <v>45625</v>
      </c>
      <c r="C345" s="8">
        <v>45654</v>
      </c>
      <c r="D345" s="9" t="s">
        <v>41</v>
      </c>
      <c r="E345" s="9" t="s">
        <v>1550</v>
      </c>
      <c r="F345" s="9"/>
      <c r="G345" s="9" t="s">
        <v>43</v>
      </c>
      <c r="H345" s="10">
        <v>16.670000000000002</v>
      </c>
      <c r="I345" s="9" t="s">
        <v>44</v>
      </c>
      <c r="J345" s="9" t="s">
        <v>45</v>
      </c>
      <c r="K345" s="9" t="s">
        <v>1551</v>
      </c>
      <c r="L345" s="11" t="s">
        <v>47</v>
      </c>
      <c r="M345" s="9" t="s">
        <v>48</v>
      </c>
      <c r="N345" s="9" t="s">
        <v>48</v>
      </c>
      <c r="O345" s="12" t="s">
        <v>773</v>
      </c>
      <c r="P345" s="6" t="s">
        <v>774</v>
      </c>
      <c r="Q345" s="9" t="s">
        <v>775</v>
      </c>
      <c r="R345" s="13">
        <v>1</v>
      </c>
      <c r="S345" s="9" t="s">
        <v>99</v>
      </c>
      <c r="T345" s="9" t="s">
        <v>53</v>
      </c>
      <c r="U345" s="9" t="s">
        <v>54</v>
      </c>
      <c r="V345" s="9" t="s">
        <v>61</v>
      </c>
      <c r="W345" s="9"/>
      <c r="X345" s="9"/>
      <c r="Y345" s="13">
        <v>120.98</v>
      </c>
      <c r="Z345" s="13">
        <v>1</v>
      </c>
      <c r="AA345" s="9"/>
      <c r="AB345" s="9"/>
      <c r="AC345" s="9"/>
      <c r="AD345" s="9"/>
      <c r="AE345" s="9"/>
      <c r="AF345" s="9"/>
      <c r="AG345" s="9"/>
      <c r="AH345" s="9"/>
      <c r="AI345" s="9">
        <v>1</v>
      </c>
      <c r="AJ345" s="9">
        <v>0</v>
      </c>
      <c r="AK345" s="14" t="e">
        <f t="shared" si="1"/>
        <v>#DIV/0!</v>
      </c>
      <c r="AL345" s="9"/>
      <c r="AM345" s="9"/>
      <c r="AN345" s="9"/>
      <c r="AO345" s="6"/>
      <c r="AP345" s="9"/>
      <c r="AQ345" s="9"/>
      <c r="AR345" s="9"/>
      <c r="AS345" s="9"/>
      <c r="AT345" s="9"/>
      <c r="AU345" s="9"/>
      <c r="AV345" s="9"/>
      <c r="AW345" s="9"/>
      <c r="AX345" s="9"/>
      <c r="AY345" s="9"/>
      <c r="AZ345" s="9"/>
      <c r="BA345" s="9"/>
      <c r="BB345" s="9"/>
      <c r="BC345" s="9"/>
      <c r="BD345" s="9"/>
      <c r="BE345" s="9"/>
      <c r="BF345" s="9"/>
      <c r="BG345" s="9"/>
      <c r="BH345" s="9"/>
    </row>
    <row r="346" spans="1:60" ht="12.5" hidden="1">
      <c r="A346" s="6" t="s">
        <v>1552</v>
      </c>
      <c r="B346" s="16">
        <v>45619</v>
      </c>
      <c r="C346" s="8">
        <v>45649</v>
      </c>
      <c r="D346" s="9" t="s">
        <v>41</v>
      </c>
      <c r="E346" s="9" t="s">
        <v>1553</v>
      </c>
      <c r="F346" s="9"/>
      <c r="G346" s="9" t="s">
        <v>43</v>
      </c>
      <c r="H346" s="10">
        <v>11.74</v>
      </c>
      <c r="I346" s="9" t="s">
        <v>44</v>
      </c>
      <c r="J346" s="9" t="s">
        <v>45</v>
      </c>
      <c r="K346" s="9" t="s">
        <v>1554</v>
      </c>
      <c r="L346" s="11" t="s">
        <v>58</v>
      </c>
      <c r="M346" s="9" t="s">
        <v>48</v>
      </c>
      <c r="N346" s="9" t="s">
        <v>48</v>
      </c>
      <c r="O346" s="12" t="s">
        <v>1555</v>
      </c>
      <c r="P346" s="6" t="s">
        <v>1556</v>
      </c>
      <c r="Q346" s="9" t="s">
        <v>1557</v>
      </c>
      <c r="R346" s="13">
        <v>1</v>
      </c>
      <c r="S346" s="9" t="s">
        <v>75</v>
      </c>
      <c r="T346" s="9" t="s">
        <v>53</v>
      </c>
      <c r="U346" s="9" t="s">
        <v>54</v>
      </c>
      <c r="V346" s="9" t="s">
        <v>55</v>
      </c>
      <c r="W346" s="9"/>
      <c r="X346" s="9"/>
      <c r="Y346" s="13">
        <v>95.33</v>
      </c>
      <c r="Z346" s="13">
        <v>1</v>
      </c>
      <c r="AA346" s="9"/>
      <c r="AB346" s="9"/>
      <c r="AC346" s="9"/>
      <c r="AD346" s="9"/>
      <c r="AE346" s="9"/>
      <c r="AF346" s="13">
        <v>83.59</v>
      </c>
      <c r="AG346" s="9"/>
      <c r="AH346" s="9"/>
      <c r="AI346" s="9">
        <v>1</v>
      </c>
      <c r="AJ346" s="9">
        <v>1</v>
      </c>
      <c r="AK346" s="14">
        <f t="shared" si="1"/>
        <v>1</v>
      </c>
      <c r="AL346" s="9"/>
      <c r="AM346" s="9"/>
      <c r="AN346" s="9"/>
      <c r="AO346" s="6"/>
      <c r="AP346" s="9"/>
      <c r="AQ346" s="9"/>
      <c r="AR346" s="9"/>
      <c r="AS346" s="9"/>
      <c r="AT346" s="9"/>
      <c r="AU346" s="9"/>
      <c r="AV346" s="9"/>
      <c r="AW346" s="9"/>
      <c r="AX346" s="9"/>
      <c r="AY346" s="9"/>
      <c r="AZ346" s="9"/>
      <c r="BA346" s="9"/>
      <c r="BB346" s="9"/>
      <c r="BC346" s="9"/>
      <c r="BD346" s="9"/>
      <c r="BE346" s="9"/>
      <c r="BF346" s="9"/>
      <c r="BG346" s="9"/>
      <c r="BH346" s="9"/>
    </row>
    <row r="347" spans="1:60" ht="12.5" hidden="1">
      <c r="A347" s="6" t="s">
        <v>1558</v>
      </c>
      <c r="B347" s="16">
        <v>45644</v>
      </c>
      <c r="C347" s="8">
        <v>45653</v>
      </c>
      <c r="D347" s="9" t="s">
        <v>41</v>
      </c>
      <c r="E347" s="9" t="s">
        <v>1559</v>
      </c>
      <c r="F347" s="9"/>
      <c r="G347" s="9" t="s">
        <v>137</v>
      </c>
      <c r="H347" s="10">
        <v>0</v>
      </c>
      <c r="I347" s="9"/>
      <c r="J347" s="9"/>
      <c r="K347" s="9"/>
      <c r="L347" s="11" t="s">
        <v>58</v>
      </c>
      <c r="M347" s="9" t="s">
        <v>48</v>
      </c>
      <c r="N347" s="9" t="s">
        <v>48</v>
      </c>
      <c r="O347" s="12" t="s">
        <v>1560</v>
      </c>
      <c r="P347" s="6" t="s">
        <v>1561</v>
      </c>
      <c r="Q347" s="9" t="s">
        <v>1562</v>
      </c>
      <c r="R347" s="13">
        <v>1</v>
      </c>
      <c r="S347" s="9" t="s">
        <v>75</v>
      </c>
      <c r="T347" s="9" t="s">
        <v>53</v>
      </c>
      <c r="U347" s="9" t="s">
        <v>54</v>
      </c>
      <c r="V347" s="9" t="s">
        <v>61</v>
      </c>
      <c r="W347" s="9"/>
      <c r="X347" s="9"/>
      <c r="Y347" s="13">
        <v>135.24</v>
      </c>
      <c r="Z347" s="13">
        <v>1</v>
      </c>
      <c r="AA347" s="9"/>
      <c r="AB347" s="9"/>
      <c r="AC347" s="9"/>
      <c r="AD347" s="9"/>
      <c r="AE347" s="9"/>
      <c r="AF347" s="9"/>
      <c r="AG347" s="9"/>
      <c r="AH347" s="9"/>
      <c r="AI347" s="9">
        <v>1</v>
      </c>
      <c r="AJ347" s="9">
        <v>8</v>
      </c>
      <c r="AK347" s="14">
        <f t="shared" si="1"/>
        <v>0.125</v>
      </c>
      <c r="AL347" s="9"/>
      <c r="AM347" s="9"/>
      <c r="AN347" s="9"/>
      <c r="AO347" s="6"/>
      <c r="AP347" s="9"/>
      <c r="AQ347" s="9"/>
      <c r="AR347" s="9"/>
      <c r="AS347" s="9"/>
      <c r="AT347" s="9"/>
      <c r="AU347" s="9"/>
      <c r="AV347" s="9"/>
      <c r="AW347" s="9"/>
      <c r="AX347" s="9"/>
      <c r="AY347" s="9"/>
      <c r="AZ347" s="9"/>
      <c r="BA347" s="9"/>
      <c r="BB347" s="9"/>
      <c r="BC347" s="9"/>
      <c r="BD347" s="9"/>
      <c r="BE347" s="9"/>
      <c r="BF347" s="9"/>
      <c r="BG347" s="9"/>
      <c r="BH347" s="9"/>
    </row>
    <row r="348" spans="1:60" ht="12.5" hidden="1">
      <c r="A348" s="6" t="s">
        <v>1563</v>
      </c>
      <c r="B348" s="16">
        <v>45642</v>
      </c>
      <c r="C348" s="8">
        <v>45654</v>
      </c>
      <c r="D348" s="9" t="s">
        <v>41</v>
      </c>
      <c r="E348" s="9" t="s">
        <v>1564</v>
      </c>
      <c r="F348" s="9"/>
      <c r="G348" s="9" t="s">
        <v>43</v>
      </c>
      <c r="H348" s="10">
        <v>16.309999999999999</v>
      </c>
      <c r="I348" s="9" t="s">
        <v>44</v>
      </c>
      <c r="J348" s="9" t="s">
        <v>45</v>
      </c>
      <c r="K348" s="9" t="s">
        <v>1565</v>
      </c>
      <c r="L348" s="11" t="s">
        <v>47</v>
      </c>
      <c r="M348" s="9" t="s">
        <v>48</v>
      </c>
      <c r="N348" s="9" t="s">
        <v>48</v>
      </c>
      <c r="O348" s="12" t="s">
        <v>1566</v>
      </c>
      <c r="P348" s="6" t="s">
        <v>1567</v>
      </c>
      <c r="Q348" s="9" t="s">
        <v>1568</v>
      </c>
      <c r="R348" s="13">
        <v>1</v>
      </c>
      <c r="S348" s="9" t="s">
        <v>856</v>
      </c>
      <c r="T348" s="9" t="s">
        <v>53</v>
      </c>
      <c r="U348" s="9" t="s">
        <v>54</v>
      </c>
      <c r="V348" s="9" t="s">
        <v>55</v>
      </c>
      <c r="W348" s="9"/>
      <c r="X348" s="9"/>
      <c r="Y348" s="13">
        <v>89.48</v>
      </c>
      <c r="Z348" s="13">
        <v>1</v>
      </c>
      <c r="AA348" s="9"/>
      <c r="AB348" s="9"/>
      <c r="AC348" s="9"/>
      <c r="AD348" s="9"/>
      <c r="AE348" s="9"/>
      <c r="AF348" s="13">
        <v>89.48</v>
      </c>
      <c r="AG348" s="9"/>
      <c r="AH348" s="9"/>
      <c r="AI348" s="9">
        <v>1</v>
      </c>
      <c r="AJ348" s="9">
        <v>2</v>
      </c>
      <c r="AK348" s="14">
        <f t="shared" si="1"/>
        <v>0.5</v>
      </c>
      <c r="AL348" s="9"/>
      <c r="AM348" s="9"/>
      <c r="AN348" s="9"/>
      <c r="AO348" s="6"/>
      <c r="AP348" s="9"/>
      <c r="AQ348" s="9"/>
      <c r="AR348" s="9"/>
      <c r="AS348" s="9"/>
      <c r="AT348" s="9"/>
      <c r="AU348" s="9"/>
      <c r="AV348" s="9"/>
      <c r="AW348" s="9"/>
      <c r="AX348" s="9"/>
      <c r="AY348" s="9"/>
      <c r="AZ348" s="9"/>
      <c r="BA348" s="9"/>
      <c r="BB348" s="9"/>
      <c r="BC348" s="9"/>
      <c r="BD348" s="9"/>
      <c r="BE348" s="9"/>
      <c r="BF348" s="9"/>
      <c r="BG348" s="9"/>
      <c r="BH348" s="9"/>
    </row>
    <row r="349" spans="1:60" ht="12.5" hidden="1">
      <c r="A349" s="6" t="s">
        <v>1569</v>
      </c>
      <c r="B349" s="16">
        <v>45633</v>
      </c>
      <c r="C349" s="8">
        <v>45639</v>
      </c>
      <c r="D349" s="9" t="s">
        <v>41</v>
      </c>
      <c r="E349" s="9" t="s">
        <v>1570</v>
      </c>
      <c r="F349" s="9"/>
      <c r="G349" s="9" t="s">
        <v>43</v>
      </c>
      <c r="H349" s="10">
        <v>19.36</v>
      </c>
      <c r="I349" s="9" t="s">
        <v>44</v>
      </c>
      <c r="J349" s="9" t="s">
        <v>45</v>
      </c>
      <c r="K349" s="9" t="s">
        <v>1571</v>
      </c>
      <c r="L349" s="11" t="s">
        <v>47</v>
      </c>
      <c r="M349" s="9" t="s">
        <v>48</v>
      </c>
      <c r="N349" s="9" t="s">
        <v>48</v>
      </c>
      <c r="O349" s="12" t="s">
        <v>1572</v>
      </c>
      <c r="P349" s="6" t="s">
        <v>1573</v>
      </c>
      <c r="Q349" s="9" t="s">
        <v>1574</v>
      </c>
      <c r="R349" s="13">
        <v>1</v>
      </c>
      <c r="S349" s="9" t="s">
        <v>92</v>
      </c>
      <c r="T349" s="9" t="s">
        <v>53</v>
      </c>
      <c r="U349" s="9" t="s">
        <v>54</v>
      </c>
      <c r="V349" s="9" t="s">
        <v>240</v>
      </c>
      <c r="W349" s="9"/>
      <c r="X349" s="9"/>
      <c r="Y349" s="13">
        <v>119.34</v>
      </c>
      <c r="Z349" s="13">
        <v>1</v>
      </c>
      <c r="AA349" s="9"/>
      <c r="AB349" s="9"/>
      <c r="AC349" s="9"/>
      <c r="AD349" s="9"/>
      <c r="AE349" s="9"/>
      <c r="AF349" s="13">
        <v>119.34</v>
      </c>
      <c r="AG349" s="9"/>
      <c r="AH349" s="9"/>
      <c r="AI349" s="9">
        <v>1</v>
      </c>
      <c r="AJ349" s="9">
        <v>1</v>
      </c>
      <c r="AK349" s="14">
        <f t="shared" si="1"/>
        <v>1</v>
      </c>
      <c r="AL349" s="9"/>
      <c r="AM349" s="9"/>
      <c r="AN349" s="9"/>
      <c r="AO349" s="6"/>
      <c r="AP349" s="9"/>
      <c r="AQ349" s="9"/>
      <c r="AR349" s="9"/>
      <c r="AS349" s="9"/>
      <c r="AT349" s="9"/>
      <c r="AU349" s="9"/>
      <c r="AV349" s="9"/>
      <c r="AW349" s="9"/>
      <c r="AX349" s="9"/>
      <c r="AY349" s="9"/>
      <c r="AZ349" s="9"/>
      <c r="BA349" s="9"/>
      <c r="BB349" s="9"/>
      <c r="BC349" s="9"/>
      <c r="BD349" s="9"/>
      <c r="BE349" s="9"/>
      <c r="BF349" s="9"/>
      <c r="BG349" s="9"/>
      <c r="BH349" s="9"/>
    </row>
    <row r="350" spans="1:60" ht="12.5" hidden="1">
      <c r="A350" s="6" t="s">
        <v>1575</v>
      </c>
      <c r="B350" s="16">
        <v>45648</v>
      </c>
      <c r="C350" s="8">
        <v>45656</v>
      </c>
      <c r="D350" s="9" t="s">
        <v>41</v>
      </c>
      <c r="E350" s="9" t="s">
        <v>1576</v>
      </c>
      <c r="F350" s="9"/>
      <c r="G350" s="9" t="s">
        <v>43</v>
      </c>
      <c r="H350" s="10">
        <v>14.83</v>
      </c>
      <c r="I350" s="9" t="s">
        <v>44</v>
      </c>
      <c r="J350" s="9" t="s">
        <v>45</v>
      </c>
      <c r="K350" s="9" t="s">
        <v>1577</v>
      </c>
      <c r="L350" s="11" t="s">
        <v>47</v>
      </c>
      <c r="M350" s="9" t="s">
        <v>48</v>
      </c>
      <c r="N350" s="9" t="s">
        <v>48</v>
      </c>
      <c r="O350" s="12" t="s">
        <v>827</v>
      </c>
      <c r="P350" s="6" t="s">
        <v>828</v>
      </c>
      <c r="Q350" s="9" t="s">
        <v>829</v>
      </c>
      <c r="R350" s="13">
        <v>1</v>
      </c>
      <c r="S350" s="9" t="s">
        <v>99</v>
      </c>
      <c r="T350" s="9" t="s">
        <v>53</v>
      </c>
      <c r="U350" s="9" t="s">
        <v>54</v>
      </c>
      <c r="V350" s="9" t="s">
        <v>55</v>
      </c>
      <c r="W350" s="9"/>
      <c r="X350" s="9"/>
      <c r="Y350" s="13">
        <v>102.45</v>
      </c>
      <c r="Z350" s="13">
        <v>1</v>
      </c>
      <c r="AA350" s="9"/>
      <c r="AB350" s="9"/>
      <c r="AC350" s="9"/>
      <c r="AD350" s="9"/>
      <c r="AE350" s="9"/>
      <c r="AF350" s="13">
        <v>102.45</v>
      </c>
      <c r="AG350" s="9"/>
      <c r="AH350" s="9"/>
      <c r="AI350" s="9">
        <v>1</v>
      </c>
      <c r="AJ350" s="9">
        <v>11</v>
      </c>
      <c r="AK350" s="14">
        <f t="shared" si="1"/>
        <v>9.0909090909090912E-2</v>
      </c>
      <c r="AL350" s="9"/>
      <c r="AM350" s="9"/>
      <c r="AN350" s="9"/>
      <c r="AO350" s="6"/>
      <c r="AP350" s="9"/>
      <c r="AQ350" s="9"/>
      <c r="AR350" s="9"/>
      <c r="AS350" s="9"/>
      <c r="AT350" s="9"/>
      <c r="AU350" s="9"/>
      <c r="AV350" s="9"/>
      <c r="AW350" s="9"/>
      <c r="AX350" s="9"/>
      <c r="AY350" s="9"/>
      <c r="AZ350" s="9"/>
      <c r="BA350" s="9"/>
      <c r="BB350" s="9"/>
      <c r="BC350" s="9"/>
      <c r="BD350" s="9"/>
      <c r="BE350" s="9"/>
      <c r="BF350" s="9"/>
      <c r="BG350" s="9"/>
      <c r="BH350" s="9"/>
    </row>
    <row r="351" spans="1:60" ht="12.5" hidden="1">
      <c r="A351" s="6" t="s">
        <v>1578</v>
      </c>
      <c r="B351" s="16">
        <v>45630</v>
      </c>
      <c r="C351" s="8">
        <v>45635</v>
      </c>
      <c r="D351" s="9" t="s">
        <v>41</v>
      </c>
      <c r="E351" s="9" t="s">
        <v>1579</v>
      </c>
      <c r="F351" s="9"/>
      <c r="G351" s="9" t="s">
        <v>43</v>
      </c>
      <c r="H351" s="10">
        <v>17.690000000000001</v>
      </c>
      <c r="I351" s="9" t="s">
        <v>44</v>
      </c>
      <c r="J351" s="9" t="s">
        <v>45</v>
      </c>
      <c r="K351" s="9" t="s">
        <v>1580</v>
      </c>
      <c r="L351" s="11" t="s">
        <v>47</v>
      </c>
      <c r="M351" s="9" t="s">
        <v>48</v>
      </c>
      <c r="N351" s="9" t="s">
        <v>48</v>
      </c>
      <c r="O351" s="12" t="s">
        <v>836</v>
      </c>
      <c r="P351" s="6" t="s">
        <v>837</v>
      </c>
      <c r="Q351" s="9" t="s">
        <v>838</v>
      </c>
      <c r="R351" s="13">
        <v>2</v>
      </c>
      <c r="S351" s="9" t="s">
        <v>52</v>
      </c>
      <c r="T351" s="9" t="s">
        <v>53</v>
      </c>
      <c r="U351" s="9" t="s">
        <v>54</v>
      </c>
      <c r="V351" s="9" t="s">
        <v>61</v>
      </c>
      <c r="W351" s="9"/>
      <c r="X351" s="9"/>
      <c r="Y351" s="13">
        <v>189.66</v>
      </c>
      <c r="Z351" s="13">
        <v>2</v>
      </c>
      <c r="AA351" s="9"/>
      <c r="AB351" s="9"/>
      <c r="AC351" s="9"/>
      <c r="AD351" s="9"/>
      <c r="AE351" s="9"/>
      <c r="AF351" s="9"/>
      <c r="AG351" s="9"/>
      <c r="AH351" s="9"/>
      <c r="AI351" s="9">
        <v>1</v>
      </c>
      <c r="AJ351" s="9">
        <v>2</v>
      </c>
      <c r="AK351" s="14">
        <f t="shared" si="1"/>
        <v>0.5</v>
      </c>
      <c r="AL351" s="9"/>
      <c r="AM351" s="9"/>
      <c r="AN351" s="9"/>
      <c r="AO351" s="6"/>
      <c r="AP351" s="9"/>
      <c r="AQ351" s="9"/>
      <c r="AR351" s="9"/>
      <c r="AS351" s="9"/>
      <c r="AT351" s="9"/>
      <c r="AU351" s="9"/>
      <c r="AV351" s="9"/>
      <c r="AW351" s="9"/>
      <c r="AX351" s="9"/>
      <c r="AY351" s="9"/>
      <c r="AZ351" s="9"/>
      <c r="BA351" s="9"/>
      <c r="BB351" s="9"/>
      <c r="BC351" s="9"/>
      <c r="BD351" s="9"/>
      <c r="BE351" s="9"/>
      <c r="BF351" s="9"/>
      <c r="BG351" s="9"/>
      <c r="BH351" s="9"/>
    </row>
    <row r="352" spans="1:60" ht="12.5" hidden="1">
      <c r="A352" s="6" t="s">
        <v>1581</v>
      </c>
      <c r="B352" s="16">
        <v>45635</v>
      </c>
      <c r="C352" s="8">
        <v>45656</v>
      </c>
      <c r="D352" s="9" t="s">
        <v>41</v>
      </c>
      <c r="E352" s="9" t="s">
        <v>1582</v>
      </c>
      <c r="F352" s="9"/>
      <c r="G352" s="9" t="s">
        <v>43</v>
      </c>
      <c r="H352" s="10">
        <v>14.83</v>
      </c>
      <c r="I352" s="9" t="s">
        <v>44</v>
      </c>
      <c r="J352" s="9" t="s">
        <v>45</v>
      </c>
      <c r="K352" s="9" t="s">
        <v>1583</v>
      </c>
      <c r="L352" s="11" t="s">
        <v>47</v>
      </c>
      <c r="M352" s="9" t="s">
        <v>48</v>
      </c>
      <c r="N352" s="9" t="s">
        <v>48</v>
      </c>
      <c r="O352" s="12" t="s">
        <v>1584</v>
      </c>
      <c r="P352" s="6" t="s">
        <v>1585</v>
      </c>
      <c r="Q352" s="9" t="s">
        <v>1586</v>
      </c>
      <c r="R352" s="13">
        <v>1</v>
      </c>
      <c r="S352" s="9" t="s">
        <v>92</v>
      </c>
      <c r="T352" s="9" t="s">
        <v>53</v>
      </c>
      <c r="U352" s="9" t="s">
        <v>54</v>
      </c>
      <c r="V352" s="9" t="s">
        <v>61</v>
      </c>
      <c r="W352" s="9"/>
      <c r="X352" s="9"/>
      <c r="Y352" s="13">
        <v>98.74</v>
      </c>
      <c r="Z352" s="13">
        <v>1</v>
      </c>
      <c r="AA352" s="9"/>
      <c r="AB352" s="9"/>
      <c r="AC352" s="9"/>
      <c r="AD352" s="9"/>
      <c r="AE352" s="9"/>
      <c r="AF352" s="9"/>
      <c r="AG352" s="9"/>
      <c r="AH352" s="9"/>
      <c r="AI352" s="9">
        <v>4</v>
      </c>
      <c r="AJ352" s="9">
        <v>5</v>
      </c>
      <c r="AK352" s="14">
        <f t="shared" si="1"/>
        <v>0.8</v>
      </c>
      <c r="AL352" s="9"/>
      <c r="AM352" s="9"/>
      <c r="AN352" s="9"/>
      <c r="AO352" s="6"/>
      <c r="AP352" s="9"/>
      <c r="AQ352" s="9"/>
      <c r="AR352" s="9"/>
      <c r="AS352" s="9"/>
      <c r="AT352" s="9"/>
      <c r="AU352" s="9"/>
      <c r="AV352" s="9"/>
      <c r="AW352" s="9"/>
      <c r="AX352" s="9"/>
      <c r="AY352" s="9"/>
      <c r="AZ352" s="9"/>
      <c r="BA352" s="9"/>
      <c r="BB352" s="9"/>
      <c r="BC352" s="9"/>
      <c r="BD352" s="9"/>
      <c r="BE352" s="9"/>
      <c r="BF352" s="9"/>
      <c r="BG352" s="9"/>
      <c r="BH352" s="9"/>
    </row>
    <row r="353" spans="1:60" ht="12.5" hidden="1">
      <c r="A353" s="6" t="s">
        <v>1587</v>
      </c>
      <c r="B353" s="16">
        <v>45640</v>
      </c>
      <c r="C353" s="8">
        <v>45656</v>
      </c>
      <c r="D353" s="9" t="s">
        <v>41</v>
      </c>
      <c r="E353" s="9" t="s">
        <v>1588</v>
      </c>
      <c r="F353" s="9"/>
      <c r="G353" s="9" t="s">
        <v>43</v>
      </c>
      <c r="H353" s="10">
        <v>14.83</v>
      </c>
      <c r="I353" s="9" t="s">
        <v>44</v>
      </c>
      <c r="J353" s="9" t="s">
        <v>45</v>
      </c>
      <c r="K353" s="9" t="s">
        <v>1589</v>
      </c>
      <c r="L353" s="11" t="s">
        <v>47</v>
      </c>
      <c r="M353" s="9" t="s">
        <v>48</v>
      </c>
      <c r="N353" s="9" t="s">
        <v>48</v>
      </c>
      <c r="O353" s="12" t="s">
        <v>1584</v>
      </c>
      <c r="P353" s="6" t="s">
        <v>1585</v>
      </c>
      <c r="Q353" s="9" t="s">
        <v>1586</v>
      </c>
      <c r="R353" s="13">
        <v>1</v>
      </c>
      <c r="S353" s="9" t="s">
        <v>92</v>
      </c>
      <c r="T353" s="9" t="s">
        <v>53</v>
      </c>
      <c r="U353" s="9" t="s">
        <v>54</v>
      </c>
      <c r="V353" s="9" t="s">
        <v>61</v>
      </c>
      <c r="W353" s="9"/>
      <c r="X353" s="9"/>
      <c r="Y353" s="9"/>
      <c r="Z353" s="13">
        <v>1</v>
      </c>
      <c r="AA353" s="9"/>
      <c r="AB353" s="9"/>
      <c r="AC353" s="9"/>
      <c r="AD353" s="9"/>
      <c r="AE353" s="9"/>
      <c r="AF353" s="9"/>
      <c r="AG353" s="9"/>
      <c r="AH353" s="9"/>
      <c r="AI353" s="9"/>
      <c r="AJ353" s="9"/>
      <c r="AK353" s="14" t="e">
        <f t="shared" si="1"/>
        <v>#DIV/0!</v>
      </c>
      <c r="AL353" s="9"/>
      <c r="AM353" s="9"/>
      <c r="AN353" s="9"/>
      <c r="AO353" s="6"/>
      <c r="AP353" s="9"/>
      <c r="AQ353" s="9"/>
      <c r="AR353" s="9"/>
      <c r="AS353" s="9"/>
      <c r="AT353" s="9"/>
      <c r="AU353" s="9"/>
      <c r="AV353" s="9"/>
      <c r="AW353" s="9"/>
      <c r="AX353" s="9"/>
      <c r="AY353" s="9"/>
      <c r="AZ353" s="9"/>
      <c r="BA353" s="9"/>
      <c r="BB353" s="9"/>
      <c r="BC353" s="9"/>
      <c r="BD353" s="9"/>
      <c r="BE353" s="9"/>
      <c r="BF353" s="9"/>
      <c r="BG353" s="9"/>
      <c r="BH353" s="9"/>
    </row>
    <row r="354" spans="1:60" ht="12.5" hidden="1">
      <c r="A354" s="6" t="s">
        <v>1590</v>
      </c>
      <c r="B354" s="16">
        <v>45610</v>
      </c>
      <c r="C354" s="8">
        <v>45640</v>
      </c>
      <c r="D354" s="9" t="s">
        <v>41</v>
      </c>
      <c r="E354" s="9" t="s">
        <v>1591</v>
      </c>
      <c r="F354" s="9"/>
      <c r="G354" s="9" t="s">
        <v>43</v>
      </c>
      <c r="H354" s="10">
        <v>14.4</v>
      </c>
      <c r="I354" s="9" t="s">
        <v>44</v>
      </c>
      <c r="J354" s="9" t="s">
        <v>45</v>
      </c>
      <c r="K354" s="9" t="s">
        <v>1592</v>
      </c>
      <c r="L354" s="11" t="s">
        <v>47</v>
      </c>
      <c r="M354" s="9" t="s">
        <v>48</v>
      </c>
      <c r="N354" s="9" t="s">
        <v>48</v>
      </c>
      <c r="O354" s="12" t="s">
        <v>1584</v>
      </c>
      <c r="P354" s="6" t="s">
        <v>1585</v>
      </c>
      <c r="Q354" s="9" t="s">
        <v>1586</v>
      </c>
      <c r="R354" s="13">
        <v>1</v>
      </c>
      <c r="S354" s="9" t="s">
        <v>99</v>
      </c>
      <c r="T354" s="9" t="s">
        <v>53</v>
      </c>
      <c r="U354" s="9" t="s">
        <v>54</v>
      </c>
      <c r="V354" s="9" t="s">
        <v>560</v>
      </c>
      <c r="W354" s="9"/>
      <c r="X354" s="9"/>
      <c r="Y354" s="13">
        <v>97.07</v>
      </c>
      <c r="Z354" s="13">
        <v>1</v>
      </c>
      <c r="AA354" s="9"/>
      <c r="AB354" s="9"/>
      <c r="AC354" s="9"/>
      <c r="AD354" s="9"/>
      <c r="AE354" s="9"/>
      <c r="AF354" s="9"/>
      <c r="AG354" s="9"/>
      <c r="AH354" s="9"/>
      <c r="AI354" s="9"/>
      <c r="AJ354" s="9"/>
      <c r="AK354" s="14" t="e">
        <f t="shared" si="1"/>
        <v>#DIV/0!</v>
      </c>
      <c r="AL354" s="9"/>
      <c r="AM354" s="9"/>
      <c r="AN354" s="9" t="s">
        <v>561</v>
      </c>
      <c r="AO354" s="6" t="s">
        <v>562</v>
      </c>
      <c r="AP354" s="9"/>
      <c r="AQ354" s="9"/>
      <c r="AR354" s="9"/>
      <c r="AS354" s="9"/>
      <c r="AT354" s="9"/>
      <c r="AU354" s="9"/>
      <c r="AV354" s="9"/>
      <c r="AW354" s="9"/>
      <c r="AX354" s="9"/>
      <c r="AY354" s="9"/>
      <c r="AZ354" s="9"/>
      <c r="BA354" s="9"/>
      <c r="BB354" s="9"/>
      <c r="BC354" s="9"/>
      <c r="BD354" s="9"/>
      <c r="BE354" s="9"/>
      <c r="BF354" s="9"/>
      <c r="BG354" s="9"/>
      <c r="BH354" s="9"/>
    </row>
    <row r="355" spans="1:60" ht="12.5" hidden="1">
      <c r="A355" s="6" t="s">
        <v>1593</v>
      </c>
      <c r="B355" s="16">
        <v>45628</v>
      </c>
      <c r="C355" s="8">
        <v>45636</v>
      </c>
      <c r="D355" s="9" t="s">
        <v>41</v>
      </c>
      <c r="E355" s="9" t="s">
        <v>1594</v>
      </c>
      <c r="F355" s="9"/>
      <c r="G355" s="9" t="s">
        <v>43</v>
      </c>
      <c r="H355" s="10">
        <v>15.42</v>
      </c>
      <c r="I355" s="9" t="s">
        <v>44</v>
      </c>
      <c r="J355" s="9" t="s">
        <v>45</v>
      </c>
      <c r="K355" s="9" t="s">
        <v>1595</v>
      </c>
      <c r="L355" s="11" t="s">
        <v>58</v>
      </c>
      <c r="M355" s="9" t="s">
        <v>48</v>
      </c>
      <c r="N355" s="9" t="s">
        <v>48</v>
      </c>
      <c r="O355" s="12" t="s">
        <v>1584</v>
      </c>
      <c r="P355" s="6" t="s">
        <v>1585</v>
      </c>
      <c r="Q355" s="9" t="s">
        <v>1586</v>
      </c>
      <c r="R355" s="13">
        <v>1</v>
      </c>
      <c r="S355" s="9" t="s">
        <v>75</v>
      </c>
      <c r="T355" s="9" t="s">
        <v>53</v>
      </c>
      <c r="U355" s="9" t="s">
        <v>54</v>
      </c>
      <c r="V355" s="9" t="s">
        <v>61</v>
      </c>
      <c r="W355" s="9"/>
      <c r="X355" s="9"/>
      <c r="Y355" s="13">
        <v>99.44</v>
      </c>
      <c r="Z355" s="13">
        <v>1</v>
      </c>
      <c r="AA355" s="9"/>
      <c r="AB355" s="9"/>
      <c r="AC355" s="9"/>
      <c r="AD355" s="9"/>
      <c r="AE355" s="9"/>
      <c r="AF355" s="9"/>
      <c r="AG355" s="9"/>
      <c r="AH355" s="9"/>
      <c r="AI355" s="9"/>
      <c r="AJ355" s="9"/>
      <c r="AK355" s="14" t="e">
        <f t="shared" si="1"/>
        <v>#DIV/0!</v>
      </c>
      <c r="AL355" s="9"/>
      <c r="AM355" s="9"/>
      <c r="AN355" s="9"/>
      <c r="AO355" s="6"/>
      <c r="AP355" s="9"/>
      <c r="AQ355" s="9"/>
      <c r="AR355" s="9"/>
      <c r="AS355" s="9"/>
      <c r="AT355" s="9"/>
      <c r="AU355" s="9"/>
      <c r="AV355" s="9"/>
      <c r="AW355" s="9"/>
      <c r="AX355" s="9"/>
      <c r="AY355" s="9"/>
      <c r="AZ355" s="9"/>
      <c r="BA355" s="9"/>
      <c r="BB355" s="9"/>
      <c r="BC355" s="9"/>
      <c r="BD355" s="9"/>
      <c r="BE355" s="9"/>
      <c r="BF355" s="9"/>
      <c r="BG355" s="9"/>
      <c r="BH355" s="9"/>
    </row>
    <row r="356" spans="1:60" ht="12.5" hidden="1">
      <c r="A356" s="6" t="s">
        <v>1596</v>
      </c>
      <c r="B356" s="16">
        <v>45636</v>
      </c>
      <c r="C356" s="8">
        <v>45641</v>
      </c>
      <c r="D356" s="9" t="s">
        <v>41</v>
      </c>
      <c r="E356" s="9" t="s">
        <v>1597</v>
      </c>
      <c r="F356" s="9"/>
      <c r="G356" s="9" t="s">
        <v>43</v>
      </c>
      <c r="H356" s="10">
        <v>14.4</v>
      </c>
      <c r="I356" s="9" t="s">
        <v>44</v>
      </c>
      <c r="J356" s="9" t="s">
        <v>45</v>
      </c>
      <c r="K356" s="9" t="s">
        <v>1598</v>
      </c>
      <c r="L356" s="11" t="s">
        <v>47</v>
      </c>
      <c r="M356" s="9" t="s">
        <v>48</v>
      </c>
      <c r="N356" s="9" t="s">
        <v>48</v>
      </c>
      <c r="O356" s="12" t="s">
        <v>1599</v>
      </c>
      <c r="P356" s="6" t="s">
        <v>1600</v>
      </c>
      <c r="Q356" s="9" t="s">
        <v>1601</v>
      </c>
      <c r="R356" s="13">
        <v>1</v>
      </c>
      <c r="S356" s="9" t="s">
        <v>99</v>
      </c>
      <c r="T356" s="9" t="s">
        <v>53</v>
      </c>
      <c r="U356" s="9" t="s">
        <v>54</v>
      </c>
      <c r="V356" s="9" t="s">
        <v>55</v>
      </c>
      <c r="W356" s="9"/>
      <c r="X356" s="9"/>
      <c r="Y356" s="13">
        <v>98.04</v>
      </c>
      <c r="Z356" s="13">
        <v>1</v>
      </c>
      <c r="AA356" s="9"/>
      <c r="AB356" s="9"/>
      <c r="AC356" s="9"/>
      <c r="AD356" s="9"/>
      <c r="AE356" s="9"/>
      <c r="AF356" s="13">
        <v>98.04</v>
      </c>
      <c r="AG356" s="9"/>
      <c r="AH356" s="9"/>
      <c r="AI356" s="9">
        <v>1</v>
      </c>
      <c r="AJ356" s="9">
        <v>1</v>
      </c>
      <c r="AK356" s="14">
        <f t="shared" si="1"/>
        <v>1</v>
      </c>
      <c r="AL356" s="9"/>
      <c r="AM356" s="9"/>
      <c r="AN356" s="9"/>
      <c r="AO356" s="6"/>
      <c r="AP356" s="9"/>
      <c r="AQ356" s="9"/>
      <c r="AR356" s="9"/>
      <c r="AS356" s="9"/>
      <c r="AT356" s="9"/>
      <c r="AU356" s="9"/>
      <c r="AV356" s="9"/>
      <c r="AW356" s="9"/>
      <c r="AX356" s="9"/>
      <c r="AY356" s="9"/>
      <c r="AZ356" s="9"/>
      <c r="BA356" s="9"/>
      <c r="BB356" s="9"/>
      <c r="BC356" s="9"/>
      <c r="BD356" s="9"/>
      <c r="BE356" s="9"/>
      <c r="BF356" s="9"/>
      <c r="BG356" s="9"/>
      <c r="BH356" s="9"/>
    </row>
    <row r="357" spans="1:60" ht="12.5" hidden="1">
      <c r="A357" s="6" t="s">
        <v>1602</v>
      </c>
      <c r="B357" s="16">
        <v>45642</v>
      </c>
      <c r="C357" s="8">
        <v>45645</v>
      </c>
      <c r="D357" s="9" t="s">
        <v>41</v>
      </c>
      <c r="E357" s="9" t="s">
        <v>1603</v>
      </c>
      <c r="F357" s="9"/>
      <c r="G357" s="9" t="s">
        <v>43</v>
      </c>
      <c r="H357" s="10">
        <v>10.69</v>
      </c>
      <c r="I357" s="9" t="s">
        <v>44</v>
      </c>
      <c r="J357" s="9" t="s">
        <v>45</v>
      </c>
      <c r="K357" s="9" t="s">
        <v>1604</v>
      </c>
      <c r="L357" s="11" t="s">
        <v>47</v>
      </c>
      <c r="M357" s="9" t="s">
        <v>48</v>
      </c>
      <c r="N357" s="9" t="s">
        <v>48</v>
      </c>
      <c r="O357" s="12" t="s">
        <v>1605</v>
      </c>
      <c r="P357" s="6" t="s">
        <v>1606</v>
      </c>
      <c r="Q357" s="9" t="s">
        <v>1607</v>
      </c>
      <c r="R357" s="13">
        <v>1</v>
      </c>
      <c r="S357" s="9" t="s">
        <v>52</v>
      </c>
      <c r="T357" s="9" t="s">
        <v>53</v>
      </c>
      <c r="U357" s="9" t="s">
        <v>54</v>
      </c>
      <c r="V357" s="9" t="s">
        <v>55</v>
      </c>
      <c r="W357" s="9"/>
      <c r="X357" s="9"/>
      <c r="Y357" s="13">
        <v>74.930000000000007</v>
      </c>
      <c r="Z357" s="13">
        <v>1</v>
      </c>
      <c r="AA357" s="9"/>
      <c r="AB357" s="9"/>
      <c r="AC357" s="9"/>
      <c r="AD357" s="9"/>
      <c r="AE357" s="9"/>
      <c r="AF357" s="13">
        <v>74.930000000000007</v>
      </c>
      <c r="AG357" s="9"/>
      <c r="AH357" s="9"/>
      <c r="AI357" s="9">
        <v>1</v>
      </c>
      <c r="AJ357" s="9">
        <v>1</v>
      </c>
      <c r="AK357" s="14">
        <f t="shared" si="1"/>
        <v>1</v>
      </c>
      <c r="AL357" s="9"/>
      <c r="AM357" s="9"/>
      <c r="AN357" s="9"/>
      <c r="AO357" s="6"/>
      <c r="AP357" s="9"/>
      <c r="AQ357" s="9"/>
      <c r="AR357" s="9"/>
      <c r="AS357" s="9"/>
      <c r="AT357" s="9"/>
      <c r="AU357" s="9"/>
      <c r="AV357" s="9"/>
      <c r="AW357" s="9"/>
      <c r="AX357" s="9"/>
      <c r="AY357" s="9"/>
      <c r="AZ357" s="9"/>
      <c r="BA357" s="9"/>
      <c r="BB357" s="9"/>
      <c r="BC357" s="9"/>
      <c r="BD357" s="9"/>
      <c r="BE357" s="9"/>
      <c r="BF357" s="9"/>
      <c r="BG357" s="9"/>
      <c r="BH357" s="9"/>
    </row>
    <row r="358" spans="1:60" ht="12.5" hidden="1">
      <c r="A358" s="6" t="s">
        <v>1608</v>
      </c>
      <c r="B358" s="16">
        <v>45643</v>
      </c>
      <c r="C358" s="8">
        <v>45654</v>
      </c>
      <c r="D358" s="9" t="s">
        <v>41</v>
      </c>
      <c r="E358" s="9" t="s">
        <v>1609</v>
      </c>
      <c r="F358" s="9"/>
      <c r="G358" s="9" t="s">
        <v>43</v>
      </c>
      <c r="H358" s="10">
        <v>12.54</v>
      </c>
      <c r="I358" s="9" t="s">
        <v>44</v>
      </c>
      <c r="J358" s="9" t="s">
        <v>45</v>
      </c>
      <c r="K358" s="9" t="s">
        <v>1610</v>
      </c>
      <c r="L358" s="11" t="s">
        <v>47</v>
      </c>
      <c r="M358" s="9" t="s">
        <v>48</v>
      </c>
      <c r="N358" s="9" t="s">
        <v>48</v>
      </c>
      <c r="O358" s="12" t="s">
        <v>842</v>
      </c>
      <c r="P358" s="6" t="s">
        <v>843</v>
      </c>
      <c r="Q358" s="9" t="s">
        <v>844</v>
      </c>
      <c r="R358" s="13">
        <v>1</v>
      </c>
      <c r="S358" s="9" t="s">
        <v>99</v>
      </c>
      <c r="T358" s="9" t="s">
        <v>53</v>
      </c>
      <c r="U358" s="9" t="s">
        <v>54</v>
      </c>
      <c r="V358" s="9" t="s">
        <v>61</v>
      </c>
      <c r="W358" s="9"/>
      <c r="X358" s="9"/>
      <c r="Y358" s="13">
        <v>105.9</v>
      </c>
      <c r="Z358" s="13">
        <v>1</v>
      </c>
      <c r="AA358" s="9"/>
      <c r="AB358" s="9"/>
      <c r="AC358" s="9"/>
      <c r="AD358" s="9"/>
      <c r="AE358" s="9"/>
      <c r="AF358" s="9"/>
      <c r="AG358" s="9"/>
      <c r="AH358" s="9"/>
      <c r="AI358" s="9">
        <v>3</v>
      </c>
      <c r="AJ358" s="9">
        <v>6</v>
      </c>
      <c r="AK358" s="14">
        <f t="shared" si="1"/>
        <v>0.5</v>
      </c>
      <c r="AL358" s="9"/>
      <c r="AM358" s="9"/>
      <c r="AN358" s="9"/>
      <c r="AO358" s="6"/>
      <c r="AP358" s="9"/>
      <c r="AQ358" s="9"/>
      <c r="AR358" s="9"/>
      <c r="AS358" s="9"/>
      <c r="AT358" s="9"/>
      <c r="AU358" s="9"/>
      <c r="AV358" s="9"/>
      <c r="AW358" s="9"/>
      <c r="AX358" s="9"/>
      <c r="AY358" s="9"/>
      <c r="AZ358" s="9"/>
      <c r="BA358" s="9"/>
      <c r="BB358" s="9"/>
      <c r="BC358" s="9"/>
      <c r="BD358" s="9"/>
      <c r="BE358" s="9"/>
      <c r="BF358" s="9"/>
      <c r="BG358" s="9"/>
      <c r="BH358" s="9"/>
    </row>
    <row r="359" spans="1:60" ht="12.5" hidden="1">
      <c r="A359" s="6" t="s">
        <v>1611</v>
      </c>
      <c r="B359" s="16">
        <v>45625</v>
      </c>
      <c r="C359" s="8">
        <v>45651</v>
      </c>
      <c r="D359" s="9" t="s">
        <v>41</v>
      </c>
      <c r="E359" s="9" t="s">
        <v>1612</v>
      </c>
      <c r="F359" s="9"/>
      <c r="G359" s="9" t="s">
        <v>43</v>
      </c>
      <c r="H359" s="10">
        <v>12.17</v>
      </c>
      <c r="I359" s="9" t="s">
        <v>44</v>
      </c>
      <c r="J359" s="9" t="s">
        <v>45</v>
      </c>
      <c r="K359" s="9" t="s">
        <v>1613</v>
      </c>
      <c r="L359" s="11" t="s">
        <v>47</v>
      </c>
      <c r="M359" s="9" t="s">
        <v>48</v>
      </c>
      <c r="N359" s="9" t="s">
        <v>48</v>
      </c>
      <c r="O359" s="12" t="s">
        <v>842</v>
      </c>
      <c r="P359" s="6" t="s">
        <v>843</v>
      </c>
      <c r="Q359" s="9" t="s">
        <v>844</v>
      </c>
      <c r="R359" s="13">
        <v>1</v>
      </c>
      <c r="S359" s="9" t="s">
        <v>99</v>
      </c>
      <c r="T359" s="9" t="s">
        <v>53</v>
      </c>
      <c r="U359" s="9" t="s">
        <v>54</v>
      </c>
      <c r="V359" s="9" t="s">
        <v>61</v>
      </c>
      <c r="W359" s="9"/>
      <c r="X359" s="9"/>
      <c r="Y359" s="13">
        <v>102.32</v>
      </c>
      <c r="Z359" s="13">
        <v>1</v>
      </c>
      <c r="AA359" s="9"/>
      <c r="AB359" s="9"/>
      <c r="AC359" s="9"/>
      <c r="AD359" s="9"/>
      <c r="AE359" s="9"/>
      <c r="AF359" s="9"/>
      <c r="AG359" s="9"/>
      <c r="AH359" s="9"/>
      <c r="AI359" s="9"/>
      <c r="AJ359" s="9"/>
      <c r="AK359" s="14" t="e">
        <f t="shared" si="1"/>
        <v>#DIV/0!</v>
      </c>
      <c r="AL359" s="9"/>
      <c r="AM359" s="9"/>
      <c r="AN359" s="9"/>
      <c r="AO359" s="6"/>
      <c r="AP359" s="9"/>
      <c r="AQ359" s="9"/>
      <c r="AR359" s="9"/>
      <c r="AS359" s="9"/>
      <c r="AT359" s="9"/>
      <c r="AU359" s="9"/>
      <c r="AV359" s="9"/>
      <c r="AW359" s="9"/>
      <c r="AX359" s="9"/>
      <c r="AY359" s="9"/>
      <c r="AZ359" s="9"/>
      <c r="BA359" s="9"/>
      <c r="BB359" s="9"/>
      <c r="BC359" s="9"/>
      <c r="BD359" s="9"/>
      <c r="BE359" s="9"/>
      <c r="BF359" s="9"/>
      <c r="BG359" s="9"/>
      <c r="BH359" s="9"/>
    </row>
    <row r="360" spans="1:60" ht="12.5" hidden="1">
      <c r="A360" s="6" t="s">
        <v>1614</v>
      </c>
      <c r="B360" s="16">
        <v>45627</v>
      </c>
      <c r="C360" s="8">
        <v>45631</v>
      </c>
      <c r="D360" s="9" t="s">
        <v>41</v>
      </c>
      <c r="E360" s="9" t="s">
        <v>1615</v>
      </c>
      <c r="F360" s="9"/>
      <c r="G360" s="9" t="s">
        <v>43</v>
      </c>
      <c r="H360" s="10">
        <v>12.17</v>
      </c>
      <c r="I360" s="9" t="s">
        <v>44</v>
      </c>
      <c r="J360" s="9" t="s">
        <v>45</v>
      </c>
      <c r="K360" s="9" t="s">
        <v>1616</v>
      </c>
      <c r="L360" s="11" t="s">
        <v>47</v>
      </c>
      <c r="M360" s="9" t="s">
        <v>48</v>
      </c>
      <c r="N360" s="9" t="s">
        <v>48</v>
      </c>
      <c r="O360" s="12" t="s">
        <v>842</v>
      </c>
      <c r="P360" s="6" t="s">
        <v>843</v>
      </c>
      <c r="Q360" s="9" t="s">
        <v>844</v>
      </c>
      <c r="R360" s="13">
        <v>1</v>
      </c>
      <c r="S360" s="9" t="s">
        <v>99</v>
      </c>
      <c r="T360" s="9" t="s">
        <v>53</v>
      </c>
      <c r="U360" s="9" t="s">
        <v>54</v>
      </c>
      <c r="V360" s="9" t="s">
        <v>240</v>
      </c>
      <c r="W360" s="9"/>
      <c r="X360" s="9"/>
      <c r="Y360" s="13">
        <v>104.69</v>
      </c>
      <c r="Z360" s="13">
        <v>1</v>
      </c>
      <c r="AA360" s="9"/>
      <c r="AB360" s="9"/>
      <c r="AC360" s="9"/>
      <c r="AD360" s="9"/>
      <c r="AE360" s="9"/>
      <c r="AF360" s="13">
        <v>104.69</v>
      </c>
      <c r="AG360" s="9"/>
      <c r="AH360" s="9"/>
      <c r="AI360" s="9"/>
      <c r="AJ360" s="9"/>
      <c r="AK360" s="14" t="e">
        <f t="shared" si="1"/>
        <v>#DIV/0!</v>
      </c>
      <c r="AL360" s="9"/>
      <c r="AM360" s="9"/>
      <c r="AN360" s="9"/>
      <c r="AO360" s="6"/>
      <c r="AP360" s="9"/>
      <c r="AQ360" s="9"/>
      <c r="AR360" s="9"/>
      <c r="AS360" s="9"/>
      <c r="AT360" s="9"/>
      <c r="AU360" s="9"/>
      <c r="AV360" s="9"/>
      <c r="AW360" s="9"/>
      <c r="AX360" s="9"/>
      <c r="AY360" s="9"/>
      <c r="AZ360" s="9"/>
      <c r="BA360" s="9"/>
      <c r="BB360" s="9"/>
      <c r="BC360" s="9"/>
      <c r="BD360" s="9"/>
      <c r="BE360" s="9"/>
      <c r="BF360" s="9"/>
      <c r="BG360" s="9"/>
      <c r="BH360" s="9"/>
    </row>
    <row r="361" spans="1:60" ht="12.5" hidden="1">
      <c r="A361" s="6" t="s">
        <v>1617</v>
      </c>
      <c r="B361" s="16">
        <v>45642</v>
      </c>
      <c r="C361" s="8">
        <v>45647</v>
      </c>
      <c r="D361" s="9" t="s">
        <v>41</v>
      </c>
      <c r="E361" s="9" t="s">
        <v>1618</v>
      </c>
      <c r="F361" s="9"/>
      <c r="G361" s="9" t="s">
        <v>43</v>
      </c>
      <c r="H361" s="10">
        <v>7.4</v>
      </c>
      <c r="I361" s="9" t="s">
        <v>44</v>
      </c>
      <c r="J361" s="9" t="s">
        <v>45</v>
      </c>
      <c r="K361" s="9" t="s">
        <v>1619</v>
      </c>
      <c r="L361" s="11" t="s">
        <v>58</v>
      </c>
      <c r="M361" s="9" t="s">
        <v>48</v>
      </c>
      <c r="N361" s="9" t="s">
        <v>48</v>
      </c>
      <c r="O361" s="12" t="s">
        <v>848</v>
      </c>
      <c r="P361" s="6" t="s">
        <v>849</v>
      </c>
      <c r="Q361" s="9" t="s">
        <v>850</v>
      </c>
      <c r="R361" s="13">
        <v>1</v>
      </c>
      <c r="S361" s="9" t="s">
        <v>68</v>
      </c>
      <c r="T361" s="9" t="s">
        <v>53</v>
      </c>
      <c r="U361" s="9" t="s">
        <v>54</v>
      </c>
      <c r="V361" s="9" t="s">
        <v>61</v>
      </c>
      <c r="W361" s="9"/>
      <c r="X361" s="9"/>
      <c r="Y361" s="13">
        <v>709.56</v>
      </c>
      <c r="Z361" s="13">
        <v>4</v>
      </c>
      <c r="AA361" s="9"/>
      <c r="AB361" s="9"/>
      <c r="AC361" s="9"/>
      <c r="AD361" s="9"/>
      <c r="AE361" s="9"/>
      <c r="AF361" s="13">
        <v>532.16999999999996</v>
      </c>
      <c r="AG361" s="9"/>
      <c r="AH361" s="9"/>
      <c r="AI361" s="9">
        <v>4</v>
      </c>
      <c r="AJ361" s="9">
        <v>15</v>
      </c>
      <c r="AK361" s="14">
        <f t="shared" si="1"/>
        <v>0.26666666666666666</v>
      </c>
      <c r="AL361" s="9"/>
      <c r="AM361" s="9"/>
      <c r="AN361" s="9"/>
      <c r="AO361" s="6"/>
      <c r="AP361" s="9"/>
      <c r="AQ361" s="9"/>
      <c r="AR361" s="9"/>
      <c r="AS361" s="9"/>
      <c r="AT361" s="9"/>
      <c r="AU361" s="9"/>
      <c r="AV361" s="9"/>
      <c r="AW361" s="9"/>
      <c r="AX361" s="9"/>
      <c r="AY361" s="9"/>
      <c r="AZ361" s="9"/>
      <c r="BA361" s="9"/>
      <c r="BB361" s="9"/>
      <c r="BC361" s="9"/>
      <c r="BD361" s="9"/>
      <c r="BE361" s="9"/>
      <c r="BF361" s="9"/>
      <c r="BG361" s="9"/>
      <c r="BH361" s="9"/>
    </row>
    <row r="362" spans="1:60" ht="12.5" hidden="1">
      <c r="A362" s="6" t="s">
        <v>1620</v>
      </c>
      <c r="B362" s="16">
        <v>45635</v>
      </c>
      <c r="C362" s="8">
        <v>45643</v>
      </c>
      <c r="D362" s="9" t="s">
        <v>41</v>
      </c>
      <c r="E362" s="9" t="s">
        <v>1621</v>
      </c>
      <c r="F362" s="9"/>
      <c r="G362" s="9" t="s">
        <v>43</v>
      </c>
      <c r="H362" s="10">
        <v>13.51</v>
      </c>
      <c r="I362" s="9" t="s">
        <v>44</v>
      </c>
      <c r="J362" s="9" t="s">
        <v>45</v>
      </c>
      <c r="K362" s="9" t="s">
        <v>1622</v>
      </c>
      <c r="L362" s="11" t="s">
        <v>58</v>
      </c>
      <c r="M362" s="9" t="s">
        <v>48</v>
      </c>
      <c r="N362" s="9" t="s">
        <v>48</v>
      </c>
      <c r="O362" s="12" t="s">
        <v>848</v>
      </c>
      <c r="P362" s="6" t="s">
        <v>849</v>
      </c>
      <c r="Q362" s="9" t="s">
        <v>850</v>
      </c>
      <c r="R362" s="13">
        <v>2</v>
      </c>
      <c r="S362" s="9" t="s">
        <v>75</v>
      </c>
      <c r="T362" s="9" t="s">
        <v>53</v>
      </c>
      <c r="U362" s="9" t="s">
        <v>54</v>
      </c>
      <c r="V362" s="9" t="s">
        <v>61</v>
      </c>
      <c r="W362" s="9"/>
      <c r="X362" s="9"/>
      <c r="Y362" s="13">
        <v>345.88</v>
      </c>
      <c r="Z362" s="13">
        <v>2</v>
      </c>
      <c r="AA362" s="9"/>
      <c r="AB362" s="9"/>
      <c r="AC362" s="9"/>
      <c r="AD362" s="9"/>
      <c r="AE362" s="9"/>
      <c r="AF362" s="9"/>
      <c r="AG362" s="9"/>
      <c r="AH362" s="9"/>
      <c r="AI362" s="9"/>
      <c r="AJ362" s="9"/>
      <c r="AK362" s="14" t="e">
        <f t="shared" si="1"/>
        <v>#DIV/0!</v>
      </c>
      <c r="AL362" s="9"/>
      <c r="AM362" s="9"/>
      <c r="AN362" s="9"/>
      <c r="AO362" s="6"/>
      <c r="AP362" s="9"/>
      <c r="AQ362" s="9"/>
      <c r="AR362" s="9"/>
      <c r="AS362" s="9"/>
      <c r="AT362" s="9"/>
      <c r="AU362" s="9"/>
      <c r="AV362" s="9"/>
      <c r="AW362" s="9"/>
      <c r="AX362" s="9"/>
      <c r="AY362" s="9"/>
      <c r="AZ362" s="9"/>
      <c r="BA362" s="9"/>
      <c r="BB362" s="9"/>
      <c r="BC362" s="9"/>
      <c r="BD362" s="9"/>
      <c r="BE362" s="9"/>
      <c r="BF362" s="9"/>
      <c r="BG362" s="9"/>
      <c r="BH362" s="9"/>
    </row>
    <row r="363" spans="1:60" ht="12.5" hidden="1">
      <c r="A363" s="6" t="s">
        <v>1623</v>
      </c>
      <c r="B363" s="16">
        <v>45635</v>
      </c>
      <c r="C363" s="8">
        <v>45637</v>
      </c>
      <c r="D363" s="9" t="s">
        <v>41</v>
      </c>
      <c r="E363" s="9" t="s">
        <v>1624</v>
      </c>
      <c r="F363" s="9"/>
      <c r="G363" s="9" t="s">
        <v>43</v>
      </c>
      <c r="H363" s="10">
        <v>9.99</v>
      </c>
      <c r="I363" s="9" t="s">
        <v>44</v>
      </c>
      <c r="J363" s="9" t="s">
        <v>45</v>
      </c>
      <c r="K363" s="9" t="s">
        <v>1625</v>
      </c>
      <c r="L363" s="11" t="s">
        <v>58</v>
      </c>
      <c r="M363" s="9" t="s">
        <v>48</v>
      </c>
      <c r="N363" s="9" t="s">
        <v>48</v>
      </c>
      <c r="O363" s="12" t="s">
        <v>848</v>
      </c>
      <c r="P363" s="6" t="s">
        <v>849</v>
      </c>
      <c r="Q363" s="9" t="s">
        <v>850</v>
      </c>
      <c r="R363" s="13">
        <v>1</v>
      </c>
      <c r="S363" s="9" t="s">
        <v>68</v>
      </c>
      <c r="T363" s="9" t="s">
        <v>53</v>
      </c>
      <c r="U363" s="9" t="s">
        <v>54</v>
      </c>
      <c r="V363" s="9" t="s">
        <v>61</v>
      </c>
      <c r="W363" s="9"/>
      <c r="X363" s="9"/>
      <c r="Y363" s="13">
        <v>176.33</v>
      </c>
      <c r="Z363" s="13">
        <v>1</v>
      </c>
      <c r="AA363" s="9"/>
      <c r="AB363" s="9"/>
      <c r="AC363" s="9"/>
      <c r="AD363" s="9"/>
      <c r="AE363" s="9"/>
      <c r="AF363" s="9"/>
      <c r="AG363" s="9"/>
      <c r="AH363" s="9"/>
      <c r="AI363" s="9"/>
      <c r="AJ363" s="9"/>
      <c r="AK363" s="14" t="e">
        <f t="shared" si="1"/>
        <v>#DIV/0!</v>
      </c>
      <c r="AL363" s="9"/>
      <c r="AM363" s="9"/>
      <c r="AN363" s="9"/>
      <c r="AO363" s="6"/>
      <c r="AP363" s="9"/>
      <c r="AQ363" s="9"/>
      <c r="AR363" s="9"/>
      <c r="AS363" s="9"/>
      <c r="AT363" s="9"/>
      <c r="AU363" s="9"/>
      <c r="AV363" s="9"/>
      <c r="AW363" s="9"/>
      <c r="AX363" s="9"/>
      <c r="AY363" s="9"/>
      <c r="AZ363" s="9"/>
      <c r="BA363" s="9"/>
      <c r="BB363" s="9"/>
      <c r="BC363" s="9"/>
      <c r="BD363" s="9"/>
      <c r="BE363" s="9"/>
      <c r="BF363" s="9"/>
      <c r="BG363" s="9"/>
      <c r="BH363" s="9"/>
    </row>
    <row r="364" spans="1:60" ht="12.5" hidden="1">
      <c r="A364" s="6" t="s">
        <v>1626</v>
      </c>
      <c r="B364" s="16">
        <v>45630</v>
      </c>
      <c r="C364" s="8">
        <v>45633</v>
      </c>
      <c r="D364" s="9" t="s">
        <v>41</v>
      </c>
      <c r="E364" s="9" t="s">
        <v>1627</v>
      </c>
      <c r="F364" s="9"/>
      <c r="G364" s="9" t="s">
        <v>43</v>
      </c>
      <c r="H364" s="10">
        <v>7.4</v>
      </c>
      <c r="I364" s="9" t="s">
        <v>44</v>
      </c>
      <c r="J364" s="9" t="s">
        <v>45</v>
      </c>
      <c r="K364" s="9" t="s">
        <v>1628</v>
      </c>
      <c r="L364" s="11" t="s">
        <v>58</v>
      </c>
      <c r="M364" s="9" t="s">
        <v>48</v>
      </c>
      <c r="N364" s="9" t="s">
        <v>48</v>
      </c>
      <c r="O364" s="12" t="s">
        <v>848</v>
      </c>
      <c r="P364" s="6" t="s">
        <v>849</v>
      </c>
      <c r="Q364" s="9" t="s">
        <v>850</v>
      </c>
      <c r="R364" s="13">
        <v>1</v>
      </c>
      <c r="S364" s="9" t="s">
        <v>75</v>
      </c>
      <c r="T364" s="9" t="s">
        <v>53</v>
      </c>
      <c r="U364" s="9" t="s">
        <v>54</v>
      </c>
      <c r="V364" s="9" t="s">
        <v>240</v>
      </c>
      <c r="W364" s="9"/>
      <c r="X364" s="9"/>
      <c r="Y364" s="13">
        <v>172.94</v>
      </c>
      <c r="Z364" s="13">
        <v>1</v>
      </c>
      <c r="AA364" s="9"/>
      <c r="AB364" s="9"/>
      <c r="AC364" s="9"/>
      <c r="AD364" s="9"/>
      <c r="AE364" s="9"/>
      <c r="AF364" s="13">
        <v>145.59</v>
      </c>
      <c r="AG364" s="9"/>
      <c r="AH364" s="9"/>
      <c r="AI364" s="9"/>
      <c r="AJ364" s="9"/>
      <c r="AK364" s="14" t="e">
        <f t="shared" si="1"/>
        <v>#DIV/0!</v>
      </c>
      <c r="AL364" s="9"/>
      <c r="AM364" s="9"/>
      <c r="AN364" s="9"/>
      <c r="AO364" s="6"/>
      <c r="AP364" s="9"/>
      <c r="AQ364" s="9"/>
      <c r="AR364" s="9"/>
      <c r="AS364" s="9"/>
      <c r="AT364" s="9"/>
      <c r="AU364" s="9"/>
      <c r="AV364" s="9"/>
      <c r="AW364" s="9"/>
      <c r="AX364" s="9"/>
      <c r="AY364" s="9"/>
      <c r="AZ364" s="9"/>
      <c r="BA364" s="9"/>
      <c r="BB364" s="9"/>
      <c r="BC364" s="9"/>
      <c r="BD364" s="9"/>
      <c r="BE364" s="9"/>
      <c r="BF364" s="9"/>
      <c r="BG364" s="9"/>
      <c r="BH364" s="9"/>
    </row>
    <row r="365" spans="1:60" ht="12.5" hidden="1">
      <c r="A365" s="6" t="s">
        <v>1629</v>
      </c>
      <c r="B365" s="16">
        <v>45622</v>
      </c>
      <c r="C365" s="8">
        <v>45635</v>
      </c>
      <c r="D365" s="9" t="s">
        <v>41</v>
      </c>
      <c r="E365" s="9" t="s">
        <v>1630</v>
      </c>
      <c r="F365" s="9"/>
      <c r="G365" s="9" t="s">
        <v>43</v>
      </c>
      <c r="H365" s="10">
        <v>5.44</v>
      </c>
      <c r="I365" s="9" t="s">
        <v>44</v>
      </c>
      <c r="J365" s="9" t="s">
        <v>45</v>
      </c>
      <c r="K365" s="9" t="s">
        <v>1631</v>
      </c>
      <c r="L365" s="11" t="s">
        <v>47</v>
      </c>
      <c r="M365" s="9" t="s">
        <v>48</v>
      </c>
      <c r="N365" s="9" t="s">
        <v>48</v>
      </c>
      <c r="O365" s="12" t="s">
        <v>1632</v>
      </c>
      <c r="P365" s="6" t="s">
        <v>1633</v>
      </c>
      <c r="Q365" s="9" t="s">
        <v>1634</v>
      </c>
      <c r="R365" s="13">
        <v>1</v>
      </c>
      <c r="S365" s="9" t="s">
        <v>99</v>
      </c>
      <c r="T365" s="9" t="s">
        <v>53</v>
      </c>
      <c r="U365" s="9" t="s">
        <v>54</v>
      </c>
      <c r="V365" s="9" t="s">
        <v>55</v>
      </c>
      <c r="W365" s="9"/>
      <c r="X365" s="9"/>
      <c r="Y365" s="13">
        <v>107.33</v>
      </c>
      <c r="Z365" s="13">
        <v>1</v>
      </c>
      <c r="AA365" s="9"/>
      <c r="AB365" s="9"/>
      <c r="AC365" s="9"/>
      <c r="AD365" s="9"/>
      <c r="AE365" s="9"/>
      <c r="AF365" s="13">
        <v>107.33</v>
      </c>
      <c r="AG365" s="9"/>
      <c r="AH365" s="9"/>
      <c r="AI365" s="9">
        <v>1</v>
      </c>
      <c r="AJ365" s="9">
        <v>6</v>
      </c>
      <c r="AK365" s="14">
        <f t="shared" si="1"/>
        <v>0.16666666666666666</v>
      </c>
      <c r="AL365" s="9"/>
      <c r="AM365" s="9"/>
      <c r="AN365" s="9"/>
      <c r="AO365" s="6"/>
      <c r="AP365" s="9"/>
      <c r="AQ365" s="9"/>
      <c r="AR365" s="9"/>
      <c r="AS365" s="9"/>
      <c r="AT365" s="9"/>
      <c r="AU365" s="9"/>
      <c r="AV365" s="9"/>
      <c r="AW365" s="9"/>
      <c r="AX365" s="9"/>
      <c r="AY365" s="9"/>
      <c r="AZ365" s="9"/>
      <c r="BA365" s="9"/>
      <c r="BB365" s="9"/>
      <c r="BC365" s="9"/>
      <c r="BD365" s="9"/>
      <c r="BE365" s="9"/>
      <c r="BF365" s="9"/>
      <c r="BG365" s="9"/>
      <c r="BH365" s="9"/>
    </row>
    <row r="366" spans="1:60" ht="12.5" hidden="1">
      <c r="A366" s="6" t="s">
        <v>1635</v>
      </c>
      <c r="B366" s="16">
        <v>45614</v>
      </c>
      <c r="C366" s="8">
        <v>45633</v>
      </c>
      <c r="D366" s="9" t="s">
        <v>41</v>
      </c>
      <c r="E366" s="9" t="s">
        <v>1636</v>
      </c>
      <c r="F366" s="9"/>
      <c r="G366" s="9" t="s">
        <v>43</v>
      </c>
      <c r="H366" s="27">
        <v>69.5</v>
      </c>
      <c r="I366" s="9" t="s">
        <v>44</v>
      </c>
      <c r="J366" s="9" t="s">
        <v>45</v>
      </c>
      <c r="K366" s="9" t="s">
        <v>1637</v>
      </c>
      <c r="L366" s="11" t="s">
        <v>58</v>
      </c>
      <c r="M366" s="9" t="s">
        <v>48</v>
      </c>
      <c r="N366" s="9" t="s">
        <v>48</v>
      </c>
      <c r="O366" s="12" t="s">
        <v>1638</v>
      </c>
      <c r="P366" s="6" t="s">
        <v>1639</v>
      </c>
      <c r="Q366" s="9" t="s">
        <v>1640</v>
      </c>
      <c r="R366" s="13">
        <v>1</v>
      </c>
      <c r="S366" s="9" t="s">
        <v>75</v>
      </c>
      <c r="T366" s="9" t="s">
        <v>53</v>
      </c>
      <c r="U366" s="9" t="s">
        <v>54</v>
      </c>
      <c r="V366" s="9" t="s">
        <v>240</v>
      </c>
      <c r="W366" s="9"/>
      <c r="X366" s="9"/>
      <c r="Y366" s="13">
        <v>111.44</v>
      </c>
      <c r="Z366" s="13">
        <v>1</v>
      </c>
      <c r="AA366" s="9"/>
      <c r="AB366" s="9"/>
      <c r="AC366" s="9"/>
      <c r="AD366" s="9"/>
      <c r="AE366" s="9"/>
      <c r="AF366" s="13">
        <v>21.99</v>
      </c>
      <c r="AG366" s="9"/>
      <c r="AH366" s="9"/>
      <c r="AI366" s="9">
        <v>1</v>
      </c>
      <c r="AJ366" s="9">
        <v>2</v>
      </c>
      <c r="AK366" s="14">
        <f t="shared" si="1"/>
        <v>0.5</v>
      </c>
      <c r="AL366" s="9"/>
      <c r="AM366" s="9"/>
      <c r="AN366" s="9"/>
      <c r="AO366" s="6"/>
      <c r="AP366" s="9"/>
      <c r="AQ366" s="9"/>
      <c r="AR366" s="9"/>
      <c r="AS366" s="9"/>
      <c r="AT366" s="9"/>
      <c r="AU366" s="9"/>
      <c r="AV366" s="9"/>
      <c r="AW366" s="9"/>
      <c r="AX366" s="9"/>
      <c r="AY366" s="9"/>
      <c r="AZ366" s="9"/>
      <c r="BA366" s="9"/>
      <c r="BB366" s="9"/>
      <c r="BC366" s="9"/>
      <c r="BD366" s="9"/>
      <c r="BE366" s="9"/>
      <c r="BF366" s="9"/>
      <c r="BG366" s="9"/>
      <c r="BH366" s="9"/>
    </row>
    <row r="367" spans="1:60" ht="12.5" hidden="1">
      <c r="A367" s="6" t="s">
        <v>1641</v>
      </c>
      <c r="B367" s="16">
        <v>45616</v>
      </c>
      <c r="C367" s="8">
        <v>45628</v>
      </c>
      <c r="D367" s="9" t="s">
        <v>41</v>
      </c>
      <c r="E367" s="9" t="s">
        <v>1642</v>
      </c>
      <c r="F367" s="9"/>
      <c r="G367" s="9" t="s">
        <v>43</v>
      </c>
      <c r="H367" s="10">
        <v>12.17</v>
      </c>
      <c r="I367" s="9" t="s">
        <v>44</v>
      </c>
      <c r="J367" s="9" t="s">
        <v>45</v>
      </c>
      <c r="K367" s="9" t="s">
        <v>1643</v>
      </c>
      <c r="L367" s="11" t="s">
        <v>47</v>
      </c>
      <c r="M367" s="9" t="s">
        <v>48</v>
      </c>
      <c r="N367" s="9" t="s">
        <v>48</v>
      </c>
      <c r="O367" s="12" t="s">
        <v>1644</v>
      </c>
      <c r="P367" s="6" t="s">
        <v>1645</v>
      </c>
      <c r="Q367" s="9" t="s">
        <v>1646</v>
      </c>
      <c r="R367" s="13">
        <v>1</v>
      </c>
      <c r="S367" s="9" t="s">
        <v>99</v>
      </c>
      <c r="T367" s="9" t="s">
        <v>53</v>
      </c>
      <c r="U367" s="9" t="s">
        <v>54</v>
      </c>
      <c r="V367" s="9" t="s">
        <v>61</v>
      </c>
      <c r="W367" s="9"/>
      <c r="X367" s="9"/>
      <c r="Y367" s="13">
        <v>82.01</v>
      </c>
      <c r="Z367" s="13">
        <v>1</v>
      </c>
      <c r="AA367" s="9"/>
      <c r="AB367" s="9"/>
      <c r="AC367" s="9"/>
      <c r="AD367" s="9"/>
      <c r="AE367" s="9"/>
      <c r="AF367" s="9"/>
      <c r="AG367" s="9"/>
      <c r="AH367" s="9"/>
      <c r="AI367" s="9">
        <v>1</v>
      </c>
      <c r="AJ367" s="9">
        <v>2</v>
      </c>
      <c r="AK367" s="14">
        <f t="shared" si="1"/>
        <v>0.5</v>
      </c>
      <c r="AL367" s="9"/>
      <c r="AM367" s="9"/>
      <c r="AN367" s="9"/>
      <c r="AO367" s="6"/>
      <c r="AP367" s="9"/>
      <c r="AQ367" s="9"/>
      <c r="AR367" s="9"/>
      <c r="AS367" s="9"/>
      <c r="AT367" s="9"/>
      <c r="AU367" s="9"/>
      <c r="AV367" s="9"/>
      <c r="AW367" s="9"/>
      <c r="AX367" s="9"/>
      <c r="AY367" s="9"/>
      <c r="AZ367" s="9"/>
      <c r="BA367" s="9"/>
      <c r="BB367" s="9"/>
      <c r="BC367" s="9"/>
      <c r="BD367" s="9"/>
      <c r="BE367" s="9"/>
      <c r="BF367" s="9"/>
      <c r="BG367" s="9"/>
      <c r="BH367" s="9"/>
    </row>
    <row r="368" spans="1:60" ht="12.5" hidden="1">
      <c r="A368" s="6" t="s">
        <v>1647</v>
      </c>
      <c r="B368" s="16">
        <v>45652</v>
      </c>
      <c r="C368" s="8">
        <v>45655</v>
      </c>
      <c r="D368" s="9" t="s">
        <v>41</v>
      </c>
      <c r="E368" s="9" t="s">
        <v>1648</v>
      </c>
      <c r="F368" s="9"/>
      <c r="G368" s="9" t="s">
        <v>43</v>
      </c>
      <c r="H368" s="10">
        <v>16.309999999999999</v>
      </c>
      <c r="I368" s="9" t="s">
        <v>44</v>
      </c>
      <c r="J368" s="9" t="s">
        <v>45</v>
      </c>
      <c r="K368" s="9" t="s">
        <v>1649</v>
      </c>
      <c r="L368" s="11" t="s">
        <v>58</v>
      </c>
      <c r="M368" s="9" t="s">
        <v>48</v>
      </c>
      <c r="N368" s="9" t="s">
        <v>48</v>
      </c>
      <c r="O368" s="12" t="s">
        <v>1650</v>
      </c>
      <c r="P368" s="6" t="s">
        <v>1651</v>
      </c>
      <c r="Q368" s="9" t="s">
        <v>1652</v>
      </c>
      <c r="R368" s="13">
        <v>1</v>
      </c>
      <c r="S368" s="9" t="s">
        <v>306</v>
      </c>
      <c r="T368" s="9" t="s">
        <v>53</v>
      </c>
      <c r="U368" s="9" t="s">
        <v>54</v>
      </c>
      <c r="V368" s="9" t="s">
        <v>61</v>
      </c>
      <c r="W368" s="9"/>
      <c r="X368" s="9"/>
      <c r="Y368" s="13">
        <v>99.57</v>
      </c>
      <c r="Z368" s="13">
        <v>1</v>
      </c>
      <c r="AA368" s="9"/>
      <c r="AB368" s="9"/>
      <c r="AC368" s="9"/>
      <c r="AD368" s="9"/>
      <c r="AE368" s="9"/>
      <c r="AF368" s="9"/>
      <c r="AG368" s="9"/>
      <c r="AH368" s="9"/>
      <c r="AI368" s="9">
        <v>2</v>
      </c>
      <c r="AJ368" s="9">
        <v>3</v>
      </c>
      <c r="AK368" s="14">
        <f t="shared" si="1"/>
        <v>0.66666666666666663</v>
      </c>
      <c r="AL368" s="9"/>
      <c r="AM368" s="9"/>
      <c r="AN368" s="9"/>
      <c r="AO368" s="6"/>
      <c r="AP368" s="9"/>
      <c r="AQ368" s="9"/>
      <c r="AR368" s="9"/>
      <c r="AS368" s="9"/>
      <c r="AT368" s="9"/>
      <c r="AU368" s="9"/>
      <c r="AV368" s="9"/>
      <c r="AW368" s="9"/>
      <c r="AX368" s="9"/>
      <c r="AY368" s="9"/>
      <c r="AZ368" s="9"/>
      <c r="BA368" s="9"/>
      <c r="BB368" s="9"/>
      <c r="BC368" s="9"/>
      <c r="BD368" s="9"/>
      <c r="BE368" s="9"/>
      <c r="BF368" s="9"/>
      <c r="BG368" s="9"/>
      <c r="BH368" s="9"/>
    </row>
    <row r="369" spans="1:60" ht="12.5" hidden="1">
      <c r="A369" s="6" t="s">
        <v>1653</v>
      </c>
      <c r="B369" s="16">
        <v>45634</v>
      </c>
      <c r="C369" s="8">
        <v>45644</v>
      </c>
      <c r="D369" s="9" t="s">
        <v>41</v>
      </c>
      <c r="E369" s="9" t="s">
        <v>1654</v>
      </c>
      <c r="F369" s="9"/>
      <c r="G369" s="9" t="s">
        <v>43</v>
      </c>
      <c r="H369" s="10">
        <v>15.84</v>
      </c>
      <c r="I369" s="9" t="s">
        <v>44</v>
      </c>
      <c r="J369" s="9" t="s">
        <v>45</v>
      </c>
      <c r="K369" s="9" t="s">
        <v>1655</v>
      </c>
      <c r="L369" s="11" t="s">
        <v>58</v>
      </c>
      <c r="M369" s="9" t="s">
        <v>48</v>
      </c>
      <c r="N369" s="9" t="s">
        <v>48</v>
      </c>
      <c r="O369" s="12" t="s">
        <v>1650</v>
      </c>
      <c r="P369" s="6" t="s">
        <v>1651</v>
      </c>
      <c r="Q369" s="9" t="s">
        <v>1652</v>
      </c>
      <c r="R369" s="13">
        <v>1</v>
      </c>
      <c r="S369" s="9" t="s">
        <v>68</v>
      </c>
      <c r="T369" s="9" t="s">
        <v>53</v>
      </c>
      <c r="U369" s="9" t="s">
        <v>54</v>
      </c>
      <c r="V369" s="9" t="s">
        <v>240</v>
      </c>
      <c r="W369" s="9"/>
      <c r="X369" s="9"/>
      <c r="Y369" s="13">
        <v>99.9</v>
      </c>
      <c r="Z369" s="13">
        <v>1</v>
      </c>
      <c r="AA369" s="9"/>
      <c r="AB369" s="9"/>
      <c r="AC369" s="9"/>
      <c r="AD369" s="9"/>
      <c r="AE369" s="9"/>
      <c r="AF369" s="13">
        <v>62.84</v>
      </c>
      <c r="AG369" s="9"/>
      <c r="AH369" s="9"/>
      <c r="AI369" s="9"/>
      <c r="AJ369" s="9"/>
      <c r="AK369" s="14" t="e">
        <f t="shared" si="1"/>
        <v>#DIV/0!</v>
      </c>
      <c r="AL369" s="9"/>
      <c r="AM369" s="9"/>
      <c r="AN369" s="9"/>
      <c r="AO369" s="6"/>
      <c r="AP369" s="9"/>
      <c r="AQ369" s="9"/>
      <c r="AR369" s="9"/>
      <c r="AS369" s="9"/>
      <c r="AT369" s="9"/>
      <c r="AU369" s="9"/>
      <c r="AV369" s="9"/>
      <c r="AW369" s="9"/>
      <c r="AX369" s="9"/>
      <c r="AY369" s="9"/>
      <c r="AZ369" s="9"/>
      <c r="BA369" s="9"/>
      <c r="BB369" s="9"/>
      <c r="BC369" s="9"/>
      <c r="BD369" s="9"/>
      <c r="BE369" s="9"/>
      <c r="BF369" s="9"/>
      <c r="BG369" s="9"/>
      <c r="BH369" s="9"/>
    </row>
    <row r="370" spans="1:60" ht="12.5" hidden="1">
      <c r="A370" s="6" t="s">
        <v>1656</v>
      </c>
      <c r="B370" s="16">
        <v>45616</v>
      </c>
      <c r="C370" s="8">
        <v>45632</v>
      </c>
      <c r="D370" s="9" t="s">
        <v>41</v>
      </c>
      <c r="E370" s="9" t="s">
        <v>1657</v>
      </c>
      <c r="F370" s="9"/>
      <c r="G370" s="9" t="s">
        <v>43</v>
      </c>
      <c r="H370" s="10">
        <v>9.99</v>
      </c>
      <c r="I370" s="9" t="s">
        <v>44</v>
      </c>
      <c r="J370" s="9" t="s">
        <v>45</v>
      </c>
      <c r="K370" s="9" t="s">
        <v>1658</v>
      </c>
      <c r="L370" s="11" t="s">
        <v>58</v>
      </c>
      <c r="M370" s="9" t="s">
        <v>48</v>
      </c>
      <c r="N370" s="9" t="s">
        <v>48</v>
      </c>
      <c r="O370" s="12" t="s">
        <v>1659</v>
      </c>
      <c r="P370" s="6" t="s">
        <v>1660</v>
      </c>
      <c r="Q370" s="9" t="s">
        <v>1661</v>
      </c>
      <c r="R370" s="13">
        <v>1</v>
      </c>
      <c r="S370" s="9" t="s">
        <v>75</v>
      </c>
      <c r="T370" s="9" t="s">
        <v>53</v>
      </c>
      <c r="U370" s="9" t="s">
        <v>54</v>
      </c>
      <c r="V370" s="9" t="s">
        <v>240</v>
      </c>
      <c r="W370" s="9"/>
      <c r="X370" s="9"/>
      <c r="Y370" s="13">
        <v>68.14</v>
      </c>
      <c r="Z370" s="13">
        <v>1</v>
      </c>
      <c r="AA370" s="9"/>
      <c r="AB370" s="9"/>
      <c r="AC370" s="9"/>
      <c r="AD370" s="9"/>
      <c r="AE370" s="9"/>
      <c r="AF370" s="13">
        <v>58.15</v>
      </c>
      <c r="AG370" s="9"/>
      <c r="AH370" s="9"/>
      <c r="AI370" s="9">
        <v>1</v>
      </c>
      <c r="AJ370" s="9">
        <v>11</v>
      </c>
      <c r="AK370" s="14">
        <f t="shared" si="1"/>
        <v>9.0909090909090912E-2</v>
      </c>
      <c r="AL370" s="9"/>
      <c r="AM370" s="9"/>
      <c r="AN370" s="9"/>
      <c r="AO370" s="6"/>
      <c r="AP370" s="9"/>
      <c r="AQ370" s="9"/>
      <c r="AR370" s="9"/>
      <c r="AS370" s="9"/>
      <c r="AT370" s="9"/>
      <c r="AU370" s="9"/>
      <c r="AV370" s="9"/>
      <c r="AW370" s="9"/>
      <c r="AX370" s="9"/>
      <c r="AY370" s="9"/>
      <c r="AZ370" s="9"/>
      <c r="BA370" s="9"/>
      <c r="BB370" s="9"/>
      <c r="BC370" s="9"/>
      <c r="BD370" s="9"/>
      <c r="BE370" s="9"/>
      <c r="BF370" s="9"/>
      <c r="BG370" s="9"/>
      <c r="BH370" s="9"/>
    </row>
    <row r="371" spans="1:60" ht="12.5" hidden="1">
      <c r="A371" s="6" t="s">
        <v>1662</v>
      </c>
      <c r="B371" s="16">
        <v>45633</v>
      </c>
      <c r="C371" s="8">
        <v>45652</v>
      </c>
      <c r="D371" s="9" t="s">
        <v>41</v>
      </c>
      <c r="E371" s="9" t="s">
        <v>1663</v>
      </c>
      <c r="F371" s="9"/>
      <c r="G371" s="9" t="s">
        <v>43</v>
      </c>
      <c r="H371" s="10">
        <v>12.17</v>
      </c>
      <c r="I371" s="9" t="s">
        <v>44</v>
      </c>
      <c r="J371" s="9" t="s">
        <v>45</v>
      </c>
      <c r="K371" s="9" t="s">
        <v>1664</v>
      </c>
      <c r="L371" s="11" t="s">
        <v>58</v>
      </c>
      <c r="M371" s="9" t="s">
        <v>48</v>
      </c>
      <c r="N371" s="9" t="s">
        <v>48</v>
      </c>
      <c r="O371" s="12" t="s">
        <v>1665</v>
      </c>
      <c r="P371" s="6" t="s">
        <v>1666</v>
      </c>
      <c r="Q371" s="9" t="s">
        <v>1667</v>
      </c>
      <c r="R371" s="13">
        <v>1</v>
      </c>
      <c r="S371" s="9" t="s">
        <v>68</v>
      </c>
      <c r="T371" s="9" t="s">
        <v>53</v>
      </c>
      <c r="U371" s="9" t="s">
        <v>54</v>
      </c>
      <c r="V371" s="9" t="s">
        <v>55</v>
      </c>
      <c r="W371" s="9"/>
      <c r="X371" s="9"/>
      <c r="Y371" s="13">
        <v>61.99</v>
      </c>
      <c r="Z371" s="13">
        <v>1</v>
      </c>
      <c r="AA371" s="9"/>
      <c r="AB371" s="9"/>
      <c r="AC371" s="9"/>
      <c r="AD371" s="9"/>
      <c r="AE371" s="9"/>
      <c r="AF371" s="13">
        <v>49.82</v>
      </c>
      <c r="AG371" s="9"/>
      <c r="AH371" s="9"/>
      <c r="AI371" s="9">
        <v>1</v>
      </c>
      <c r="AJ371" s="9">
        <v>4</v>
      </c>
      <c r="AK371" s="14">
        <f t="shared" si="1"/>
        <v>0.25</v>
      </c>
      <c r="AL371" s="9"/>
      <c r="AM371" s="9"/>
      <c r="AN371" s="9"/>
      <c r="AO371" s="6"/>
      <c r="AP371" s="9"/>
      <c r="AQ371" s="9"/>
      <c r="AR371" s="9"/>
      <c r="AS371" s="9"/>
      <c r="AT371" s="9"/>
      <c r="AU371" s="9"/>
      <c r="AV371" s="9"/>
      <c r="AW371" s="9"/>
      <c r="AX371" s="9"/>
      <c r="AY371" s="9"/>
      <c r="AZ371" s="9"/>
      <c r="BA371" s="9"/>
      <c r="BB371" s="9"/>
      <c r="BC371" s="9"/>
      <c r="BD371" s="9"/>
      <c r="BE371" s="9"/>
      <c r="BF371" s="9"/>
      <c r="BG371" s="9"/>
      <c r="BH371" s="9"/>
    </row>
    <row r="372" spans="1:60" ht="12.5" hidden="1">
      <c r="A372" s="6" t="s">
        <v>1668</v>
      </c>
      <c r="B372" s="16">
        <v>45609</v>
      </c>
      <c r="C372" s="8">
        <v>45627</v>
      </c>
      <c r="D372" s="9" t="s">
        <v>41</v>
      </c>
      <c r="E372" s="9" t="s">
        <v>1669</v>
      </c>
      <c r="F372" s="9"/>
      <c r="G372" s="9" t="s">
        <v>43</v>
      </c>
      <c r="H372" s="10">
        <v>9.99</v>
      </c>
      <c r="I372" s="9" t="s">
        <v>44</v>
      </c>
      <c r="J372" s="9" t="s">
        <v>45</v>
      </c>
      <c r="K372" s="9" t="s">
        <v>1670</v>
      </c>
      <c r="L372" s="11" t="s">
        <v>58</v>
      </c>
      <c r="M372" s="9" t="s">
        <v>48</v>
      </c>
      <c r="N372" s="9" t="s">
        <v>48</v>
      </c>
      <c r="O372" s="12" t="s">
        <v>1671</v>
      </c>
      <c r="P372" s="6" t="s">
        <v>1672</v>
      </c>
      <c r="Q372" s="9" t="s">
        <v>1673</v>
      </c>
      <c r="R372" s="13">
        <v>1</v>
      </c>
      <c r="S372" s="9" t="s">
        <v>75</v>
      </c>
      <c r="T372" s="9" t="s">
        <v>53</v>
      </c>
      <c r="U372" s="9" t="s">
        <v>54</v>
      </c>
      <c r="V372" s="9" t="s">
        <v>55</v>
      </c>
      <c r="W372" s="9"/>
      <c r="X372" s="9"/>
      <c r="Y372" s="13">
        <v>95.33</v>
      </c>
      <c r="Z372" s="13">
        <v>1</v>
      </c>
      <c r="AA372" s="9"/>
      <c r="AB372" s="9"/>
      <c r="AC372" s="9"/>
      <c r="AD372" s="9"/>
      <c r="AE372" s="9"/>
      <c r="AF372" s="13">
        <v>85.34</v>
      </c>
      <c r="AG372" s="9"/>
      <c r="AH372" s="9"/>
      <c r="AI372" s="9">
        <v>1</v>
      </c>
      <c r="AJ372" s="9">
        <v>0</v>
      </c>
      <c r="AK372" s="14" t="e">
        <f t="shared" si="1"/>
        <v>#DIV/0!</v>
      </c>
      <c r="AL372" s="9"/>
      <c r="AM372" s="9"/>
      <c r="AN372" s="9"/>
      <c r="AO372" s="6"/>
      <c r="AP372" s="9"/>
      <c r="AQ372" s="9"/>
      <c r="AR372" s="9"/>
      <c r="AS372" s="9"/>
      <c r="AT372" s="9"/>
      <c r="AU372" s="9"/>
      <c r="AV372" s="9"/>
      <c r="AW372" s="9"/>
      <c r="AX372" s="9"/>
      <c r="AY372" s="9"/>
      <c r="AZ372" s="9"/>
      <c r="BA372" s="9"/>
      <c r="BB372" s="9"/>
      <c r="BC372" s="9"/>
      <c r="BD372" s="9"/>
      <c r="BE372" s="9"/>
      <c r="BF372" s="9"/>
      <c r="BG372" s="9"/>
      <c r="BH372" s="9"/>
    </row>
    <row r="373" spans="1:60" ht="12.5" hidden="1">
      <c r="A373" s="6" t="s">
        <v>1674</v>
      </c>
      <c r="B373" s="16">
        <v>45640</v>
      </c>
      <c r="C373" s="8">
        <v>45657</v>
      </c>
      <c r="D373" s="9" t="s">
        <v>41</v>
      </c>
      <c r="E373" s="9" t="s">
        <v>1675</v>
      </c>
      <c r="F373" s="9"/>
      <c r="G373" s="9" t="s">
        <v>43</v>
      </c>
      <c r="H373" s="10">
        <v>12.1</v>
      </c>
      <c r="I373" s="9" t="s">
        <v>44</v>
      </c>
      <c r="J373" s="9" t="s">
        <v>45</v>
      </c>
      <c r="K373" s="9" t="s">
        <v>1676</v>
      </c>
      <c r="L373" s="11" t="s">
        <v>58</v>
      </c>
      <c r="M373" s="9" t="s">
        <v>48</v>
      </c>
      <c r="N373" s="9" t="s">
        <v>48</v>
      </c>
      <c r="O373" s="12" t="s">
        <v>875</v>
      </c>
      <c r="P373" s="6" t="s">
        <v>876</v>
      </c>
      <c r="Q373" s="9" t="s">
        <v>877</v>
      </c>
      <c r="R373" s="13">
        <v>1</v>
      </c>
      <c r="S373" s="9" t="s">
        <v>68</v>
      </c>
      <c r="T373" s="9" t="s">
        <v>53</v>
      </c>
      <c r="U373" s="9" t="s">
        <v>54</v>
      </c>
      <c r="V373" s="9" t="s">
        <v>55</v>
      </c>
      <c r="W373" s="9"/>
      <c r="X373" s="9"/>
      <c r="Y373" s="13">
        <v>61.99</v>
      </c>
      <c r="Z373" s="13">
        <v>1</v>
      </c>
      <c r="AA373" s="9"/>
      <c r="AB373" s="9"/>
      <c r="AC373" s="9"/>
      <c r="AD373" s="9"/>
      <c r="AE373" s="9"/>
      <c r="AF373" s="13">
        <v>49.89</v>
      </c>
      <c r="AG373" s="9"/>
      <c r="AH373" s="9"/>
      <c r="AI373" s="9">
        <v>1</v>
      </c>
      <c r="AJ373" s="9">
        <v>5</v>
      </c>
      <c r="AK373" s="14">
        <f t="shared" si="1"/>
        <v>0.2</v>
      </c>
      <c r="AL373" s="9"/>
      <c r="AM373" s="9"/>
      <c r="AN373" s="9"/>
      <c r="AO373" s="6"/>
      <c r="AP373" s="9"/>
      <c r="AQ373" s="9"/>
      <c r="AR373" s="9"/>
      <c r="AS373" s="9"/>
      <c r="AT373" s="9"/>
      <c r="AU373" s="9"/>
      <c r="AV373" s="9"/>
      <c r="AW373" s="9"/>
      <c r="AX373" s="9"/>
      <c r="AY373" s="9"/>
      <c r="AZ373" s="9"/>
      <c r="BA373" s="9"/>
      <c r="BB373" s="9"/>
      <c r="BC373" s="9"/>
      <c r="BD373" s="9"/>
      <c r="BE373" s="9"/>
      <c r="BF373" s="9"/>
      <c r="BG373" s="9"/>
      <c r="BH373" s="9"/>
    </row>
    <row r="374" spans="1:60" ht="12.5" hidden="1">
      <c r="A374" s="6" t="s">
        <v>1677</v>
      </c>
      <c r="B374" s="16">
        <v>45652</v>
      </c>
      <c r="C374" s="8">
        <v>45656</v>
      </c>
      <c r="D374" s="9" t="s">
        <v>41</v>
      </c>
      <c r="E374" s="9" t="s">
        <v>1678</v>
      </c>
      <c r="F374" s="9"/>
      <c r="G374" s="9" t="s">
        <v>43</v>
      </c>
      <c r="H374" s="10">
        <v>10.57</v>
      </c>
      <c r="I374" s="9" t="s">
        <v>44</v>
      </c>
      <c r="J374" s="9" t="s">
        <v>45</v>
      </c>
      <c r="K374" s="9" t="s">
        <v>1679</v>
      </c>
      <c r="L374" s="11" t="s">
        <v>58</v>
      </c>
      <c r="M374" s="9" t="s">
        <v>48</v>
      </c>
      <c r="N374" s="9" t="s">
        <v>48</v>
      </c>
      <c r="O374" s="12" t="s">
        <v>1680</v>
      </c>
      <c r="P374" s="6" t="s">
        <v>1681</v>
      </c>
      <c r="Q374" s="9" t="s">
        <v>1682</v>
      </c>
      <c r="R374" s="13">
        <v>1</v>
      </c>
      <c r="S374" s="9" t="s">
        <v>68</v>
      </c>
      <c r="T374" s="9" t="s">
        <v>53</v>
      </c>
      <c r="U374" s="9" t="s">
        <v>54</v>
      </c>
      <c r="V374" s="9" t="s">
        <v>61</v>
      </c>
      <c r="W374" s="9"/>
      <c r="X374" s="9"/>
      <c r="Y374" s="13">
        <v>107.68</v>
      </c>
      <c r="Z374" s="13">
        <v>1</v>
      </c>
      <c r="AA374" s="9"/>
      <c r="AB374" s="9"/>
      <c r="AC374" s="9"/>
      <c r="AD374" s="9"/>
      <c r="AE374" s="9"/>
      <c r="AF374" s="9"/>
      <c r="AG374" s="9"/>
      <c r="AH374" s="9"/>
      <c r="AI374" s="9">
        <v>1</v>
      </c>
      <c r="AJ374" s="9">
        <v>2</v>
      </c>
      <c r="AK374" s="14">
        <f t="shared" si="1"/>
        <v>0.5</v>
      </c>
      <c r="AL374" s="9"/>
      <c r="AM374" s="9"/>
      <c r="AN374" s="9"/>
      <c r="AO374" s="6"/>
      <c r="AP374" s="9"/>
      <c r="AQ374" s="9"/>
      <c r="AR374" s="9"/>
      <c r="AS374" s="9"/>
      <c r="AT374" s="9"/>
      <c r="AU374" s="9"/>
      <c r="AV374" s="9"/>
      <c r="AW374" s="9"/>
      <c r="AX374" s="9"/>
      <c r="AY374" s="9"/>
      <c r="AZ374" s="9"/>
      <c r="BA374" s="9"/>
      <c r="BB374" s="9"/>
      <c r="BC374" s="9"/>
      <c r="BD374" s="9"/>
      <c r="BE374" s="9"/>
      <c r="BF374" s="9"/>
      <c r="BG374" s="9"/>
      <c r="BH374" s="9"/>
    </row>
    <row r="375" spans="1:60" ht="12.5" hidden="1">
      <c r="A375" s="6" t="s">
        <v>1683</v>
      </c>
      <c r="B375" s="16">
        <v>45638</v>
      </c>
      <c r="C375" s="8">
        <v>45652</v>
      </c>
      <c r="D375" s="9" t="s">
        <v>41</v>
      </c>
      <c r="E375" s="9" t="s">
        <v>1684</v>
      </c>
      <c r="F375" s="9"/>
      <c r="G375" s="9" t="s">
        <v>43</v>
      </c>
      <c r="H375" s="10">
        <v>13.9</v>
      </c>
      <c r="I375" s="9" t="s">
        <v>44</v>
      </c>
      <c r="J375" s="9" t="s">
        <v>45</v>
      </c>
      <c r="K375" s="9" t="s">
        <v>1685</v>
      </c>
      <c r="L375" s="11" t="s">
        <v>58</v>
      </c>
      <c r="M375" s="9" t="s">
        <v>48</v>
      </c>
      <c r="N375" s="9" t="s">
        <v>48</v>
      </c>
      <c r="O375" s="12" t="s">
        <v>1686</v>
      </c>
      <c r="P375" s="6" t="s">
        <v>1687</v>
      </c>
      <c r="Q375" s="9" t="s">
        <v>1688</v>
      </c>
      <c r="R375" s="13">
        <v>1</v>
      </c>
      <c r="S375" s="9" t="s">
        <v>68</v>
      </c>
      <c r="T375" s="9" t="s">
        <v>53</v>
      </c>
      <c r="U375" s="9" t="s">
        <v>54</v>
      </c>
      <c r="V375" s="9" t="s">
        <v>55</v>
      </c>
      <c r="W375" s="9"/>
      <c r="X375" s="9"/>
      <c r="Y375" s="13">
        <v>102.41</v>
      </c>
      <c r="Z375" s="13">
        <v>1</v>
      </c>
      <c r="AA375" s="9"/>
      <c r="AB375" s="9"/>
      <c r="AC375" s="9"/>
      <c r="AD375" s="9"/>
      <c r="AE375" s="9"/>
      <c r="AF375" s="13">
        <v>88.51</v>
      </c>
      <c r="AG375" s="9"/>
      <c r="AH375" s="9"/>
      <c r="AI375" s="9">
        <v>1</v>
      </c>
      <c r="AJ375" s="9">
        <v>1</v>
      </c>
      <c r="AK375" s="14">
        <f t="shared" si="1"/>
        <v>1</v>
      </c>
      <c r="AL375" s="9"/>
      <c r="AM375" s="9"/>
      <c r="AN375" s="9"/>
      <c r="AO375" s="6"/>
      <c r="AP375" s="9"/>
      <c r="AQ375" s="9"/>
      <c r="AR375" s="9"/>
      <c r="AS375" s="9"/>
      <c r="AT375" s="9"/>
      <c r="AU375" s="9"/>
      <c r="AV375" s="9"/>
      <c r="AW375" s="9"/>
      <c r="AX375" s="9"/>
      <c r="AY375" s="9"/>
      <c r="AZ375" s="9"/>
      <c r="BA375" s="9"/>
      <c r="BB375" s="9"/>
      <c r="BC375" s="9"/>
      <c r="BD375" s="9"/>
      <c r="BE375" s="9"/>
      <c r="BF375" s="9"/>
      <c r="BG375" s="9"/>
      <c r="BH375" s="9"/>
    </row>
    <row r="376" spans="1:60" ht="12.5" hidden="1">
      <c r="A376" s="6" t="s">
        <v>1689</v>
      </c>
      <c r="B376" s="16">
        <v>45635</v>
      </c>
      <c r="C376" s="8">
        <v>45637</v>
      </c>
      <c r="D376" s="9" t="s">
        <v>41</v>
      </c>
      <c r="E376" s="9" t="s">
        <v>1690</v>
      </c>
      <c r="F376" s="9"/>
      <c r="G376" s="9" t="s">
        <v>43</v>
      </c>
      <c r="H376" s="10">
        <v>11.31</v>
      </c>
      <c r="I376" s="9" t="s">
        <v>44</v>
      </c>
      <c r="J376" s="9" t="s">
        <v>45</v>
      </c>
      <c r="K376" s="9" t="s">
        <v>1691</v>
      </c>
      <c r="L376" s="11" t="s">
        <v>47</v>
      </c>
      <c r="M376" s="9" t="s">
        <v>48</v>
      </c>
      <c r="N376" s="9" t="s">
        <v>48</v>
      </c>
      <c r="O376" s="12" t="s">
        <v>1692</v>
      </c>
      <c r="P376" s="6" t="s">
        <v>1693</v>
      </c>
      <c r="Q376" s="9" t="s">
        <v>1694</v>
      </c>
      <c r="R376" s="13">
        <v>1</v>
      </c>
      <c r="S376" s="9" t="s">
        <v>99</v>
      </c>
      <c r="T376" s="9" t="s">
        <v>53</v>
      </c>
      <c r="U376" s="9" t="s">
        <v>54</v>
      </c>
      <c r="V376" s="9" t="s">
        <v>55</v>
      </c>
      <c r="W376" s="9"/>
      <c r="X376" s="9"/>
      <c r="Y376" s="13">
        <v>64.58</v>
      </c>
      <c r="Z376" s="13">
        <v>1</v>
      </c>
      <c r="AA376" s="9"/>
      <c r="AB376" s="9"/>
      <c r="AC376" s="9"/>
      <c r="AD376" s="9"/>
      <c r="AE376" s="9"/>
      <c r="AF376" s="13">
        <v>64.58</v>
      </c>
      <c r="AG376" s="9"/>
      <c r="AH376" s="9"/>
      <c r="AI376" s="9">
        <v>2</v>
      </c>
      <c r="AJ376" s="9">
        <v>7</v>
      </c>
      <c r="AK376" s="14">
        <f t="shared" si="1"/>
        <v>0.2857142857142857</v>
      </c>
      <c r="AL376" s="9"/>
      <c r="AM376" s="9"/>
      <c r="AN376" s="9"/>
      <c r="AO376" s="6"/>
      <c r="AP376" s="9"/>
      <c r="AQ376" s="9"/>
      <c r="AR376" s="9"/>
      <c r="AS376" s="9"/>
      <c r="AT376" s="9"/>
      <c r="AU376" s="9"/>
      <c r="AV376" s="9"/>
      <c r="AW376" s="9"/>
      <c r="AX376" s="9"/>
      <c r="AY376" s="9"/>
      <c r="AZ376" s="9"/>
      <c r="BA376" s="9"/>
      <c r="BB376" s="9"/>
      <c r="BC376" s="9"/>
      <c r="BD376" s="9"/>
      <c r="BE376" s="9"/>
      <c r="BF376" s="9"/>
      <c r="BG376" s="9"/>
      <c r="BH376" s="9"/>
    </row>
    <row r="377" spans="1:60" ht="12.5" hidden="1">
      <c r="A377" s="6" t="s">
        <v>1695</v>
      </c>
      <c r="B377" s="16">
        <v>45617</v>
      </c>
      <c r="C377" s="8">
        <v>45627</v>
      </c>
      <c r="D377" s="9" t="s">
        <v>41</v>
      </c>
      <c r="E377" s="9" t="s">
        <v>1696</v>
      </c>
      <c r="F377" s="9"/>
      <c r="G377" s="9" t="s">
        <v>43</v>
      </c>
      <c r="H377" s="10">
        <v>10.26</v>
      </c>
      <c r="I377" s="9" t="s">
        <v>44</v>
      </c>
      <c r="J377" s="9" t="s">
        <v>45</v>
      </c>
      <c r="K377" s="9" t="s">
        <v>1697</v>
      </c>
      <c r="L377" s="11" t="s">
        <v>47</v>
      </c>
      <c r="M377" s="9" t="s">
        <v>48</v>
      </c>
      <c r="N377" s="9" t="s">
        <v>48</v>
      </c>
      <c r="O377" s="12" t="s">
        <v>1692</v>
      </c>
      <c r="P377" s="6" t="s">
        <v>1693</v>
      </c>
      <c r="Q377" s="9" t="s">
        <v>1694</v>
      </c>
      <c r="R377" s="13">
        <v>1</v>
      </c>
      <c r="S377" s="9" t="s">
        <v>99</v>
      </c>
      <c r="T377" s="9" t="s">
        <v>53</v>
      </c>
      <c r="U377" s="9" t="s">
        <v>54</v>
      </c>
      <c r="V377" s="9" t="s">
        <v>55</v>
      </c>
      <c r="W377" s="9"/>
      <c r="X377" s="9"/>
      <c r="Y377" s="13">
        <v>72.69</v>
      </c>
      <c r="Z377" s="13">
        <v>1</v>
      </c>
      <c r="AA377" s="9"/>
      <c r="AB377" s="9"/>
      <c r="AC377" s="9"/>
      <c r="AD377" s="9"/>
      <c r="AE377" s="9"/>
      <c r="AF377" s="13">
        <v>72.69</v>
      </c>
      <c r="AG377" s="9"/>
      <c r="AH377" s="9"/>
      <c r="AI377" s="9"/>
      <c r="AJ377" s="9"/>
      <c r="AK377" s="14" t="e">
        <f t="shared" si="1"/>
        <v>#DIV/0!</v>
      </c>
      <c r="AL377" s="9"/>
      <c r="AM377" s="9"/>
      <c r="AN377" s="9"/>
      <c r="AO377" s="6"/>
      <c r="AP377" s="9"/>
      <c r="AQ377" s="9"/>
      <c r="AR377" s="9"/>
      <c r="AS377" s="9"/>
      <c r="AT377" s="9"/>
      <c r="AU377" s="9"/>
      <c r="AV377" s="9"/>
      <c r="AW377" s="9"/>
      <c r="AX377" s="9"/>
      <c r="AY377" s="9"/>
      <c r="AZ377" s="9"/>
      <c r="BA377" s="9"/>
      <c r="BB377" s="9"/>
      <c r="BC377" s="9"/>
      <c r="BD377" s="9"/>
      <c r="BE377" s="9"/>
      <c r="BF377" s="9"/>
      <c r="BG377" s="9"/>
      <c r="BH377" s="9"/>
    </row>
    <row r="378" spans="1:60" ht="12.5" hidden="1">
      <c r="A378" s="28"/>
      <c r="C378" s="29"/>
      <c r="L378" s="30"/>
      <c r="O378" s="31"/>
      <c r="P378" s="28"/>
      <c r="AK378" s="14" t="e">
        <f t="shared" si="1"/>
        <v>#DIV/0!</v>
      </c>
      <c r="AM378" s="9"/>
      <c r="AN378" s="9"/>
      <c r="AO378" s="28"/>
    </row>
    <row r="379" spans="1:60" ht="12.5" hidden="1">
      <c r="A379" s="32"/>
      <c r="B379" s="33"/>
      <c r="C379" s="34"/>
      <c r="D379" s="33"/>
      <c r="E379" s="33"/>
      <c r="F379" s="33"/>
      <c r="G379" s="33"/>
      <c r="H379" s="33"/>
      <c r="I379" s="33"/>
      <c r="J379" s="33"/>
      <c r="K379" s="33"/>
      <c r="L379" s="35"/>
      <c r="M379" s="33"/>
      <c r="N379" s="33"/>
      <c r="O379" s="35"/>
      <c r="P379" s="32"/>
      <c r="Q379" s="33"/>
      <c r="R379" s="33"/>
      <c r="S379" s="33"/>
      <c r="T379" s="33"/>
      <c r="U379" s="33"/>
      <c r="V379" s="33"/>
      <c r="W379" s="33"/>
      <c r="X379" s="33"/>
      <c r="Y379" s="33"/>
      <c r="Z379" s="33"/>
      <c r="AA379" s="33"/>
      <c r="AB379" s="33"/>
      <c r="AC379" s="33"/>
      <c r="AD379" s="33"/>
      <c r="AE379" s="33"/>
      <c r="AF379" s="33"/>
      <c r="AG379" s="33"/>
      <c r="AH379" s="33"/>
      <c r="AI379" s="33"/>
      <c r="AJ379" s="33"/>
      <c r="AK379" s="36" t="e">
        <f t="shared" si="1"/>
        <v>#DIV/0!</v>
      </c>
      <c r="AL379" s="33"/>
      <c r="AM379" s="9"/>
      <c r="AN379" s="25"/>
      <c r="AO379" s="32"/>
      <c r="AP379" s="33"/>
      <c r="AQ379" s="33"/>
      <c r="AR379" s="33"/>
      <c r="AS379" s="33"/>
      <c r="AT379" s="33"/>
      <c r="AU379" s="33"/>
      <c r="AV379" s="33"/>
      <c r="AW379" s="33"/>
      <c r="AX379" s="33"/>
      <c r="AY379" s="33"/>
      <c r="AZ379" s="33"/>
      <c r="BA379" s="33"/>
      <c r="BB379" s="33"/>
      <c r="BC379" s="33"/>
      <c r="BD379" s="33"/>
      <c r="BE379" s="33"/>
      <c r="BF379" s="33"/>
      <c r="BG379" s="33"/>
      <c r="BH379" s="33"/>
    </row>
    <row r="380" spans="1:60" ht="12.5" hidden="1">
      <c r="A380" s="28"/>
      <c r="C380" s="29"/>
      <c r="L380" s="30"/>
      <c r="O380" s="31"/>
      <c r="P380" s="28"/>
      <c r="AK380" s="14" t="e">
        <f t="shared" si="1"/>
        <v>#DIV/0!</v>
      </c>
      <c r="AM380" s="9"/>
      <c r="AN380" s="9"/>
      <c r="AO380" s="28"/>
    </row>
    <row r="381" spans="1:60" ht="12.5" hidden="1">
      <c r="A381" s="28"/>
      <c r="C381" s="29"/>
      <c r="L381" s="30"/>
      <c r="O381" s="31"/>
      <c r="P381" s="28"/>
      <c r="AK381" s="14" t="e">
        <f t="shared" si="1"/>
        <v>#DIV/0!</v>
      </c>
      <c r="AM381" s="9"/>
      <c r="AN381" s="9"/>
      <c r="AO381" s="28"/>
    </row>
    <row r="382" spans="1:60" ht="12.5" hidden="1">
      <c r="A382" s="28" t="s">
        <v>1698</v>
      </c>
      <c r="B382" s="37">
        <v>45643</v>
      </c>
      <c r="C382" s="29">
        <v>45660</v>
      </c>
      <c r="D382" s="38" t="s">
        <v>41</v>
      </c>
      <c r="E382" s="38" t="s">
        <v>1699</v>
      </c>
      <c r="G382" s="38" t="s">
        <v>43</v>
      </c>
      <c r="H382" s="38">
        <v>13.92</v>
      </c>
      <c r="I382" s="38" t="s">
        <v>44</v>
      </c>
      <c r="J382" s="38" t="s">
        <v>45</v>
      </c>
      <c r="K382" s="38" t="s">
        <v>1700</v>
      </c>
      <c r="L382" s="30" t="s">
        <v>58</v>
      </c>
      <c r="M382" s="38" t="s">
        <v>48</v>
      </c>
      <c r="N382" s="38" t="s">
        <v>48</v>
      </c>
      <c r="O382" s="31" t="s">
        <v>49</v>
      </c>
      <c r="P382" s="28" t="s">
        <v>50</v>
      </c>
      <c r="Q382" s="38" t="s">
        <v>51</v>
      </c>
      <c r="R382" s="38">
        <v>1</v>
      </c>
      <c r="S382" s="38" t="s">
        <v>68</v>
      </c>
      <c r="T382" s="38" t="s">
        <v>53</v>
      </c>
      <c r="U382" s="38" t="s">
        <v>54</v>
      </c>
      <c r="V382" s="38" t="s">
        <v>55</v>
      </c>
      <c r="Y382" s="38">
        <v>97.61</v>
      </c>
      <c r="Z382" s="38">
        <v>1</v>
      </c>
      <c r="AF382" s="38">
        <v>83.69</v>
      </c>
      <c r="AI382" s="38">
        <v>1</v>
      </c>
      <c r="AJ382" s="38">
        <v>8</v>
      </c>
      <c r="AK382" s="14">
        <f t="shared" si="1"/>
        <v>0.125</v>
      </c>
      <c r="AM382" s="9"/>
      <c r="AN382" s="9"/>
      <c r="AO382" s="28"/>
    </row>
    <row r="383" spans="1:60" ht="12.5" hidden="1">
      <c r="A383" s="28" t="s">
        <v>1701</v>
      </c>
      <c r="B383" s="39">
        <v>45663</v>
      </c>
      <c r="C383" s="29">
        <v>45667</v>
      </c>
      <c r="D383" s="38" t="s">
        <v>41</v>
      </c>
      <c r="E383" s="38" t="s">
        <v>1702</v>
      </c>
      <c r="G383" s="38" t="s">
        <v>43</v>
      </c>
      <c r="H383" s="38">
        <v>11.1</v>
      </c>
      <c r="I383" s="38" t="s">
        <v>44</v>
      </c>
      <c r="J383" s="38" t="s">
        <v>45</v>
      </c>
      <c r="K383" s="38" t="s">
        <v>1703</v>
      </c>
      <c r="L383" s="30" t="s">
        <v>58</v>
      </c>
      <c r="M383" s="38" t="s">
        <v>48</v>
      </c>
      <c r="N383" s="38" t="s">
        <v>48</v>
      </c>
      <c r="O383" s="31" t="s">
        <v>1704</v>
      </c>
      <c r="P383" s="28" t="s">
        <v>1705</v>
      </c>
      <c r="Q383" s="38" t="s">
        <v>1706</v>
      </c>
      <c r="R383" s="38">
        <v>1</v>
      </c>
      <c r="S383" s="38" t="s">
        <v>68</v>
      </c>
      <c r="T383" s="38" t="s">
        <v>53</v>
      </c>
      <c r="U383" s="38" t="s">
        <v>54</v>
      </c>
      <c r="V383" s="38" t="s">
        <v>61</v>
      </c>
      <c r="Y383" s="38">
        <v>52.65</v>
      </c>
      <c r="Z383" s="38">
        <v>1</v>
      </c>
      <c r="AF383" s="38">
        <v>52.65</v>
      </c>
      <c r="AI383" s="38">
        <v>1</v>
      </c>
      <c r="AJ383" s="38">
        <v>8</v>
      </c>
      <c r="AK383" s="14">
        <f t="shared" si="1"/>
        <v>0.125</v>
      </c>
      <c r="AM383" s="9"/>
      <c r="AN383" s="9"/>
      <c r="AO383" s="28"/>
    </row>
    <row r="384" spans="1:60" ht="12.5" hidden="1">
      <c r="A384" s="28" t="s">
        <v>1707</v>
      </c>
      <c r="B384" s="37">
        <v>45620</v>
      </c>
      <c r="C384" s="29">
        <v>45658</v>
      </c>
      <c r="D384" s="38" t="s">
        <v>41</v>
      </c>
      <c r="E384" s="38" t="s">
        <v>1708</v>
      </c>
      <c r="G384" s="38" t="s">
        <v>43</v>
      </c>
      <c r="H384" s="38">
        <v>10.3</v>
      </c>
      <c r="I384" s="38" t="s">
        <v>44</v>
      </c>
      <c r="J384" s="38" t="s">
        <v>45</v>
      </c>
      <c r="K384" s="38" t="s">
        <v>1709</v>
      </c>
      <c r="L384" s="30" t="s">
        <v>58</v>
      </c>
      <c r="M384" s="38" t="s">
        <v>48</v>
      </c>
      <c r="N384" s="38" t="s">
        <v>48</v>
      </c>
      <c r="O384" s="31" t="s">
        <v>65</v>
      </c>
      <c r="P384" s="28" t="s">
        <v>66</v>
      </c>
      <c r="Q384" s="38" t="s">
        <v>67</v>
      </c>
      <c r="R384" s="38">
        <v>1</v>
      </c>
      <c r="S384" s="38" t="s">
        <v>68</v>
      </c>
      <c r="T384" s="38" t="s">
        <v>53</v>
      </c>
      <c r="U384" s="38" t="s">
        <v>54</v>
      </c>
      <c r="V384" s="38" t="s">
        <v>55</v>
      </c>
      <c r="Y384" s="38">
        <v>77.87</v>
      </c>
      <c r="Z384" s="38">
        <v>1</v>
      </c>
      <c r="AF384" s="38">
        <v>67.569999999999993</v>
      </c>
      <c r="AI384" s="38">
        <v>1</v>
      </c>
      <c r="AJ384" s="38">
        <v>3</v>
      </c>
      <c r="AK384" s="14">
        <f t="shared" si="1"/>
        <v>0.33333333333333331</v>
      </c>
      <c r="AM384" s="9"/>
      <c r="AN384" s="9"/>
      <c r="AO384" s="28"/>
    </row>
    <row r="385" spans="1:41" ht="12.5" hidden="1">
      <c r="A385" s="28" t="s">
        <v>1710</v>
      </c>
      <c r="B385" s="39">
        <v>45599</v>
      </c>
      <c r="C385" s="29">
        <v>45659</v>
      </c>
      <c r="D385" s="38" t="s">
        <v>41</v>
      </c>
      <c r="E385" s="38" t="s">
        <v>1711</v>
      </c>
      <c r="G385" s="38" t="s">
        <v>43</v>
      </c>
      <c r="H385" s="38">
        <v>11.01</v>
      </c>
      <c r="I385" s="38" t="s">
        <v>44</v>
      </c>
      <c r="J385" s="38" t="s">
        <v>45</v>
      </c>
      <c r="K385" s="38" t="s">
        <v>1712</v>
      </c>
      <c r="L385" s="30" t="s">
        <v>58</v>
      </c>
      <c r="M385" s="38" t="s">
        <v>48</v>
      </c>
      <c r="N385" s="38" t="s">
        <v>48</v>
      </c>
      <c r="O385" s="31" t="s">
        <v>72</v>
      </c>
      <c r="P385" s="28" t="s">
        <v>73</v>
      </c>
      <c r="Q385" s="38" t="s">
        <v>74</v>
      </c>
      <c r="R385" s="38">
        <v>1</v>
      </c>
      <c r="S385" s="38" t="s">
        <v>68</v>
      </c>
      <c r="T385" s="38" t="s">
        <v>53</v>
      </c>
      <c r="U385" s="38" t="s">
        <v>54</v>
      </c>
      <c r="V385" s="38" t="s">
        <v>55</v>
      </c>
      <c r="Y385" s="38">
        <v>54.05</v>
      </c>
      <c r="Z385" s="38">
        <v>1</v>
      </c>
      <c r="AF385" s="38">
        <v>43.04</v>
      </c>
      <c r="AI385" s="38">
        <v>1</v>
      </c>
      <c r="AJ385" s="38">
        <v>6</v>
      </c>
      <c r="AK385" s="14">
        <f t="shared" si="1"/>
        <v>0.16666666666666666</v>
      </c>
      <c r="AM385" s="9"/>
      <c r="AN385" s="9"/>
      <c r="AO385" s="28"/>
    </row>
    <row r="386" spans="1:41" ht="12.5" hidden="1">
      <c r="A386" s="28" t="s">
        <v>1713</v>
      </c>
      <c r="B386" s="37">
        <v>45625</v>
      </c>
      <c r="C386" s="29">
        <v>45672</v>
      </c>
      <c r="D386" s="38" t="s">
        <v>41</v>
      </c>
      <c r="E386" s="38" t="s">
        <v>1714</v>
      </c>
      <c r="G386" s="38" t="s">
        <v>43</v>
      </c>
      <c r="H386" s="38">
        <v>11.1</v>
      </c>
      <c r="I386" s="38" t="s">
        <v>44</v>
      </c>
      <c r="J386" s="38" t="s">
        <v>45</v>
      </c>
      <c r="K386" s="38" t="s">
        <v>1715</v>
      </c>
      <c r="L386" s="30" t="s">
        <v>47</v>
      </c>
      <c r="M386" s="38" t="s">
        <v>48</v>
      </c>
      <c r="N386" s="38" t="s">
        <v>48</v>
      </c>
      <c r="O386" s="40" t="s">
        <v>79</v>
      </c>
      <c r="P386" s="28" t="s">
        <v>80</v>
      </c>
      <c r="Q386" s="38" t="s">
        <v>81</v>
      </c>
      <c r="R386" s="38">
        <v>1</v>
      </c>
      <c r="S386" s="38" t="s">
        <v>92</v>
      </c>
      <c r="T386" s="38" t="s">
        <v>53</v>
      </c>
      <c r="U386" s="38" t="s">
        <v>54</v>
      </c>
      <c r="V386" s="38" t="s">
        <v>55</v>
      </c>
      <c r="Y386" s="38">
        <v>52.72</v>
      </c>
      <c r="Z386" s="38">
        <v>1</v>
      </c>
      <c r="AF386" s="38">
        <v>52.72</v>
      </c>
      <c r="AI386" s="38">
        <v>9</v>
      </c>
      <c r="AJ386" s="38">
        <v>33</v>
      </c>
      <c r="AK386" s="14">
        <f t="shared" si="1"/>
        <v>0.27272727272727271</v>
      </c>
      <c r="AM386" s="9"/>
      <c r="AN386" s="9"/>
      <c r="AO386" s="28"/>
    </row>
    <row r="387" spans="1:41" ht="12.5" hidden="1">
      <c r="A387" s="28" t="s">
        <v>1716</v>
      </c>
      <c r="B387" s="37">
        <v>45668</v>
      </c>
      <c r="C387" s="29">
        <v>45672</v>
      </c>
      <c r="D387" s="38" t="s">
        <v>41</v>
      </c>
      <c r="E387" s="38" t="s">
        <v>1717</v>
      </c>
      <c r="G387" s="38" t="s">
        <v>43</v>
      </c>
      <c r="H387" s="38">
        <v>11.1</v>
      </c>
      <c r="I387" s="38" t="s">
        <v>44</v>
      </c>
      <c r="J387" s="38" t="s">
        <v>45</v>
      </c>
      <c r="K387" s="38" t="s">
        <v>1718</v>
      </c>
      <c r="L387" s="30" t="s">
        <v>47</v>
      </c>
      <c r="M387" s="38" t="s">
        <v>48</v>
      </c>
      <c r="N387" s="38" t="s">
        <v>48</v>
      </c>
      <c r="O387" s="31" t="s">
        <v>79</v>
      </c>
      <c r="P387" s="28" t="s">
        <v>80</v>
      </c>
      <c r="Q387" s="38" t="s">
        <v>81</v>
      </c>
      <c r="R387" s="38">
        <v>1</v>
      </c>
      <c r="S387" s="38" t="s">
        <v>99</v>
      </c>
      <c r="T387" s="38" t="s">
        <v>53</v>
      </c>
      <c r="U387" s="38" t="s">
        <v>54</v>
      </c>
      <c r="V387" s="38" t="s">
        <v>61</v>
      </c>
      <c r="Y387" s="38">
        <v>53.24</v>
      </c>
      <c r="Z387" s="38">
        <v>1</v>
      </c>
      <c r="AK387" s="14" t="e">
        <f t="shared" si="1"/>
        <v>#DIV/0!</v>
      </c>
      <c r="AM387" s="9"/>
      <c r="AN387" s="9"/>
      <c r="AO387" s="28"/>
    </row>
    <row r="388" spans="1:41" ht="12.5" hidden="1">
      <c r="A388" s="28" t="s">
        <v>1719</v>
      </c>
      <c r="B388" s="39">
        <v>45664</v>
      </c>
      <c r="C388" s="29">
        <v>45670</v>
      </c>
      <c r="D388" s="38" t="s">
        <v>41</v>
      </c>
      <c r="E388" s="38" t="s">
        <v>1720</v>
      </c>
      <c r="G388" s="38" t="s">
        <v>43</v>
      </c>
      <c r="H388" s="38">
        <v>11.1</v>
      </c>
      <c r="I388" s="38" t="s">
        <v>44</v>
      </c>
      <c r="J388" s="38" t="s">
        <v>45</v>
      </c>
      <c r="K388" s="38" t="s">
        <v>1721</v>
      </c>
      <c r="L388" s="30" t="s">
        <v>58</v>
      </c>
      <c r="M388" s="38" t="s">
        <v>48</v>
      </c>
      <c r="N388" s="38" t="s">
        <v>48</v>
      </c>
      <c r="O388" s="31" t="s">
        <v>79</v>
      </c>
      <c r="P388" s="28" t="s">
        <v>80</v>
      </c>
      <c r="Q388" s="38" t="s">
        <v>81</v>
      </c>
      <c r="R388" s="38">
        <v>1</v>
      </c>
      <c r="S388" s="38" t="s">
        <v>1722</v>
      </c>
      <c r="T388" s="38" t="s">
        <v>53</v>
      </c>
      <c r="U388" s="38" t="s">
        <v>60</v>
      </c>
      <c r="V388" s="38" t="s">
        <v>61</v>
      </c>
      <c r="Y388" s="38">
        <v>55.04</v>
      </c>
      <c r="Z388" s="38">
        <v>1</v>
      </c>
      <c r="AK388" s="14" t="e">
        <f t="shared" si="1"/>
        <v>#DIV/0!</v>
      </c>
      <c r="AM388" s="9"/>
      <c r="AN388" s="9"/>
      <c r="AO388" s="28"/>
    </row>
    <row r="389" spans="1:41" ht="12.5" hidden="1">
      <c r="A389" s="28" t="s">
        <v>1723</v>
      </c>
      <c r="B389" s="39">
        <v>45665</v>
      </c>
      <c r="C389" s="29">
        <v>45668</v>
      </c>
      <c r="D389" s="38" t="s">
        <v>41</v>
      </c>
      <c r="E389" s="38" t="s">
        <v>1724</v>
      </c>
      <c r="G389" s="38" t="s">
        <v>43</v>
      </c>
      <c r="H389" s="38">
        <v>11.1</v>
      </c>
      <c r="I389" s="38" t="s">
        <v>44</v>
      </c>
      <c r="J389" s="38" t="s">
        <v>45</v>
      </c>
      <c r="K389" s="38" t="s">
        <v>1725</v>
      </c>
      <c r="L389" s="30" t="s">
        <v>47</v>
      </c>
      <c r="M389" s="38" t="s">
        <v>48</v>
      </c>
      <c r="N389" s="38" t="s">
        <v>48</v>
      </c>
      <c r="O389" s="31" t="s">
        <v>79</v>
      </c>
      <c r="P389" s="28" t="s">
        <v>80</v>
      </c>
      <c r="Q389" s="38" t="s">
        <v>81</v>
      </c>
      <c r="R389" s="38">
        <v>1</v>
      </c>
      <c r="S389" s="38" t="s">
        <v>92</v>
      </c>
      <c r="T389" s="38" t="s">
        <v>53</v>
      </c>
      <c r="U389" s="38" t="s">
        <v>54</v>
      </c>
      <c r="V389" s="38" t="s">
        <v>55</v>
      </c>
      <c r="Y389" s="38">
        <v>53.1</v>
      </c>
      <c r="Z389" s="38">
        <v>1</v>
      </c>
      <c r="AF389" s="38">
        <v>53.1</v>
      </c>
      <c r="AK389" s="14" t="e">
        <f t="shared" si="1"/>
        <v>#DIV/0!</v>
      </c>
      <c r="AM389" s="9"/>
      <c r="AN389" s="9"/>
      <c r="AO389" s="28"/>
    </row>
    <row r="390" spans="1:41" ht="12.5" hidden="1">
      <c r="A390" s="28" t="s">
        <v>1726</v>
      </c>
      <c r="B390" s="39">
        <v>45659</v>
      </c>
      <c r="C390" s="29">
        <v>45668</v>
      </c>
      <c r="D390" s="38" t="s">
        <v>41</v>
      </c>
      <c r="E390" s="38" t="s">
        <v>1727</v>
      </c>
      <c r="G390" s="38" t="s">
        <v>43</v>
      </c>
      <c r="H390" s="38">
        <v>11.1</v>
      </c>
      <c r="I390" s="38" t="s">
        <v>44</v>
      </c>
      <c r="J390" s="38" t="s">
        <v>45</v>
      </c>
      <c r="K390" s="38" t="s">
        <v>1728</v>
      </c>
      <c r="L390" s="30" t="s">
        <v>47</v>
      </c>
      <c r="M390" s="38" t="s">
        <v>48</v>
      </c>
      <c r="N390" s="38" t="s">
        <v>48</v>
      </c>
      <c r="O390" s="31" t="s">
        <v>79</v>
      </c>
      <c r="P390" s="28" t="s">
        <v>80</v>
      </c>
      <c r="Q390" s="38" t="s">
        <v>81</v>
      </c>
      <c r="R390" s="38">
        <v>1</v>
      </c>
      <c r="S390" s="38" t="s">
        <v>82</v>
      </c>
      <c r="T390" s="38" t="s">
        <v>53</v>
      </c>
      <c r="U390" s="38" t="s">
        <v>54</v>
      </c>
      <c r="V390" s="38" t="s">
        <v>61</v>
      </c>
      <c r="Y390" s="38">
        <v>51.95</v>
      </c>
      <c r="Z390" s="38">
        <v>1</v>
      </c>
      <c r="AK390" s="14" t="e">
        <f t="shared" si="1"/>
        <v>#DIV/0!</v>
      </c>
      <c r="AM390" s="9" t="s">
        <v>953</v>
      </c>
      <c r="AN390" s="9"/>
      <c r="AO390" s="28"/>
    </row>
    <row r="391" spans="1:41" ht="12.5" hidden="1">
      <c r="A391" s="28" t="s">
        <v>1729</v>
      </c>
      <c r="B391" s="37">
        <v>45656</v>
      </c>
      <c r="C391" s="29">
        <v>45667</v>
      </c>
      <c r="D391" s="38" t="s">
        <v>41</v>
      </c>
      <c r="E391" s="38" t="s">
        <v>1730</v>
      </c>
      <c r="G391" s="38" t="s">
        <v>43</v>
      </c>
      <c r="H391" s="38">
        <v>11.1</v>
      </c>
      <c r="I391" s="38" t="s">
        <v>44</v>
      </c>
      <c r="J391" s="38" t="s">
        <v>45</v>
      </c>
      <c r="K391" s="38" t="s">
        <v>1731</v>
      </c>
      <c r="L391" s="30" t="s">
        <v>47</v>
      </c>
      <c r="M391" s="38" t="s">
        <v>48</v>
      </c>
      <c r="N391" s="38" t="s">
        <v>48</v>
      </c>
      <c r="O391" s="31" t="s">
        <v>79</v>
      </c>
      <c r="P391" s="28" t="s">
        <v>80</v>
      </c>
      <c r="Q391" s="38" t="s">
        <v>81</v>
      </c>
      <c r="R391" s="38">
        <v>1</v>
      </c>
      <c r="S391" s="38" t="s">
        <v>99</v>
      </c>
      <c r="T391" s="38" t="s">
        <v>53</v>
      </c>
      <c r="U391" s="38" t="s">
        <v>54</v>
      </c>
      <c r="V391" s="38" t="s">
        <v>61</v>
      </c>
      <c r="Y391" s="38">
        <v>54.05</v>
      </c>
      <c r="Z391" s="38">
        <v>1</v>
      </c>
      <c r="AK391" s="14" t="e">
        <f t="shared" si="1"/>
        <v>#DIV/0!</v>
      </c>
      <c r="AM391" s="9" t="s">
        <v>953</v>
      </c>
      <c r="AN391" s="9"/>
      <c r="AO391" s="28"/>
    </row>
    <row r="392" spans="1:41" ht="12.5" hidden="1">
      <c r="A392" s="28" t="s">
        <v>1732</v>
      </c>
      <c r="B392" s="37">
        <v>45657</v>
      </c>
      <c r="C392" s="29">
        <v>45664</v>
      </c>
      <c r="D392" s="38" t="s">
        <v>41</v>
      </c>
      <c r="E392" s="38" t="s">
        <v>1733</v>
      </c>
      <c r="G392" s="38" t="s">
        <v>43</v>
      </c>
      <c r="H392" s="38">
        <v>11.1</v>
      </c>
      <c r="I392" s="38" t="s">
        <v>44</v>
      </c>
      <c r="J392" s="38" t="s">
        <v>45</v>
      </c>
      <c r="K392" s="38" t="s">
        <v>1734</v>
      </c>
      <c r="L392" s="30" t="s">
        <v>58</v>
      </c>
      <c r="M392" s="38" t="s">
        <v>48</v>
      </c>
      <c r="N392" s="38" t="s">
        <v>48</v>
      </c>
      <c r="O392" s="31" t="s">
        <v>79</v>
      </c>
      <c r="P392" s="28" t="s">
        <v>80</v>
      </c>
      <c r="Q392" s="38" t="s">
        <v>81</v>
      </c>
      <c r="R392" s="38">
        <v>1</v>
      </c>
      <c r="S392" s="38" t="s">
        <v>68</v>
      </c>
      <c r="T392" s="38" t="s">
        <v>53</v>
      </c>
      <c r="U392" s="38" t="s">
        <v>54</v>
      </c>
      <c r="V392" s="38" t="s">
        <v>55</v>
      </c>
      <c r="Y392" s="38">
        <v>109.1</v>
      </c>
      <c r="Z392" s="38">
        <v>2</v>
      </c>
      <c r="AF392" s="38">
        <v>43.45</v>
      </c>
      <c r="AK392" s="14" t="e">
        <f t="shared" si="1"/>
        <v>#DIV/0!</v>
      </c>
      <c r="AM392" s="9"/>
      <c r="AN392" s="9"/>
      <c r="AO392" s="28"/>
    </row>
    <row r="393" spans="1:41" ht="12.5" hidden="1">
      <c r="A393" s="28" t="s">
        <v>1732</v>
      </c>
      <c r="B393" s="37">
        <v>45657</v>
      </c>
      <c r="C393" s="29">
        <v>45663</v>
      </c>
      <c r="D393" s="38" t="s">
        <v>41</v>
      </c>
      <c r="E393" s="38" t="s">
        <v>1735</v>
      </c>
      <c r="G393" s="38" t="s">
        <v>43</v>
      </c>
      <c r="H393" s="38">
        <v>11.1</v>
      </c>
      <c r="I393" s="38" t="s">
        <v>44</v>
      </c>
      <c r="J393" s="38" t="s">
        <v>45</v>
      </c>
      <c r="K393" s="38" t="s">
        <v>1736</v>
      </c>
      <c r="L393" s="30" t="s">
        <v>58</v>
      </c>
      <c r="M393" s="38" t="s">
        <v>48</v>
      </c>
      <c r="N393" s="38" t="s">
        <v>48</v>
      </c>
      <c r="O393" s="31" t="s">
        <v>79</v>
      </c>
      <c r="P393" s="28" t="s">
        <v>80</v>
      </c>
      <c r="Q393" s="38" t="s">
        <v>81</v>
      </c>
      <c r="R393" s="38">
        <v>1</v>
      </c>
      <c r="S393" s="38" t="s">
        <v>68</v>
      </c>
      <c r="T393" s="38" t="s">
        <v>53</v>
      </c>
      <c r="U393" s="38" t="s">
        <v>54</v>
      </c>
      <c r="V393" s="38" t="s">
        <v>55</v>
      </c>
      <c r="Y393" s="38">
        <v>109.1</v>
      </c>
      <c r="Z393" s="38">
        <v>2</v>
      </c>
      <c r="AF393" s="38">
        <v>43.45</v>
      </c>
      <c r="AK393" s="14" t="e">
        <f t="shared" si="1"/>
        <v>#DIV/0!</v>
      </c>
      <c r="AM393" s="9"/>
      <c r="AN393" s="9"/>
      <c r="AO393" s="28"/>
    </row>
    <row r="394" spans="1:41" ht="12.5" hidden="1">
      <c r="A394" s="28" t="s">
        <v>1737</v>
      </c>
      <c r="B394" s="37">
        <v>45637</v>
      </c>
      <c r="C394" s="29">
        <v>45659</v>
      </c>
      <c r="D394" s="38" t="s">
        <v>41</v>
      </c>
      <c r="E394" s="38" t="s">
        <v>1738</v>
      </c>
      <c r="G394" s="38" t="s">
        <v>43</v>
      </c>
      <c r="H394" s="38">
        <v>11.01</v>
      </c>
      <c r="I394" s="38" t="s">
        <v>44</v>
      </c>
      <c r="J394" s="38" t="s">
        <v>45</v>
      </c>
      <c r="K394" s="38" t="s">
        <v>1739</v>
      </c>
      <c r="L394" s="30" t="s">
        <v>47</v>
      </c>
      <c r="M394" s="38" t="s">
        <v>48</v>
      </c>
      <c r="N394" s="38" t="s">
        <v>48</v>
      </c>
      <c r="O394" s="31" t="s">
        <v>79</v>
      </c>
      <c r="P394" s="28" t="s">
        <v>80</v>
      </c>
      <c r="Q394" s="38" t="s">
        <v>81</v>
      </c>
      <c r="R394" s="38">
        <v>1</v>
      </c>
      <c r="S394" s="38" t="s">
        <v>52</v>
      </c>
      <c r="T394" s="38" t="s">
        <v>53</v>
      </c>
      <c r="U394" s="38" t="s">
        <v>54</v>
      </c>
      <c r="V394" s="38" t="s">
        <v>55</v>
      </c>
      <c r="Y394" s="38">
        <v>53.8</v>
      </c>
      <c r="Z394" s="38">
        <v>1</v>
      </c>
      <c r="AF394" s="38">
        <v>53.8</v>
      </c>
      <c r="AK394" s="14" t="e">
        <f t="shared" si="1"/>
        <v>#DIV/0!</v>
      </c>
      <c r="AM394" s="9"/>
      <c r="AN394" s="9"/>
      <c r="AO394" s="28"/>
    </row>
    <row r="395" spans="1:41" ht="12.5" hidden="1">
      <c r="A395" s="28" t="s">
        <v>1740</v>
      </c>
      <c r="B395" s="37">
        <v>45637</v>
      </c>
      <c r="C395" s="29">
        <v>45661</v>
      </c>
      <c r="D395" s="38" t="s">
        <v>41</v>
      </c>
      <c r="E395" s="38" t="s">
        <v>1741</v>
      </c>
      <c r="G395" s="38" t="s">
        <v>43</v>
      </c>
      <c r="H395" s="38">
        <v>12.1</v>
      </c>
      <c r="I395" s="38" t="s">
        <v>44</v>
      </c>
      <c r="J395" s="38" t="s">
        <v>45</v>
      </c>
      <c r="K395" s="38" t="s">
        <v>1742</v>
      </c>
      <c r="L395" s="30" t="s">
        <v>58</v>
      </c>
      <c r="M395" s="38" t="s">
        <v>48</v>
      </c>
      <c r="N395" s="38" t="s">
        <v>48</v>
      </c>
      <c r="O395" s="31" t="s">
        <v>96</v>
      </c>
      <c r="P395" s="28" t="s">
        <v>97</v>
      </c>
      <c r="Q395" s="38" t="s">
        <v>98</v>
      </c>
      <c r="R395" s="38">
        <v>1</v>
      </c>
      <c r="S395" s="38" t="s">
        <v>68</v>
      </c>
      <c r="T395" s="38" t="s">
        <v>53</v>
      </c>
      <c r="U395" s="38" t="s">
        <v>54</v>
      </c>
      <c r="V395" s="38" t="s">
        <v>55</v>
      </c>
      <c r="Y395" s="38">
        <v>83.07</v>
      </c>
      <c r="Z395" s="38">
        <v>1</v>
      </c>
      <c r="AF395" s="38">
        <v>70.97</v>
      </c>
      <c r="AI395" s="38">
        <v>2</v>
      </c>
      <c r="AJ395" s="38">
        <v>15</v>
      </c>
      <c r="AK395" s="14">
        <f t="shared" si="1"/>
        <v>0.13333333333333333</v>
      </c>
      <c r="AM395" s="9"/>
      <c r="AN395" s="9"/>
      <c r="AO395" s="28"/>
    </row>
    <row r="396" spans="1:41" ht="12.5" hidden="1">
      <c r="A396" s="28" t="s">
        <v>1743</v>
      </c>
      <c r="B396" s="39">
        <v>45634</v>
      </c>
      <c r="C396" s="29">
        <v>45659</v>
      </c>
      <c r="D396" s="38" t="s">
        <v>41</v>
      </c>
      <c r="E396" s="38" t="s">
        <v>1744</v>
      </c>
      <c r="G396" s="38" t="s">
        <v>43</v>
      </c>
      <c r="H396" s="38">
        <v>12.1</v>
      </c>
      <c r="I396" s="38" t="s">
        <v>44</v>
      </c>
      <c r="J396" s="38" t="s">
        <v>45</v>
      </c>
      <c r="K396" s="38" t="s">
        <v>1745</v>
      </c>
      <c r="L396" s="30" t="s">
        <v>58</v>
      </c>
      <c r="M396" s="38" t="s">
        <v>48</v>
      </c>
      <c r="N396" s="38" t="s">
        <v>48</v>
      </c>
      <c r="O396" s="31" t="s">
        <v>96</v>
      </c>
      <c r="P396" s="28" t="s">
        <v>97</v>
      </c>
      <c r="Q396" s="38" t="s">
        <v>98</v>
      </c>
      <c r="R396" s="38">
        <v>1</v>
      </c>
      <c r="S396" s="38" t="s">
        <v>75</v>
      </c>
      <c r="T396" s="38" t="s">
        <v>53</v>
      </c>
      <c r="U396" s="38" t="s">
        <v>54</v>
      </c>
      <c r="V396" s="38" t="s">
        <v>61</v>
      </c>
      <c r="Y396" s="38">
        <v>81.27</v>
      </c>
      <c r="Z396" s="38">
        <v>1</v>
      </c>
      <c r="AK396" s="14" t="e">
        <f t="shared" si="1"/>
        <v>#DIV/0!</v>
      </c>
      <c r="AM396" s="9"/>
      <c r="AN396" s="9"/>
      <c r="AO396" s="28"/>
    </row>
    <row r="397" spans="1:41" ht="12.5" hidden="1">
      <c r="A397" s="28" t="s">
        <v>1746</v>
      </c>
      <c r="B397" s="37">
        <v>45655</v>
      </c>
      <c r="C397" s="29">
        <v>45671</v>
      </c>
      <c r="D397" s="38" t="s">
        <v>41</v>
      </c>
      <c r="E397" s="38" t="s">
        <v>1747</v>
      </c>
      <c r="G397" s="38" t="s">
        <v>43</v>
      </c>
      <c r="H397" s="38">
        <v>10.02</v>
      </c>
      <c r="I397" s="38" t="s">
        <v>44</v>
      </c>
      <c r="J397" s="38" t="s">
        <v>45</v>
      </c>
      <c r="K397" s="38" t="s">
        <v>1748</v>
      </c>
      <c r="L397" s="30" t="s">
        <v>47</v>
      </c>
      <c r="M397" s="38" t="s">
        <v>48</v>
      </c>
      <c r="N397" s="38" t="s">
        <v>48</v>
      </c>
      <c r="O397" s="31" t="s">
        <v>127</v>
      </c>
      <c r="P397" s="28" t="s">
        <v>128</v>
      </c>
      <c r="Q397" s="38" t="s">
        <v>1749</v>
      </c>
      <c r="R397" s="38">
        <v>1</v>
      </c>
      <c r="S397" s="38" t="s">
        <v>82</v>
      </c>
      <c r="T397" s="38" t="s">
        <v>53</v>
      </c>
      <c r="U397" s="38" t="s">
        <v>54</v>
      </c>
      <c r="V397" s="38" t="s">
        <v>55</v>
      </c>
      <c r="Y397" s="38">
        <v>69.38</v>
      </c>
      <c r="Z397" s="38">
        <v>1</v>
      </c>
      <c r="AF397" s="38">
        <v>69.38</v>
      </c>
      <c r="AI397" s="38">
        <v>3</v>
      </c>
      <c r="AJ397" s="38">
        <v>2</v>
      </c>
      <c r="AK397" s="14">
        <f t="shared" si="1"/>
        <v>1.5</v>
      </c>
      <c r="AM397" s="9"/>
      <c r="AN397" s="9"/>
      <c r="AO397" s="28"/>
    </row>
    <row r="398" spans="1:41" ht="12.5" hidden="1">
      <c r="A398" s="28" t="s">
        <v>1746</v>
      </c>
      <c r="B398" s="37">
        <v>45655</v>
      </c>
      <c r="C398" s="29">
        <v>45671</v>
      </c>
      <c r="D398" s="38" t="s">
        <v>41</v>
      </c>
      <c r="E398" s="38" t="s">
        <v>1750</v>
      </c>
      <c r="G398" s="38" t="s">
        <v>43</v>
      </c>
      <c r="H398" s="38">
        <v>10.02</v>
      </c>
      <c r="I398" s="38" t="s">
        <v>44</v>
      </c>
      <c r="J398" s="38" t="s">
        <v>45</v>
      </c>
      <c r="K398" s="38" t="s">
        <v>1751</v>
      </c>
      <c r="L398" s="30" t="s">
        <v>47</v>
      </c>
      <c r="M398" s="38" t="s">
        <v>48</v>
      </c>
      <c r="N398" s="38" t="s">
        <v>48</v>
      </c>
      <c r="O398" s="31" t="s">
        <v>127</v>
      </c>
      <c r="P398" s="28" t="s">
        <v>128</v>
      </c>
      <c r="Q398" s="38" t="s">
        <v>1749</v>
      </c>
      <c r="R398" s="38">
        <v>1</v>
      </c>
      <c r="S398" s="38" t="s">
        <v>82</v>
      </c>
      <c r="T398" s="38" t="s">
        <v>53</v>
      </c>
      <c r="U398" s="38" t="s">
        <v>54</v>
      </c>
      <c r="V398" s="38" t="s">
        <v>61</v>
      </c>
      <c r="Y398" s="38">
        <v>69.38</v>
      </c>
      <c r="Z398" s="38">
        <v>1</v>
      </c>
      <c r="AK398" s="14" t="e">
        <f t="shared" si="1"/>
        <v>#DIV/0!</v>
      </c>
      <c r="AM398" s="9"/>
      <c r="AN398" s="9"/>
      <c r="AO398" s="28"/>
    </row>
    <row r="399" spans="1:41" ht="12.5" hidden="1">
      <c r="A399" s="28" t="s">
        <v>1752</v>
      </c>
      <c r="B399" s="37">
        <v>45655</v>
      </c>
      <c r="C399" s="29">
        <v>45668</v>
      </c>
      <c r="D399" s="38" t="s">
        <v>41</v>
      </c>
      <c r="E399" s="38" t="s">
        <v>1753</v>
      </c>
      <c r="G399" s="38" t="s">
        <v>43</v>
      </c>
      <c r="H399" s="38">
        <v>10.02</v>
      </c>
      <c r="I399" s="38" t="s">
        <v>44</v>
      </c>
      <c r="J399" s="38" t="s">
        <v>45</v>
      </c>
      <c r="K399" s="38" t="s">
        <v>1754</v>
      </c>
      <c r="L399" s="30" t="s">
        <v>47</v>
      </c>
      <c r="M399" s="38" t="s">
        <v>48</v>
      </c>
      <c r="N399" s="38" t="s">
        <v>48</v>
      </c>
      <c r="O399" s="31" t="s">
        <v>127</v>
      </c>
      <c r="P399" s="28" t="s">
        <v>128</v>
      </c>
      <c r="Q399" s="38" t="s">
        <v>1755</v>
      </c>
      <c r="R399" s="38">
        <v>1</v>
      </c>
      <c r="S399" s="38" t="s">
        <v>52</v>
      </c>
      <c r="T399" s="38" t="s">
        <v>53</v>
      </c>
      <c r="U399" s="38" t="s">
        <v>54</v>
      </c>
      <c r="V399" s="38" t="s">
        <v>61</v>
      </c>
      <c r="Y399" s="38">
        <v>70.3</v>
      </c>
      <c r="Z399" s="38">
        <v>1</v>
      </c>
      <c r="AK399" s="14" t="e">
        <f t="shared" si="1"/>
        <v>#DIV/0!</v>
      </c>
      <c r="AM399" s="9"/>
      <c r="AN399" s="9"/>
      <c r="AO399" s="28"/>
    </row>
    <row r="400" spans="1:41" ht="12.5" hidden="1">
      <c r="A400" s="28" t="s">
        <v>1756</v>
      </c>
      <c r="B400" s="37">
        <v>45618</v>
      </c>
      <c r="C400" s="29">
        <v>45669</v>
      </c>
      <c r="D400" s="38" t="s">
        <v>41</v>
      </c>
      <c r="E400" s="38" t="s">
        <v>1757</v>
      </c>
      <c r="G400" s="38" t="s">
        <v>43</v>
      </c>
      <c r="H400" s="38">
        <v>10.66</v>
      </c>
      <c r="I400" s="38" t="s">
        <v>44</v>
      </c>
      <c r="J400" s="38" t="s">
        <v>45</v>
      </c>
      <c r="K400" s="38" t="s">
        <v>1758</v>
      </c>
      <c r="L400" s="30" t="s">
        <v>58</v>
      </c>
      <c r="M400" s="38" t="s">
        <v>48</v>
      </c>
      <c r="N400" s="38" t="s">
        <v>48</v>
      </c>
      <c r="O400" s="31" t="s">
        <v>1759</v>
      </c>
      <c r="P400" s="28" t="s">
        <v>1760</v>
      </c>
      <c r="Q400" s="38" t="s">
        <v>1761</v>
      </c>
      <c r="R400" s="38">
        <v>1</v>
      </c>
      <c r="S400" s="38" t="s">
        <v>75</v>
      </c>
      <c r="T400" s="38" t="s">
        <v>53</v>
      </c>
      <c r="U400" s="38" t="s">
        <v>54</v>
      </c>
      <c r="V400" s="38" t="s">
        <v>55</v>
      </c>
      <c r="Y400" s="38">
        <v>70.45</v>
      </c>
      <c r="Z400" s="38">
        <v>1</v>
      </c>
      <c r="AF400" s="38">
        <v>59.79</v>
      </c>
      <c r="AI400" s="38">
        <v>1</v>
      </c>
      <c r="AJ400" s="38">
        <v>3</v>
      </c>
      <c r="AK400" s="14">
        <f t="shared" si="1"/>
        <v>0.33333333333333331</v>
      </c>
      <c r="AM400" s="9"/>
      <c r="AN400" s="9"/>
      <c r="AO400" s="28"/>
    </row>
    <row r="401" spans="1:41" ht="12.5" hidden="1">
      <c r="A401" s="28" t="s">
        <v>1762</v>
      </c>
      <c r="B401" s="39">
        <v>45661</v>
      </c>
      <c r="C401" s="29">
        <v>45670</v>
      </c>
      <c r="D401" s="38" t="s">
        <v>41</v>
      </c>
      <c r="E401" s="38" t="s">
        <v>1763</v>
      </c>
      <c r="G401" s="38" t="s">
        <v>43</v>
      </c>
      <c r="H401" s="38">
        <v>11.1</v>
      </c>
      <c r="I401" s="38" t="s">
        <v>44</v>
      </c>
      <c r="J401" s="38" t="s">
        <v>45</v>
      </c>
      <c r="K401" s="38" t="s">
        <v>1764</v>
      </c>
      <c r="L401" s="30" t="s">
        <v>47</v>
      </c>
      <c r="M401" s="38" t="s">
        <v>48</v>
      </c>
      <c r="N401" s="38" t="s">
        <v>48</v>
      </c>
      <c r="O401" s="31" t="s">
        <v>1003</v>
      </c>
      <c r="P401" s="28" t="s">
        <v>1004</v>
      </c>
      <c r="Q401" s="38" t="s">
        <v>1005</v>
      </c>
      <c r="R401" s="38">
        <v>1</v>
      </c>
      <c r="S401" s="38" t="s">
        <v>99</v>
      </c>
      <c r="T401" s="38" t="s">
        <v>53</v>
      </c>
      <c r="U401" s="38" t="s">
        <v>54</v>
      </c>
      <c r="V401" s="38" t="s">
        <v>61</v>
      </c>
      <c r="Y401" s="38">
        <v>97.69</v>
      </c>
      <c r="Z401" s="38">
        <v>1</v>
      </c>
      <c r="AI401" s="38">
        <v>1</v>
      </c>
      <c r="AJ401" s="38">
        <v>2</v>
      </c>
      <c r="AK401" s="14">
        <f t="shared" si="1"/>
        <v>0.5</v>
      </c>
      <c r="AM401" s="9"/>
      <c r="AN401" s="9"/>
      <c r="AO401" s="28"/>
    </row>
    <row r="402" spans="1:41" ht="12.5" hidden="1">
      <c r="A402" s="28" t="s">
        <v>1765</v>
      </c>
      <c r="B402" s="37">
        <v>45647</v>
      </c>
      <c r="C402" s="29">
        <v>45660</v>
      </c>
      <c r="D402" s="38" t="s">
        <v>41</v>
      </c>
      <c r="E402" s="38" t="s">
        <v>1766</v>
      </c>
      <c r="G402" s="38" t="s">
        <v>137</v>
      </c>
      <c r="H402" s="38">
        <v>0</v>
      </c>
      <c r="L402" s="30" t="s">
        <v>47</v>
      </c>
      <c r="M402" s="38" t="s">
        <v>48</v>
      </c>
      <c r="N402" s="38" t="s">
        <v>48</v>
      </c>
      <c r="O402" s="31" t="s">
        <v>147</v>
      </c>
      <c r="P402" s="28" t="s">
        <v>148</v>
      </c>
      <c r="Q402" s="38" t="s">
        <v>152</v>
      </c>
      <c r="R402" s="38">
        <v>1</v>
      </c>
      <c r="S402" s="38" t="s">
        <v>52</v>
      </c>
      <c r="T402" s="38" t="s">
        <v>53</v>
      </c>
      <c r="U402" s="38" t="s">
        <v>54</v>
      </c>
      <c r="V402" s="38" t="s">
        <v>61</v>
      </c>
      <c r="Y402" s="38">
        <v>386.38</v>
      </c>
      <c r="Z402" s="38">
        <v>1</v>
      </c>
      <c r="AF402" s="38">
        <v>386.38</v>
      </c>
      <c r="AI402" s="38">
        <v>1</v>
      </c>
      <c r="AJ402" s="38">
        <v>0</v>
      </c>
      <c r="AK402" s="14" t="e">
        <f t="shared" si="1"/>
        <v>#DIV/0!</v>
      </c>
      <c r="AM402" s="9"/>
      <c r="AN402" s="9"/>
      <c r="AO402" s="28"/>
    </row>
    <row r="403" spans="1:41" ht="12.5" hidden="1">
      <c r="A403" s="28" t="s">
        <v>1767</v>
      </c>
      <c r="B403" s="37">
        <v>45655</v>
      </c>
      <c r="C403" s="29">
        <v>45666</v>
      </c>
      <c r="D403" s="38" t="s">
        <v>41</v>
      </c>
      <c r="E403" s="38" t="s">
        <v>1768</v>
      </c>
      <c r="G403" s="38" t="s">
        <v>43</v>
      </c>
      <c r="H403" s="38">
        <v>11.74</v>
      </c>
      <c r="I403" s="38" t="s">
        <v>44</v>
      </c>
      <c r="J403" s="38" t="s">
        <v>45</v>
      </c>
      <c r="K403" s="38" t="s">
        <v>1769</v>
      </c>
      <c r="L403" s="30" t="s">
        <v>47</v>
      </c>
      <c r="M403" s="38" t="s">
        <v>48</v>
      </c>
      <c r="N403" s="38" t="s">
        <v>48</v>
      </c>
      <c r="O403" s="31" t="s">
        <v>160</v>
      </c>
      <c r="P403" s="28" t="s">
        <v>161</v>
      </c>
      <c r="Q403" s="38" t="s">
        <v>188</v>
      </c>
      <c r="R403" s="38">
        <v>1</v>
      </c>
      <c r="S403" s="38" t="s">
        <v>99</v>
      </c>
      <c r="T403" s="38" t="s">
        <v>53</v>
      </c>
      <c r="U403" s="38" t="s">
        <v>54</v>
      </c>
      <c r="V403" s="38" t="s">
        <v>55</v>
      </c>
      <c r="Y403" s="38">
        <v>52.03</v>
      </c>
      <c r="Z403" s="38">
        <v>1</v>
      </c>
      <c r="AF403" s="38">
        <v>52.03</v>
      </c>
      <c r="AI403" s="38">
        <v>1</v>
      </c>
      <c r="AJ403" s="38">
        <v>6</v>
      </c>
      <c r="AK403" s="14">
        <f t="shared" si="1"/>
        <v>0.16666666666666666</v>
      </c>
      <c r="AM403" s="9"/>
      <c r="AN403" s="9"/>
      <c r="AO403" s="28"/>
    </row>
    <row r="404" spans="1:41" ht="12.5" hidden="1">
      <c r="A404" s="28" t="s">
        <v>1770</v>
      </c>
      <c r="B404" s="39">
        <v>45630</v>
      </c>
      <c r="C404" s="29">
        <v>45669</v>
      </c>
      <c r="D404" s="38" t="s">
        <v>41</v>
      </c>
      <c r="E404" s="38" t="s">
        <v>1771</v>
      </c>
      <c r="G404" s="38" t="s">
        <v>43</v>
      </c>
      <c r="H404" s="38">
        <v>6.4</v>
      </c>
      <c r="I404" s="38" t="s">
        <v>44</v>
      </c>
      <c r="J404" s="38" t="s">
        <v>249</v>
      </c>
      <c r="K404" s="38" t="s">
        <v>1772</v>
      </c>
      <c r="L404" s="30" t="s">
        <v>47</v>
      </c>
      <c r="M404" s="38" t="s">
        <v>48</v>
      </c>
      <c r="N404" s="38" t="s">
        <v>48</v>
      </c>
      <c r="O404" s="31" t="s">
        <v>1773</v>
      </c>
      <c r="P404" s="28" t="s">
        <v>1774</v>
      </c>
      <c r="Q404" s="38" t="s">
        <v>1775</v>
      </c>
      <c r="R404" s="38">
        <v>1</v>
      </c>
      <c r="S404" s="38" t="s">
        <v>99</v>
      </c>
      <c r="T404" s="38" t="s">
        <v>53</v>
      </c>
      <c r="U404" s="38" t="s">
        <v>54</v>
      </c>
      <c r="V404" s="38" t="s">
        <v>61</v>
      </c>
      <c r="Y404" s="38">
        <v>86.19</v>
      </c>
      <c r="Z404" s="38">
        <v>1</v>
      </c>
      <c r="AI404" s="38">
        <v>1</v>
      </c>
      <c r="AJ404" s="38">
        <v>0</v>
      </c>
      <c r="AK404" s="14" t="e">
        <f t="shared" si="1"/>
        <v>#DIV/0!</v>
      </c>
      <c r="AM404" s="9"/>
      <c r="AN404" s="9"/>
      <c r="AO404" s="28"/>
    </row>
    <row r="405" spans="1:41" ht="12.5" hidden="1">
      <c r="A405" s="28" t="s">
        <v>1776</v>
      </c>
      <c r="B405" s="37">
        <v>45625</v>
      </c>
      <c r="C405" s="29">
        <v>45660</v>
      </c>
      <c r="D405" s="38" t="s">
        <v>41</v>
      </c>
      <c r="E405" s="38" t="s">
        <v>1777</v>
      </c>
      <c r="G405" s="38" t="s">
        <v>43</v>
      </c>
      <c r="H405" s="38">
        <v>11.65</v>
      </c>
      <c r="I405" s="38" t="s">
        <v>44</v>
      </c>
      <c r="J405" s="38" t="s">
        <v>45</v>
      </c>
      <c r="K405" s="38" t="s">
        <v>1778</v>
      </c>
      <c r="L405" s="30" t="s">
        <v>47</v>
      </c>
      <c r="M405" s="38" t="s">
        <v>48</v>
      </c>
      <c r="N405" s="38" t="s">
        <v>48</v>
      </c>
      <c r="O405" s="31" t="s">
        <v>204</v>
      </c>
      <c r="P405" s="28" t="s">
        <v>205</v>
      </c>
      <c r="Q405" s="38" t="s">
        <v>206</v>
      </c>
      <c r="R405" s="38">
        <v>1</v>
      </c>
      <c r="S405" s="38" t="s">
        <v>856</v>
      </c>
      <c r="T405" s="38" t="s">
        <v>53</v>
      </c>
      <c r="U405" s="38" t="s">
        <v>54</v>
      </c>
      <c r="V405" s="38" t="s">
        <v>61</v>
      </c>
      <c r="Y405" s="38">
        <v>70.55</v>
      </c>
      <c r="Z405" s="38">
        <v>1</v>
      </c>
      <c r="AF405" s="38">
        <v>70.55</v>
      </c>
      <c r="AI405" s="38">
        <v>1</v>
      </c>
      <c r="AJ405" s="38">
        <v>1</v>
      </c>
      <c r="AK405" s="14">
        <f t="shared" si="1"/>
        <v>1</v>
      </c>
      <c r="AM405" s="9" t="s">
        <v>1168</v>
      </c>
      <c r="AN405" s="9"/>
      <c r="AO405" s="28"/>
    </row>
    <row r="406" spans="1:41" ht="12.5" hidden="1">
      <c r="A406" s="28" t="s">
        <v>1779</v>
      </c>
      <c r="B406" s="39">
        <v>45627</v>
      </c>
      <c r="C406" s="29">
        <v>45665</v>
      </c>
      <c r="D406" s="38" t="s">
        <v>41</v>
      </c>
      <c r="E406" s="38" t="s">
        <v>1780</v>
      </c>
      <c r="G406" s="38" t="s">
        <v>43</v>
      </c>
      <c r="H406" s="38">
        <v>7.08</v>
      </c>
      <c r="I406" s="38" t="s">
        <v>44</v>
      </c>
      <c r="J406" s="38" t="s">
        <v>45</v>
      </c>
      <c r="K406" s="38" t="s">
        <v>1781</v>
      </c>
      <c r="L406" s="30" t="s">
        <v>58</v>
      </c>
      <c r="M406" s="38" t="s">
        <v>48</v>
      </c>
      <c r="N406" s="38" t="s">
        <v>48</v>
      </c>
      <c r="O406" s="31" t="s">
        <v>210</v>
      </c>
      <c r="P406" s="28" t="s">
        <v>211</v>
      </c>
      <c r="Q406" s="38" t="s">
        <v>212</v>
      </c>
      <c r="R406" s="38">
        <v>1</v>
      </c>
      <c r="S406" s="38" t="s">
        <v>75</v>
      </c>
      <c r="T406" s="38" t="s">
        <v>53</v>
      </c>
      <c r="U406" s="38" t="s">
        <v>54</v>
      </c>
      <c r="V406" s="38" t="s">
        <v>61</v>
      </c>
      <c r="Y406" s="38">
        <v>114.54</v>
      </c>
      <c r="Z406" s="38">
        <v>1</v>
      </c>
      <c r="AI406" s="38">
        <v>2</v>
      </c>
      <c r="AJ406" s="38">
        <v>3</v>
      </c>
      <c r="AK406" s="14">
        <f t="shared" si="1"/>
        <v>0.66666666666666663</v>
      </c>
      <c r="AM406" s="9"/>
      <c r="AN406" s="9"/>
      <c r="AO406" s="28"/>
    </row>
    <row r="407" spans="1:41" ht="12.5" hidden="1">
      <c r="A407" s="28" t="s">
        <v>1782</v>
      </c>
      <c r="B407" s="37">
        <v>45652</v>
      </c>
      <c r="C407" s="29">
        <v>45664</v>
      </c>
      <c r="D407" s="38" t="s">
        <v>41</v>
      </c>
      <c r="E407" s="38" t="s">
        <v>1783</v>
      </c>
      <c r="G407" s="38" t="s">
        <v>43</v>
      </c>
      <c r="H407" s="38">
        <v>7.08</v>
      </c>
      <c r="I407" s="38" t="s">
        <v>44</v>
      </c>
      <c r="J407" s="38" t="s">
        <v>45</v>
      </c>
      <c r="K407" s="38" t="s">
        <v>1784</v>
      </c>
      <c r="L407" s="30" t="s">
        <v>47</v>
      </c>
      <c r="M407" s="38" t="s">
        <v>48</v>
      </c>
      <c r="N407" s="38" t="s">
        <v>48</v>
      </c>
      <c r="O407" s="31" t="s">
        <v>210</v>
      </c>
      <c r="P407" s="28" t="s">
        <v>211</v>
      </c>
      <c r="Q407" s="38" t="s">
        <v>212</v>
      </c>
      <c r="R407" s="38">
        <v>1</v>
      </c>
      <c r="S407" s="38" t="s">
        <v>92</v>
      </c>
      <c r="T407" s="38" t="s">
        <v>53</v>
      </c>
      <c r="U407" s="38" t="s">
        <v>54</v>
      </c>
      <c r="V407" s="38" t="s">
        <v>55</v>
      </c>
      <c r="Y407" s="38">
        <v>120.02</v>
      </c>
      <c r="Z407" s="38">
        <v>1</v>
      </c>
      <c r="AF407" s="38">
        <v>120.02</v>
      </c>
      <c r="AK407" s="14" t="e">
        <f t="shared" si="1"/>
        <v>#DIV/0!</v>
      </c>
      <c r="AM407" s="9"/>
      <c r="AN407" s="9"/>
      <c r="AO407" s="28"/>
    </row>
    <row r="408" spans="1:41" ht="12.5" hidden="1">
      <c r="A408" s="28" t="s">
        <v>1785</v>
      </c>
      <c r="B408" s="39">
        <v>45663</v>
      </c>
      <c r="C408" s="29">
        <v>45671</v>
      </c>
      <c r="D408" s="38" t="s">
        <v>41</v>
      </c>
      <c r="E408" s="38" t="s">
        <v>1786</v>
      </c>
      <c r="G408" s="38" t="s">
        <v>43</v>
      </c>
      <c r="H408" s="38">
        <v>13.56</v>
      </c>
      <c r="I408" s="38" t="s">
        <v>44</v>
      </c>
      <c r="J408" s="38" t="s">
        <v>45</v>
      </c>
      <c r="K408" s="38" t="s">
        <v>1787</v>
      </c>
      <c r="L408" s="30" t="s">
        <v>47</v>
      </c>
      <c r="M408" s="38" t="s">
        <v>48</v>
      </c>
      <c r="N408" s="38" t="s">
        <v>48</v>
      </c>
      <c r="O408" s="31" t="s">
        <v>219</v>
      </c>
      <c r="P408" s="28" t="s">
        <v>220</v>
      </c>
      <c r="Q408" s="38" t="s">
        <v>221</v>
      </c>
      <c r="R408" s="38">
        <v>1</v>
      </c>
      <c r="S408" s="38" t="s">
        <v>99</v>
      </c>
      <c r="T408" s="38" t="s">
        <v>53</v>
      </c>
      <c r="U408" s="38" t="s">
        <v>54</v>
      </c>
      <c r="V408" s="38" t="s">
        <v>61</v>
      </c>
      <c r="Y408" s="38">
        <v>82.2</v>
      </c>
      <c r="Z408" s="38">
        <v>1</v>
      </c>
      <c r="AI408" s="38">
        <v>5</v>
      </c>
      <c r="AJ408" s="38">
        <v>24</v>
      </c>
      <c r="AK408" s="14">
        <f t="shared" si="1"/>
        <v>0.20833333333333334</v>
      </c>
      <c r="AM408" s="9"/>
      <c r="AN408" s="9"/>
      <c r="AO408" s="28"/>
    </row>
    <row r="409" spans="1:41" ht="12.5" hidden="1">
      <c r="A409" s="28" t="s">
        <v>1788</v>
      </c>
      <c r="B409" s="37">
        <v>45655</v>
      </c>
      <c r="C409" s="29">
        <v>45669</v>
      </c>
      <c r="D409" s="38" t="s">
        <v>41</v>
      </c>
      <c r="E409" s="38" t="s">
        <v>1789</v>
      </c>
      <c r="G409" s="38" t="s">
        <v>43</v>
      </c>
      <c r="H409" s="38">
        <v>13.56</v>
      </c>
      <c r="I409" s="38" t="s">
        <v>44</v>
      </c>
      <c r="J409" s="38" t="s">
        <v>45</v>
      </c>
      <c r="K409" s="38" t="s">
        <v>1790</v>
      </c>
      <c r="L409" s="30" t="s">
        <v>58</v>
      </c>
      <c r="M409" s="38" t="s">
        <v>48</v>
      </c>
      <c r="N409" s="38" t="s">
        <v>48</v>
      </c>
      <c r="O409" s="31" t="s">
        <v>219</v>
      </c>
      <c r="P409" s="28" t="s">
        <v>220</v>
      </c>
      <c r="Q409" s="38" t="s">
        <v>221</v>
      </c>
      <c r="R409" s="38">
        <v>1</v>
      </c>
      <c r="S409" s="38" t="s">
        <v>75</v>
      </c>
      <c r="T409" s="38" t="s">
        <v>53</v>
      </c>
      <c r="U409" s="38" t="s">
        <v>54</v>
      </c>
      <c r="V409" s="38" t="s">
        <v>61</v>
      </c>
      <c r="Y409" s="38">
        <v>81.819999999999993</v>
      </c>
      <c r="Z409" s="38">
        <v>1</v>
      </c>
      <c r="AK409" s="14" t="e">
        <f t="shared" si="1"/>
        <v>#DIV/0!</v>
      </c>
      <c r="AM409" s="9"/>
      <c r="AN409" s="9"/>
      <c r="AO409" s="28"/>
    </row>
    <row r="410" spans="1:41" ht="12.5" hidden="1">
      <c r="A410" s="28" t="s">
        <v>1791</v>
      </c>
      <c r="B410" s="39">
        <v>45659</v>
      </c>
      <c r="C410" s="29">
        <v>45666</v>
      </c>
      <c r="D410" s="38" t="s">
        <v>41</v>
      </c>
      <c r="E410" s="38" t="s">
        <v>1792</v>
      </c>
      <c r="G410" s="38" t="s">
        <v>43</v>
      </c>
      <c r="H410" s="38">
        <v>13.56</v>
      </c>
      <c r="I410" s="38" t="s">
        <v>44</v>
      </c>
      <c r="J410" s="38" t="s">
        <v>45</v>
      </c>
      <c r="K410" s="38" t="s">
        <v>1793</v>
      </c>
      <c r="L410" s="30" t="s">
        <v>47</v>
      </c>
      <c r="M410" s="38" t="s">
        <v>48</v>
      </c>
      <c r="N410" s="38" t="s">
        <v>48</v>
      </c>
      <c r="O410" s="31" t="s">
        <v>219</v>
      </c>
      <c r="P410" s="28" t="s">
        <v>220</v>
      </c>
      <c r="Q410" s="38" t="s">
        <v>221</v>
      </c>
      <c r="R410" s="38">
        <v>1</v>
      </c>
      <c r="S410" s="38" t="s">
        <v>52</v>
      </c>
      <c r="T410" s="38" t="s">
        <v>53</v>
      </c>
      <c r="U410" s="38" t="s">
        <v>54</v>
      </c>
      <c r="V410" s="38" t="s">
        <v>55</v>
      </c>
      <c r="Y410" s="38">
        <v>79.290000000000006</v>
      </c>
      <c r="Z410" s="38">
        <v>1</v>
      </c>
      <c r="AF410" s="38">
        <v>79.290000000000006</v>
      </c>
      <c r="AK410" s="14" t="e">
        <f t="shared" si="1"/>
        <v>#DIV/0!</v>
      </c>
      <c r="AM410" s="9"/>
      <c r="AN410" s="9"/>
      <c r="AO410" s="28"/>
    </row>
    <row r="411" spans="1:41" ht="12.5" hidden="1">
      <c r="A411" s="28" t="s">
        <v>1794</v>
      </c>
      <c r="B411" s="37">
        <v>45657</v>
      </c>
      <c r="C411" s="29">
        <v>45661</v>
      </c>
      <c r="D411" s="38" t="s">
        <v>41</v>
      </c>
      <c r="E411" s="38" t="s">
        <v>1795</v>
      </c>
      <c r="G411" s="38" t="s">
        <v>43</v>
      </c>
      <c r="H411" s="38">
        <v>13.45</v>
      </c>
      <c r="I411" s="38" t="s">
        <v>44</v>
      </c>
      <c r="J411" s="38" t="s">
        <v>45</v>
      </c>
      <c r="K411" s="38" t="s">
        <v>1796</v>
      </c>
      <c r="L411" s="30" t="s">
        <v>47</v>
      </c>
      <c r="M411" s="38" t="s">
        <v>48</v>
      </c>
      <c r="N411" s="38" t="s">
        <v>48</v>
      </c>
      <c r="O411" s="31" t="s">
        <v>219</v>
      </c>
      <c r="P411" s="28" t="s">
        <v>220</v>
      </c>
      <c r="Q411" s="38" t="s">
        <v>221</v>
      </c>
      <c r="R411" s="38">
        <v>1</v>
      </c>
      <c r="S411" s="38" t="s">
        <v>52</v>
      </c>
      <c r="T411" s="38" t="s">
        <v>53</v>
      </c>
      <c r="U411" s="38" t="s">
        <v>54</v>
      </c>
      <c r="V411" s="38" t="s">
        <v>55</v>
      </c>
      <c r="Y411" s="38">
        <v>83.67</v>
      </c>
      <c r="Z411" s="38">
        <v>1</v>
      </c>
      <c r="AF411" s="38">
        <v>83.67</v>
      </c>
      <c r="AK411" s="14" t="e">
        <f t="shared" si="1"/>
        <v>#DIV/0!</v>
      </c>
      <c r="AM411" s="9"/>
      <c r="AN411" s="9"/>
      <c r="AO411" s="28"/>
    </row>
    <row r="412" spans="1:41" ht="12.5" hidden="1">
      <c r="A412" s="28" t="s">
        <v>1797</v>
      </c>
      <c r="B412" s="37">
        <v>45652</v>
      </c>
      <c r="C412" s="29">
        <v>45660</v>
      </c>
      <c r="D412" s="38" t="s">
        <v>41</v>
      </c>
      <c r="E412" s="38" t="s">
        <v>1798</v>
      </c>
      <c r="G412" s="38" t="s">
        <v>43</v>
      </c>
      <c r="H412" s="38">
        <v>13.45</v>
      </c>
      <c r="I412" s="38" t="s">
        <v>44</v>
      </c>
      <c r="J412" s="38" t="s">
        <v>45</v>
      </c>
      <c r="K412" s="38" t="s">
        <v>1799</v>
      </c>
      <c r="L412" s="30" t="s">
        <v>58</v>
      </c>
      <c r="M412" s="38" t="s">
        <v>48</v>
      </c>
      <c r="N412" s="38" t="s">
        <v>48</v>
      </c>
      <c r="O412" s="31" t="s">
        <v>219</v>
      </c>
      <c r="P412" s="28" t="s">
        <v>220</v>
      </c>
      <c r="Q412" s="38" t="s">
        <v>221</v>
      </c>
      <c r="R412" s="38">
        <v>1</v>
      </c>
      <c r="S412" s="38" t="s">
        <v>68</v>
      </c>
      <c r="T412" s="38" t="s">
        <v>53</v>
      </c>
      <c r="U412" s="38" t="s">
        <v>54</v>
      </c>
      <c r="V412" s="38" t="s">
        <v>55</v>
      </c>
      <c r="Y412" s="38">
        <v>83.11</v>
      </c>
      <c r="Z412" s="38">
        <v>1</v>
      </c>
      <c r="AF412" s="38">
        <v>69.66</v>
      </c>
      <c r="AK412" s="14" t="e">
        <f t="shared" si="1"/>
        <v>#DIV/0!</v>
      </c>
      <c r="AM412" s="9"/>
      <c r="AN412" s="9"/>
      <c r="AO412" s="28"/>
    </row>
    <row r="413" spans="1:41" ht="12.5" hidden="1">
      <c r="A413" s="28" t="s">
        <v>1800</v>
      </c>
      <c r="B413" s="37">
        <v>45653</v>
      </c>
      <c r="C413" s="29">
        <v>45669</v>
      </c>
      <c r="D413" s="38" t="s">
        <v>41</v>
      </c>
      <c r="E413" s="38" t="s">
        <v>1801</v>
      </c>
      <c r="G413" s="38" t="s">
        <v>43</v>
      </c>
      <c r="H413" s="38">
        <v>6.27</v>
      </c>
      <c r="I413" s="38" t="s">
        <v>44</v>
      </c>
      <c r="J413" s="38" t="s">
        <v>45</v>
      </c>
      <c r="K413" s="38" t="s">
        <v>1802</v>
      </c>
      <c r="L413" s="30" t="s">
        <v>58</v>
      </c>
      <c r="M413" s="38" t="s">
        <v>48</v>
      </c>
      <c r="N413" s="38" t="s">
        <v>48</v>
      </c>
      <c r="O413" s="31" t="s">
        <v>1803</v>
      </c>
      <c r="P413" s="28" t="s">
        <v>1804</v>
      </c>
      <c r="Q413" s="38" t="s">
        <v>1805</v>
      </c>
      <c r="R413" s="38">
        <v>1</v>
      </c>
      <c r="S413" s="38" t="s">
        <v>75</v>
      </c>
      <c r="T413" s="38" t="s">
        <v>53</v>
      </c>
      <c r="U413" s="38" t="s">
        <v>54</v>
      </c>
      <c r="V413" s="38" t="s">
        <v>55</v>
      </c>
      <c r="Y413" s="38">
        <v>27.52</v>
      </c>
      <c r="Z413" s="38">
        <v>1</v>
      </c>
      <c r="AF413" s="38">
        <v>22.6</v>
      </c>
      <c r="AI413" s="38">
        <v>1</v>
      </c>
      <c r="AJ413" s="38">
        <v>0</v>
      </c>
      <c r="AK413" s="14" t="e">
        <f t="shared" si="1"/>
        <v>#DIV/0!</v>
      </c>
      <c r="AM413" s="9"/>
      <c r="AN413" s="9"/>
      <c r="AO413" s="28"/>
    </row>
    <row r="414" spans="1:41" ht="12.5" hidden="1">
      <c r="A414" s="28" t="s">
        <v>1806</v>
      </c>
      <c r="B414" s="37">
        <v>45657</v>
      </c>
      <c r="C414" s="29">
        <v>45665</v>
      </c>
      <c r="D414" s="38" t="s">
        <v>41</v>
      </c>
      <c r="E414" s="38" t="s">
        <v>1807</v>
      </c>
      <c r="G414" s="38" t="s">
        <v>43</v>
      </c>
      <c r="H414" s="38">
        <v>4.47</v>
      </c>
      <c r="I414" s="38" t="s">
        <v>44</v>
      </c>
      <c r="J414" s="38" t="s">
        <v>249</v>
      </c>
      <c r="K414" s="38" t="s">
        <v>1808</v>
      </c>
      <c r="L414" s="30" t="s">
        <v>47</v>
      </c>
      <c r="M414" s="38" t="s">
        <v>48</v>
      </c>
      <c r="N414" s="38" t="s">
        <v>48</v>
      </c>
      <c r="O414" s="31" t="s">
        <v>251</v>
      </c>
      <c r="P414" s="28" t="s">
        <v>252</v>
      </c>
      <c r="Q414" s="38" t="s">
        <v>253</v>
      </c>
      <c r="R414" s="38">
        <v>1</v>
      </c>
      <c r="S414" s="38" t="s">
        <v>92</v>
      </c>
      <c r="T414" s="38" t="s">
        <v>53</v>
      </c>
      <c r="U414" s="38" t="s">
        <v>54</v>
      </c>
      <c r="V414" s="38" t="s">
        <v>55</v>
      </c>
      <c r="Y414" s="38">
        <v>129.80000000000001</v>
      </c>
      <c r="Z414" s="38">
        <v>1</v>
      </c>
      <c r="AF414" s="38">
        <v>129.80000000000001</v>
      </c>
      <c r="AI414" s="38">
        <v>1</v>
      </c>
      <c r="AJ414" s="38">
        <v>5</v>
      </c>
      <c r="AK414" s="14">
        <f t="shared" si="1"/>
        <v>0.2</v>
      </c>
      <c r="AM414" s="9"/>
      <c r="AN414" s="9"/>
      <c r="AO414" s="28"/>
    </row>
    <row r="415" spans="1:41" ht="12.5" hidden="1">
      <c r="A415" s="28" t="s">
        <v>1809</v>
      </c>
      <c r="B415" s="37">
        <v>45637</v>
      </c>
      <c r="C415" s="29">
        <v>45660</v>
      </c>
      <c r="D415" s="38" t="s">
        <v>41</v>
      </c>
      <c r="E415" s="38" t="s">
        <v>1810</v>
      </c>
      <c r="G415" s="38" t="s">
        <v>43</v>
      </c>
      <c r="H415" s="38">
        <v>7.43</v>
      </c>
      <c r="I415" s="38" t="s">
        <v>44</v>
      </c>
      <c r="J415" s="38" t="s">
        <v>45</v>
      </c>
      <c r="K415" s="38" t="s">
        <v>1811</v>
      </c>
      <c r="L415" s="30" t="s">
        <v>58</v>
      </c>
      <c r="M415" s="38" t="s">
        <v>48</v>
      </c>
      <c r="N415" s="38" t="s">
        <v>48</v>
      </c>
      <c r="O415" s="31" t="s">
        <v>1812</v>
      </c>
      <c r="P415" s="28" t="s">
        <v>1813</v>
      </c>
      <c r="Q415" s="38" t="s">
        <v>1814</v>
      </c>
      <c r="R415" s="38">
        <v>1</v>
      </c>
      <c r="S415" s="38" t="s">
        <v>68</v>
      </c>
      <c r="T415" s="38" t="s">
        <v>53</v>
      </c>
      <c r="U415" s="38" t="s">
        <v>54</v>
      </c>
      <c r="V415" s="38" t="s">
        <v>55</v>
      </c>
      <c r="Y415" s="38">
        <v>58.41</v>
      </c>
      <c r="Z415" s="38">
        <v>1</v>
      </c>
      <c r="AF415" s="38">
        <v>50.98</v>
      </c>
      <c r="AI415" s="38">
        <v>1</v>
      </c>
      <c r="AJ415" s="38">
        <v>1</v>
      </c>
      <c r="AK415" s="14">
        <f t="shared" si="1"/>
        <v>1</v>
      </c>
      <c r="AM415" s="9"/>
      <c r="AN415" s="9"/>
      <c r="AO415" s="28"/>
    </row>
    <row r="416" spans="1:41" ht="12.5" hidden="1">
      <c r="A416" s="28" t="s">
        <v>1815</v>
      </c>
      <c r="B416" s="37">
        <v>45648</v>
      </c>
      <c r="C416" s="29">
        <v>45671</v>
      </c>
      <c r="D416" s="38" t="s">
        <v>41</v>
      </c>
      <c r="G416" s="38" t="s">
        <v>137</v>
      </c>
      <c r="H416" s="38">
        <v>0</v>
      </c>
      <c r="L416" s="30" t="s">
        <v>58</v>
      </c>
      <c r="M416" s="38" t="s">
        <v>48</v>
      </c>
      <c r="N416" s="38" t="s">
        <v>48</v>
      </c>
      <c r="O416" s="31" t="s">
        <v>1816</v>
      </c>
      <c r="P416" s="28" t="s">
        <v>1817</v>
      </c>
      <c r="Q416" s="38" t="s">
        <v>1818</v>
      </c>
      <c r="R416" s="38">
        <v>1</v>
      </c>
      <c r="S416" s="38" t="s">
        <v>68</v>
      </c>
      <c r="T416" s="38" t="s">
        <v>53</v>
      </c>
      <c r="U416" s="38" t="s">
        <v>54</v>
      </c>
      <c r="V416" s="38" t="s">
        <v>141</v>
      </c>
      <c r="Y416" s="38">
        <v>25.34</v>
      </c>
      <c r="Z416" s="38">
        <v>1</v>
      </c>
      <c r="AF416" s="38">
        <v>25.34</v>
      </c>
      <c r="AI416" s="38">
        <v>2</v>
      </c>
      <c r="AJ416" s="38">
        <v>1</v>
      </c>
      <c r="AK416" s="14">
        <f t="shared" si="1"/>
        <v>2</v>
      </c>
      <c r="AM416" s="9"/>
      <c r="AN416" s="9"/>
      <c r="AO416" s="28"/>
    </row>
    <row r="417" spans="1:41" ht="12.5" hidden="1">
      <c r="A417" s="28" t="s">
        <v>1819</v>
      </c>
      <c r="B417" s="37">
        <v>45640</v>
      </c>
      <c r="C417" s="29">
        <v>45665</v>
      </c>
      <c r="D417" s="38" t="s">
        <v>41</v>
      </c>
      <c r="G417" s="38" t="s">
        <v>137</v>
      </c>
      <c r="H417" s="38">
        <v>0</v>
      </c>
      <c r="L417" s="30" t="s">
        <v>47</v>
      </c>
      <c r="M417" s="38" t="s">
        <v>48</v>
      </c>
      <c r="N417" s="38" t="s">
        <v>48</v>
      </c>
      <c r="O417" s="31" t="s">
        <v>1816</v>
      </c>
      <c r="P417" s="28" t="s">
        <v>1817</v>
      </c>
      <c r="Q417" s="38" t="s">
        <v>1818</v>
      </c>
      <c r="R417" s="38">
        <v>1</v>
      </c>
      <c r="S417" s="38" t="s">
        <v>99</v>
      </c>
      <c r="T417" s="38" t="s">
        <v>53</v>
      </c>
      <c r="U417" s="38" t="s">
        <v>54</v>
      </c>
      <c r="V417" s="38" t="s">
        <v>141</v>
      </c>
      <c r="Y417" s="38">
        <v>33.64</v>
      </c>
      <c r="Z417" s="38">
        <v>1</v>
      </c>
      <c r="AF417" s="38">
        <v>33.64</v>
      </c>
      <c r="AK417" s="14" t="e">
        <f t="shared" si="1"/>
        <v>#DIV/0!</v>
      </c>
      <c r="AM417" s="9"/>
      <c r="AN417" s="9"/>
      <c r="AO417" s="28"/>
    </row>
    <row r="418" spans="1:41" ht="12.5" hidden="1">
      <c r="A418" s="28" t="s">
        <v>1820</v>
      </c>
      <c r="B418" s="39">
        <v>45666</v>
      </c>
      <c r="C418" s="29">
        <v>45670</v>
      </c>
      <c r="D418" s="38" t="s">
        <v>41</v>
      </c>
      <c r="G418" s="38" t="s">
        <v>137</v>
      </c>
      <c r="H418" s="38">
        <v>0</v>
      </c>
      <c r="L418" s="30" t="s">
        <v>47</v>
      </c>
      <c r="M418" s="38" t="s">
        <v>48</v>
      </c>
      <c r="N418" s="38" t="s">
        <v>48</v>
      </c>
      <c r="O418" s="31" t="s">
        <v>1821</v>
      </c>
      <c r="P418" s="28" t="s">
        <v>1822</v>
      </c>
      <c r="Q418" s="38" t="s">
        <v>1823</v>
      </c>
      <c r="R418" s="38">
        <v>1</v>
      </c>
      <c r="S418" s="38" t="s">
        <v>52</v>
      </c>
      <c r="T418" s="38" t="s">
        <v>53</v>
      </c>
      <c r="U418" s="38" t="s">
        <v>54</v>
      </c>
      <c r="V418" s="38" t="s">
        <v>141</v>
      </c>
      <c r="Y418" s="38">
        <v>23.9</v>
      </c>
      <c r="Z418" s="38">
        <v>1</v>
      </c>
      <c r="AF418" s="38">
        <v>23.9</v>
      </c>
      <c r="AI418" s="38">
        <v>1</v>
      </c>
      <c r="AJ418" s="38">
        <v>1</v>
      </c>
      <c r="AK418" s="14">
        <f t="shared" si="1"/>
        <v>1</v>
      </c>
      <c r="AM418" s="9"/>
      <c r="AN418" s="9"/>
      <c r="AO418" s="28"/>
    </row>
    <row r="419" spans="1:41" ht="12.5" hidden="1">
      <c r="A419" s="28" t="s">
        <v>1824</v>
      </c>
      <c r="B419" s="37">
        <v>45643</v>
      </c>
      <c r="C419" s="29">
        <v>45667</v>
      </c>
      <c r="D419" s="38" t="s">
        <v>41</v>
      </c>
      <c r="E419" s="38" t="s">
        <v>1825</v>
      </c>
      <c r="G419" s="38" t="s">
        <v>43</v>
      </c>
      <c r="H419" s="38">
        <v>63.77</v>
      </c>
      <c r="I419" s="38" t="s">
        <v>44</v>
      </c>
      <c r="J419" s="38" t="s">
        <v>45</v>
      </c>
      <c r="K419" s="38" t="s">
        <v>1826</v>
      </c>
      <c r="L419" s="30" t="s">
        <v>47</v>
      </c>
      <c r="M419" s="38" t="s">
        <v>48</v>
      </c>
      <c r="N419" s="38" t="s">
        <v>48</v>
      </c>
      <c r="O419" s="31" t="s">
        <v>283</v>
      </c>
      <c r="P419" s="28" t="s">
        <v>284</v>
      </c>
      <c r="Q419" s="38" t="s">
        <v>285</v>
      </c>
      <c r="R419" s="38">
        <v>1</v>
      </c>
      <c r="S419" s="38" t="s">
        <v>99</v>
      </c>
      <c r="T419" s="38" t="s">
        <v>53</v>
      </c>
      <c r="U419" s="38" t="s">
        <v>54</v>
      </c>
      <c r="V419" s="38" t="s">
        <v>61</v>
      </c>
      <c r="Y419" s="38">
        <v>155.63999999999999</v>
      </c>
      <c r="Z419" s="38">
        <v>1</v>
      </c>
      <c r="AI419" s="38">
        <v>1</v>
      </c>
      <c r="AJ419" s="38">
        <v>11</v>
      </c>
      <c r="AK419" s="14">
        <f t="shared" si="1"/>
        <v>9.0909090909090912E-2</v>
      </c>
      <c r="AM419" s="9"/>
      <c r="AN419" s="9"/>
      <c r="AO419" s="28"/>
    </row>
    <row r="420" spans="1:41" ht="12.5" hidden="1">
      <c r="A420" s="28" t="s">
        <v>1827</v>
      </c>
      <c r="B420" s="37">
        <v>45643</v>
      </c>
      <c r="C420" s="29">
        <v>45668</v>
      </c>
      <c r="D420" s="38" t="s">
        <v>41</v>
      </c>
      <c r="E420" s="38" t="s">
        <v>1828</v>
      </c>
      <c r="G420" s="38" t="s">
        <v>43</v>
      </c>
      <c r="H420" s="38">
        <v>4.8899999999999997</v>
      </c>
      <c r="I420" s="38" t="s">
        <v>44</v>
      </c>
      <c r="J420" s="38" t="s">
        <v>249</v>
      </c>
      <c r="K420" s="38" t="s">
        <v>1829</v>
      </c>
      <c r="L420" s="30" t="s">
        <v>58</v>
      </c>
      <c r="M420" s="38" t="s">
        <v>48</v>
      </c>
      <c r="N420" s="38" t="s">
        <v>48</v>
      </c>
      <c r="O420" s="31" t="s">
        <v>299</v>
      </c>
      <c r="P420" s="28" t="s">
        <v>300</v>
      </c>
      <c r="Q420" s="38" t="s">
        <v>301</v>
      </c>
      <c r="R420" s="38">
        <v>1</v>
      </c>
      <c r="S420" s="38" t="s">
        <v>68</v>
      </c>
      <c r="T420" s="38" t="s">
        <v>53</v>
      </c>
      <c r="U420" s="38" t="s">
        <v>54</v>
      </c>
      <c r="V420" s="38" t="s">
        <v>61</v>
      </c>
      <c r="Y420" s="38">
        <v>22.12</v>
      </c>
      <c r="Z420" s="38">
        <v>1</v>
      </c>
      <c r="AI420" s="38">
        <v>1</v>
      </c>
      <c r="AJ420" s="38">
        <v>9</v>
      </c>
      <c r="AK420" s="14">
        <f t="shared" si="1"/>
        <v>0.1111111111111111</v>
      </c>
      <c r="AM420" s="9"/>
      <c r="AN420" s="9"/>
      <c r="AO420" s="28"/>
    </row>
    <row r="421" spans="1:41" ht="12.5" hidden="1">
      <c r="A421" s="28" t="s">
        <v>1830</v>
      </c>
      <c r="B421" s="37">
        <v>45653</v>
      </c>
      <c r="C421" s="29">
        <v>45663</v>
      </c>
      <c r="D421" s="38" t="s">
        <v>41</v>
      </c>
      <c r="E421" s="38" t="s">
        <v>1831</v>
      </c>
      <c r="G421" s="38" t="s">
        <v>43</v>
      </c>
      <c r="H421" s="38">
        <v>6.27</v>
      </c>
      <c r="I421" s="38" t="s">
        <v>44</v>
      </c>
      <c r="J421" s="38" t="s">
        <v>45</v>
      </c>
      <c r="K421" s="38" t="s">
        <v>1832</v>
      </c>
      <c r="L421" s="30" t="s">
        <v>47</v>
      </c>
      <c r="M421" s="38" t="s">
        <v>48</v>
      </c>
      <c r="N421" s="38" t="s">
        <v>48</v>
      </c>
      <c r="O421" s="31" t="s">
        <v>1116</v>
      </c>
      <c r="P421" s="28" t="s">
        <v>1117</v>
      </c>
      <c r="Q421" s="38" t="s">
        <v>1833</v>
      </c>
      <c r="R421" s="38">
        <v>1</v>
      </c>
      <c r="S421" s="38" t="s">
        <v>52</v>
      </c>
      <c r="T421" s="38" t="s">
        <v>53</v>
      </c>
      <c r="U421" s="38" t="s">
        <v>54</v>
      </c>
      <c r="V421" s="38" t="s">
        <v>55</v>
      </c>
      <c r="Y421" s="38">
        <v>79.819999999999993</v>
      </c>
      <c r="Z421" s="38">
        <v>1</v>
      </c>
      <c r="AF421" s="38">
        <v>79.819999999999993</v>
      </c>
      <c r="AI421" s="38">
        <v>1</v>
      </c>
      <c r="AJ421" s="38">
        <v>3</v>
      </c>
      <c r="AK421" s="14">
        <f t="shared" si="1"/>
        <v>0.33333333333333331</v>
      </c>
      <c r="AM421" s="9"/>
      <c r="AN421" s="9"/>
      <c r="AO421" s="28"/>
    </row>
    <row r="422" spans="1:41" ht="12.5" hidden="1">
      <c r="A422" s="28" t="s">
        <v>1834</v>
      </c>
      <c r="B422" s="37">
        <v>45636</v>
      </c>
      <c r="C422" s="29">
        <v>45669</v>
      </c>
      <c r="D422" s="38" t="s">
        <v>41</v>
      </c>
      <c r="E422" s="38" t="s">
        <v>1835</v>
      </c>
      <c r="G422" s="38" t="s">
        <v>43</v>
      </c>
      <c r="H422" s="38">
        <v>10.38</v>
      </c>
      <c r="I422" s="38" t="s">
        <v>44</v>
      </c>
      <c r="J422" s="38" t="s">
        <v>45</v>
      </c>
      <c r="K422" s="38" t="s">
        <v>1836</v>
      </c>
      <c r="L422" s="30" t="s">
        <v>47</v>
      </c>
      <c r="M422" s="38" t="s">
        <v>48</v>
      </c>
      <c r="N422" s="38" t="s">
        <v>48</v>
      </c>
      <c r="O422" s="31" t="s">
        <v>1122</v>
      </c>
      <c r="P422" s="28" t="s">
        <v>1123</v>
      </c>
      <c r="Q422" s="38" t="s">
        <v>1124</v>
      </c>
      <c r="R422" s="38">
        <v>1</v>
      </c>
      <c r="S422" s="38" t="s">
        <v>92</v>
      </c>
      <c r="T422" s="38" t="s">
        <v>53</v>
      </c>
      <c r="U422" s="38" t="s">
        <v>54</v>
      </c>
      <c r="V422" s="38" t="s">
        <v>61</v>
      </c>
      <c r="Y422" s="38">
        <v>81.55</v>
      </c>
      <c r="Z422" s="38">
        <v>1</v>
      </c>
      <c r="AI422" s="38">
        <v>1</v>
      </c>
      <c r="AJ422" s="38">
        <v>0</v>
      </c>
      <c r="AK422" s="14" t="e">
        <f t="shared" si="1"/>
        <v>#DIV/0!</v>
      </c>
      <c r="AM422" s="9"/>
      <c r="AN422" s="9"/>
      <c r="AO422" s="28"/>
    </row>
    <row r="423" spans="1:41" ht="12.5" hidden="1">
      <c r="A423" s="28" t="s">
        <v>1837</v>
      </c>
      <c r="B423" s="39">
        <v>45660</v>
      </c>
      <c r="C423" s="29">
        <v>45669</v>
      </c>
      <c r="D423" s="38" t="s">
        <v>41</v>
      </c>
      <c r="E423" s="38" t="s">
        <v>1838</v>
      </c>
      <c r="G423" s="38" t="s">
        <v>43</v>
      </c>
      <c r="H423" s="38">
        <v>10.66</v>
      </c>
      <c r="I423" s="38" t="s">
        <v>44</v>
      </c>
      <c r="J423" s="38" t="s">
        <v>45</v>
      </c>
      <c r="K423" s="38" t="s">
        <v>1839</v>
      </c>
      <c r="L423" s="30" t="s">
        <v>58</v>
      </c>
      <c r="M423" s="38" t="s">
        <v>48</v>
      </c>
      <c r="N423" s="38" t="s">
        <v>48</v>
      </c>
      <c r="O423" s="31" t="s">
        <v>1840</v>
      </c>
      <c r="P423" s="28" t="s">
        <v>1841</v>
      </c>
      <c r="Q423" s="38" t="s">
        <v>1842</v>
      </c>
      <c r="R423" s="38">
        <v>1</v>
      </c>
      <c r="S423" s="38" t="s">
        <v>75</v>
      </c>
      <c r="T423" s="38" t="s">
        <v>53</v>
      </c>
      <c r="U423" s="38" t="s">
        <v>54</v>
      </c>
      <c r="V423" s="38" t="s">
        <v>55</v>
      </c>
      <c r="Y423" s="38">
        <v>102.03</v>
      </c>
      <c r="Z423" s="38">
        <v>1</v>
      </c>
      <c r="AF423" s="38">
        <v>91.37</v>
      </c>
      <c r="AI423" s="38">
        <v>1</v>
      </c>
      <c r="AJ423" s="38">
        <v>4</v>
      </c>
      <c r="AK423" s="14">
        <f t="shared" si="1"/>
        <v>0.25</v>
      </c>
      <c r="AM423" s="9"/>
      <c r="AN423" s="9"/>
      <c r="AO423" s="28"/>
    </row>
    <row r="424" spans="1:41" ht="12.5" hidden="1">
      <c r="A424" s="28" t="s">
        <v>1843</v>
      </c>
      <c r="B424" s="37">
        <v>45653</v>
      </c>
      <c r="C424" s="29">
        <v>45660</v>
      </c>
      <c r="D424" s="38" t="s">
        <v>41</v>
      </c>
      <c r="E424" s="38" t="s">
        <v>1844</v>
      </c>
      <c r="G424" s="38" t="s">
        <v>43</v>
      </c>
      <c r="H424" s="38">
        <v>10.3</v>
      </c>
      <c r="I424" s="38" t="s">
        <v>44</v>
      </c>
      <c r="J424" s="38" t="s">
        <v>45</v>
      </c>
      <c r="K424" s="38" t="s">
        <v>1845</v>
      </c>
      <c r="L424" s="30" t="s">
        <v>58</v>
      </c>
      <c r="M424" s="38" t="s">
        <v>48</v>
      </c>
      <c r="N424" s="38" t="s">
        <v>48</v>
      </c>
      <c r="O424" s="31" t="s">
        <v>337</v>
      </c>
      <c r="P424" s="28" t="s">
        <v>338</v>
      </c>
      <c r="Q424" s="38" t="s">
        <v>1846</v>
      </c>
      <c r="R424" s="38">
        <v>1</v>
      </c>
      <c r="S424" s="38" t="s">
        <v>75</v>
      </c>
      <c r="T424" s="38" t="s">
        <v>53</v>
      </c>
      <c r="U424" s="38" t="s">
        <v>54</v>
      </c>
      <c r="V424" s="38" t="s">
        <v>240</v>
      </c>
      <c r="Y424" s="38">
        <v>72.81</v>
      </c>
      <c r="Z424" s="38">
        <v>1</v>
      </c>
      <c r="AF424" s="38">
        <v>62.51</v>
      </c>
      <c r="AI424" s="38">
        <v>1</v>
      </c>
      <c r="AJ424" s="38">
        <v>15</v>
      </c>
      <c r="AK424" s="14">
        <f t="shared" si="1"/>
        <v>6.6666666666666666E-2</v>
      </c>
      <c r="AM424" s="9"/>
      <c r="AN424" s="9"/>
      <c r="AO424" s="28"/>
    </row>
    <row r="425" spans="1:41" ht="12.5" hidden="1">
      <c r="A425" s="28" t="s">
        <v>1847</v>
      </c>
      <c r="B425" s="39">
        <v>45659</v>
      </c>
      <c r="C425" s="29">
        <v>45670</v>
      </c>
      <c r="D425" s="38" t="s">
        <v>41</v>
      </c>
      <c r="E425" s="38" t="s">
        <v>1848</v>
      </c>
      <c r="G425" s="38" t="s">
        <v>43</v>
      </c>
      <c r="H425" s="38">
        <v>12.64</v>
      </c>
      <c r="I425" s="38" t="s">
        <v>44</v>
      </c>
      <c r="J425" s="38" t="s">
        <v>45</v>
      </c>
      <c r="K425" s="38" t="s">
        <v>1849</v>
      </c>
      <c r="L425" s="30" t="s">
        <v>47</v>
      </c>
      <c r="M425" s="38" t="s">
        <v>48</v>
      </c>
      <c r="N425" s="38" t="s">
        <v>48</v>
      </c>
      <c r="O425" s="31" t="s">
        <v>357</v>
      </c>
      <c r="P425" s="28" t="s">
        <v>358</v>
      </c>
      <c r="Q425" s="38" t="s">
        <v>359</v>
      </c>
      <c r="R425" s="38">
        <v>1</v>
      </c>
      <c r="S425" s="38" t="s">
        <v>99</v>
      </c>
      <c r="T425" s="38" t="s">
        <v>53</v>
      </c>
      <c r="U425" s="38" t="s">
        <v>54</v>
      </c>
      <c r="V425" s="38" t="s">
        <v>55</v>
      </c>
      <c r="Y425" s="38">
        <v>74.83</v>
      </c>
      <c r="Z425" s="38">
        <v>1</v>
      </c>
      <c r="AF425" s="38">
        <v>74.83</v>
      </c>
      <c r="AI425" s="38">
        <v>3</v>
      </c>
      <c r="AJ425" s="38">
        <v>5</v>
      </c>
      <c r="AK425" s="14">
        <f t="shared" si="1"/>
        <v>0.6</v>
      </c>
      <c r="AM425" s="9"/>
      <c r="AN425" s="9"/>
      <c r="AO425" s="28"/>
    </row>
    <row r="426" spans="1:41" ht="12.5" hidden="1">
      <c r="A426" s="28" t="s">
        <v>1850</v>
      </c>
      <c r="B426" s="39">
        <v>45661</v>
      </c>
      <c r="C426" s="29">
        <v>45666</v>
      </c>
      <c r="D426" s="38" t="s">
        <v>41</v>
      </c>
      <c r="E426" s="38" t="s">
        <v>1851</v>
      </c>
      <c r="G426" s="38" t="s">
        <v>43</v>
      </c>
      <c r="H426" s="38">
        <v>12.64</v>
      </c>
      <c r="I426" s="38" t="s">
        <v>44</v>
      </c>
      <c r="J426" s="38" t="s">
        <v>45</v>
      </c>
      <c r="K426" s="38" t="s">
        <v>1852</v>
      </c>
      <c r="L426" s="30" t="s">
        <v>58</v>
      </c>
      <c r="M426" s="38" t="s">
        <v>48</v>
      </c>
      <c r="N426" s="38" t="s">
        <v>48</v>
      </c>
      <c r="O426" s="31" t="s">
        <v>357</v>
      </c>
      <c r="P426" s="28" t="s">
        <v>358</v>
      </c>
      <c r="Q426" s="38" t="s">
        <v>359</v>
      </c>
      <c r="R426" s="38">
        <v>1</v>
      </c>
      <c r="S426" s="38" t="s">
        <v>75</v>
      </c>
      <c r="T426" s="38" t="s">
        <v>53</v>
      </c>
      <c r="U426" s="38" t="s">
        <v>54</v>
      </c>
      <c r="V426" s="38" t="s">
        <v>55</v>
      </c>
      <c r="Y426" s="38">
        <v>74.13</v>
      </c>
      <c r="Z426" s="38">
        <v>1</v>
      </c>
      <c r="AF426" s="38">
        <v>61.49</v>
      </c>
      <c r="AK426" s="14" t="e">
        <f t="shared" si="1"/>
        <v>#DIV/0!</v>
      </c>
      <c r="AM426" s="9"/>
      <c r="AN426" s="9"/>
      <c r="AO426" s="28"/>
    </row>
    <row r="427" spans="1:41" ht="12.5" hidden="1">
      <c r="A427" s="28" t="s">
        <v>1853</v>
      </c>
      <c r="B427" s="37">
        <v>45636</v>
      </c>
      <c r="C427" s="29">
        <v>45661</v>
      </c>
      <c r="D427" s="38" t="s">
        <v>41</v>
      </c>
      <c r="E427" s="38" t="s">
        <v>1854</v>
      </c>
      <c r="G427" s="38" t="s">
        <v>43</v>
      </c>
      <c r="H427" s="38">
        <v>12.54</v>
      </c>
      <c r="I427" s="38" t="s">
        <v>44</v>
      </c>
      <c r="J427" s="38" t="s">
        <v>45</v>
      </c>
      <c r="K427" s="38" t="s">
        <v>1855</v>
      </c>
      <c r="L427" s="30" t="s">
        <v>58</v>
      </c>
      <c r="M427" s="38" t="s">
        <v>48</v>
      </c>
      <c r="N427" s="38" t="s">
        <v>48</v>
      </c>
      <c r="O427" s="31" t="s">
        <v>357</v>
      </c>
      <c r="P427" s="28" t="s">
        <v>358</v>
      </c>
      <c r="Q427" s="38" t="s">
        <v>359</v>
      </c>
      <c r="R427" s="38">
        <v>1</v>
      </c>
      <c r="S427" s="38" t="s">
        <v>75</v>
      </c>
      <c r="T427" s="38" t="s">
        <v>53</v>
      </c>
      <c r="U427" s="38" t="s">
        <v>54</v>
      </c>
      <c r="V427" s="38" t="s">
        <v>61</v>
      </c>
      <c r="Y427" s="38">
        <v>75.180000000000007</v>
      </c>
      <c r="Z427" s="38">
        <v>1</v>
      </c>
      <c r="AK427" s="14" t="e">
        <f t="shared" si="1"/>
        <v>#DIV/0!</v>
      </c>
      <c r="AM427" s="9"/>
      <c r="AN427" s="9"/>
      <c r="AO427" s="28"/>
    </row>
    <row r="428" spans="1:41" ht="12.5" hidden="1">
      <c r="A428" s="28" t="s">
        <v>1856</v>
      </c>
      <c r="B428" s="39">
        <v>45661</v>
      </c>
      <c r="C428" s="29">
        <v>45667</v>
      </c>
      <c r="D428" s="38" t="s">
        <v>41</v>
      </c>
      <c r="E428" s="38" t="s">
        <v>1857</v>
      </c>
      <c r="G428" s="38" t="s">
        <v>43</v>
      </c>
      <c r="H428" s="38">
        <v>10.38</v>
      </c>
      <c r="I428" s="38" t="s">
        <v>44</v>
      </c>
      <c r="J428" s="38" t="s">
        <v>45</v>
      </c>
      <c r="K428" s="38" t="s">
        <v>1858</v>
      </c>
      <c r="L428" s="30" t="s">
        <v>47</v>
      </c>
      <c r="M428" s="38" t="s">
        <v>48</v>
      </c>
      <c r="N428" s="38" t="s">
        <v>48</v>
      </c>
      <c r="O428" s="31" t="s">
        <v>363</v>
      </c>
      <c r="P428" s="28" t="s">
        <v>364</v>
      </c>
      <c r="Q428" s="38" t="s">
        <v>1859</v>
      </c>
      <c r="R428" s="38">
        <v>1</v>
      </c>
      <c r="S428" s="38" t="s">
        <v>92</v>
      </c>
      <c r="T428" s="38" t="s">
        <v>53</v>
      </c>
      <c r="U428" s="38" t="s">
        <v>54</v>
      </c>
      <c r="V428" s="38" t="s">
        <v>61</v>
      </c>
      <c r="Y428" s="38">
        <v>62.73</v>
      </c>
      <c r="Z428" s="38">
        <v>1</v>
      </c>
      <c r="AI428" s="38">
        <v>1</v>
      </c>
      <c r="AJ428" s="38">
        <v>2</v>
      </c>
      <c r="AK428" s="14">
        <f t="shared" si="1"/>
        <v>0.5</v>
      </c>
      <c r="AM428" s="9"/>
      <c r="AN428" s="9"/>
      <c r="AO428" s="28"/>
    </row>
    <row r="429" spans="1:41" ht="12.5" hidden="1">
      <c r="A429" s="28" t="s">
        <v>1860</v>
      </c>
      <c r="B429" s="39">
        <v>45658</v>
      </c>
      <c r="C429" s="29">
        <v>45661</v>
      </c>
      <c r="D429" s="38" t="s">
        <v>41</v>
      </c>
      <c r="E429" s="38" t="s">
        <v>1861</v>
      </c>
      <c r="G429" s="38" t="s">
        <v>43</v>
      </c>
      <c r="H429" s="38">
        <v>19.940000000000001</v>
      </c>
      <c r="I429" s="38" t="s">
        <v>44</v>
      </c>
      <c r="J429" s="38" t="s">
        <v>45</v>
      </c>
      <c r="K429" s="38" t="s">
        <v>1862</v>
      </c>
      <c r="L429" s="30" t="s">
        <v>47</v>
      </c>
      <c r="M429" s="38" t="s">
        <v>48</v>
      </c>
      <c r="N429" s="38" t="s">
        <v>48</v>
      </c>
      <c r="O429" s="31" t="s">
        <v>384</v>
      </c>
      <c r="P429" s="28" t="s">
        <v>385</v>
      </c>
      <c r="Q429" s="38" t="s">
        <v>386</v>
      </c>
      <c r="R429" s="38">
        <v>2</v>
      </c>
      <c r="S429" s="38" t="s">
        <v>99</v>
      </c>
      <c r="T429" s="38" t="s">
        <v>53</v>
      </c>
      <c r="U429" s="38" t="s">
        <v>60</v>
      </c>
      <c r="V429" s="38" t="s">
        <v>240</v>
      </c>
      <c r="Y429" s="38">
        <v>186.04</v>
      </c>
      <c r="Z429" s="38">
        <v>2</v>
      </c>
      <c r="AF429" s="38">
        <v>186.04</v>
      </c>
      <c r="AI429" s="38">
        <v>2</v>
      </c>
      <c r="AJ429" s="38">
        <v>3</v>
      </c>
      <c r="AK429" s="14">
        <f t="shared" si="1"/>
        <v>0.66666666666666663</v>
      </c>
      <c r="AM429" s="9"/>
      <c r="AN429" s="9"/>
      <c r="AO429" s="28"/>
    </row>
    <row r="430" spans="1:41" ht="12.5" hidden="1">
      <c r="A430" s="28" t="s">
        <v>1860</v>
      </c>
      <c r="B430" s="39">
        <v>45658</v>
      </c>
      <c r="C430" s="29">
        <v>45661</v>
      </c>
      <c r="D430" s="38" t="s">
        <v>41</v>
      </c>
      <c r="E430" s="38" t="s">
        <v>1863</v>
      </c>
      <c r="G430" s="38" t="s">
        <v>43</v>
      </c>
      <c r="H430" s="38">
        <v>11.65</v>
      </c>
      <c r="I430" s="38" t="s">
        <v>44</v>
      </c>
      <c r="J430" s="38" t="s">
        <v>45</v>
      </c>
      <c r="K430" s="38" t="s">
        <v>1864</v>
      </c>
      <c r="L430" s="30" t="s">
        <v>58</v>
      </c>
      <c r="M430" s="38" t="s">
        <v>48</v>
      </c>
      <c r="N430" s="38" t="s">
        <v>48</v>
      </c>
      <c r="O430" s="31" t="s">
        <v>384</v>
      </c>
      <c r="P430" s="28" t="s">
        <v>385</v>
      </c>
      <c r="Q430" s="38" t="s">
        <v>386</v>
      </c>
      <c r="R430" s="38">
        <v>1</v>
      </c>
      <c r="S430" s="38" t="s">
        <v>68</v>
      </c>
      <c r="T430" s="38" t="s">
        <v>53</v>
      </c>
      <c r="U430" s="38" t="s">
        <v>54</v>
      </c>
      <c r="V430" s="38" t="s">
        <v>61</v>
      </c>
      <c r="Y430" s="38">
        <v>186.04</v>
      </c>
      <c r="Z430" s="38">
        <v>2</v>
      </c>
      <c r="AK430" s="14" t="e">
        <f t="shared" si="1"/>
        <v>#DIV/0!</v>
      </c>
      <c r="AM430" s="9"/>
      <c r="AN430" s="9"/>
      <c r="AO430" s="28"/>
    </row>
    <row r="431" spans="1:41" ht="12.5" hidden="1">
      <c r="A431" s="28" t="s">
        <v>1865</v>
      </c>
      <c r="B431" s="37">
        <v>45656</v>
      </c>
      <c r="C431" s="29">
        <v>45661</v>
      </c>
      <c r="D431" s="38" t="s">
        <v>41</v>
      </c>
      <c r="E431" s="38" t="s">
        <v>1866</v>
      </c>
      <c r="G431" s="38" t="s">
        <v>43</v>
      </c>
      <c r="H431" s="38">
        <v>7.25</v>
      </c>
      <c r="I431" s="38" t="s">
        <v>44</v>
      </c>
      <c r="J431" s="38" t="s">
        <v>45</v>
      </c>
      <c r="K431" s="38" t="s">
        <v>1867</v>
      </c>
      <c r="L431" s="30" t="s">
        <v>47</v>
      </c>
      <c r="M431" s="38" t="s">
        <v>48</v>
      </c>
      <c r="N431" s="38" t="s">
        <v>48</v>
      </c>
      <c r="O431" s="31" t="s">
        <v>390</v>
      </c>
      <c r="P431" s="28" t="s">
        <v>391</v>
      </c>
      <c r="Q431" s="38" t="s">
        <v>392</v>
      </c>
      <c r="R431" s="38">
        <v>1</v>
      </c>
      <c r="S431" s="38" t="s">
        <v>184</v>
      </c>
      <c r="T431" s="38" t="s">
        <v>53</v>
      </c>
      <c r="U431" s="38" t="s">
        <v>54</v>
      </c>
      <c r="V431" s="38" t="s">
        <v>61</v>
      </c>
      <c r="Y431" s="38">
        <v>46.52</v>
      </c>
      <c r="Z431" s="38">
        <v>1</v>
      </c>
      <c r="AI431" s="38">
        <v>1</v>
      </c>
      <c r="AJ431" s="38">
        <v>15</v>
      </c>
      <c r="AK431" s="14">
        <f t="shared" si="1"/>
        <v>6.6666666666666666E-2</v>
      </c>
      <c r="AM431" s="9"/>
      <c r="AN431" s="9"/>
      <c r="AO431" s="28"/>
    </row>
    <row r="432" spans="1:41" ht="12.5" hidden="1">
      <c r="A432" s="28" t="s">
        <v>1868</v>
      </c>
      <c r="B432" s="39">
        <v>45662</v>
      </c>
      <c r="C432" s="29">
        <v>45668</v>
      </c>
      <c r="D432" s="38" t="s">
        <v>41</v>
      </c>
      <c r="E432" s="38" t="s">
        <v>1869</v>
      </c>
      <c r="G432" s="38" t="s">
        <v>43</v>
      </c>
      <c r="H432" s="38">
        <v>70.709999999999994</v>
      </c>
      <c r="I432" s="38" t="s">
        <v>44</v>
      </c>
      <c r="J432" s="38" t="s">
        <v>45</v>
      </c>
      <c r="K432" s="38" t="s">
        <v>1870</v>
      </c>
      <c r="L432" s="30" t="s">
        <v>47</v>
      </c>
      <c r="M432" s="38" t="s">
        <v>48</v>
      </c>
      <c r="N432" s="38" t="s">
        <v>48</v>
      </c>
      <c r="O432" s="31" t="s">
        <v>412</v>
      </c>
      <c r="P432" s="28" t="s">
        <v>413</v>
      </c>
      <c r="Q432" s="38" t="s">
        <v>1193</v>
      </c>
      <c r="R432" s="38">
        <v>1</v>
      </c>
      <c r="S432" s="38" t="s">
        <v>52</v>
      </c>
      <c r="T432" s="38" t="s">
        <v>53</v>
      </c>
      <c r="U432" s="38" t="s">
        <v>54</v>
      </c>
      <c r="V432" s="38" t="s">
        <v>55</v>
      </c>
      <c r="Y432" s="38">
        <v>154.58000000000001</v>
      </c>
      <c r="Z432" s="38">
        <v>1</v>
      </c>
      <c r="AF432" s="38">
        <v>154.58000000000001</v>
      </c>
      <c r="AI432" s="38">
        <v>1</v>
      </c>
      <c r="AJ432" s="38">
        <v>8</v>
      </c>
      <c r="AK432" s="14">
        <f t="shared" si="1"/>
        <v>0.125</v>
      </c>
      <c r="AM432" s="9"/>
      <c r="AN432" s="9"/>
      <c r="AO432" s="28"/>
    </row>
    <row r="433" spans="1:41" ht="12.5" hidden="1">
      <c r="A433" s="28" t="s">
        <v>1871</v>
      </c>
      <c r="B433" s="39">
        <v>45664</v>
      </c>
      <c r="C433" s="29">
        <v>45672</v>
      </c>
      <c r="D433" s="38" t="s">
        <v>41</v>
      </c>
      <c r="E433" s="38" t="s">
        <v>1872</v>
      </c>
      <c r="G433" s="38" t="s">
        <v>43</v>
      </c>
      <c r="H433" s="38">
        <v>14.03</v>
      </c>
      <c r="I433" s="38" t="s">
        <v>44</v>
      </c>
      <c r="J433" s="38" t="s">
        <v>45</v>
      </c>
      <c r="K433" s="38" t="s">
        <v>1873</v>
      </c>
      <c r="L433" s="30" t="s">
        <v>47</v>
      </c>
      <c r="M433" s="38" t="s">
        <v>48</v>
      </c>
      <c r="N433" s="38" t="s">
        <v>48</v>
      </c>
      <c r="O433" s="31" t="s">
        <v>1874</v>
      </c>
      <c r="P433" s="28" t="s">
        <v>1875</v>
      </c>
      <c r="Q433" s="38" t="s">
        <v>1876</v>
      </c>
      <c r="R433" s="38">
        <v>1</v>
      </c>
      <c r="S433" s="38" t="s">
        <v>82</v>
      </c>
      <c r="T433" s="38" t="s">
        <v>53</v>
      </c>
      <c r="U433" s="38" t="s">
        <v>54</v>
      </c>
      <c r="V433" s="38" t="s">
        <v>61</v>
      </c>
      <c r="Y433" s="38">
        <v>97.53</v>
      </c>
      <c r="Z433" s="38">
        <v>1</v>
      </c>
      <c r="AI433" s="38">
        <v>1</v>
      </c>
      <c r="AJ433" s="38">
        <v>1</v>
      </c>
      <c r="AK433" s="14">
        <f t="shared" si="1"/>
        <v>1</v>
      </c>
      <c r="AM433" s="9"/>
      <c r="AN433" s="9"/>
      <c r="AO433" s="28"/>
    </row>
    <row r="434" spans="1:41" ht="12.5" hidden="1">
      <c r="A434" s="28" t="s">
        <v>1877</v>
      </c>
      <c r="B434" s="37">
        <v>45640</v>
      </c>
      <c r="C434" s="29">
        <v>45659</v>
      </c>
      <c r="D434" s="38" t="s">
        <v>41</v>
      </c>
      <c r="E434" s="38" t="s">
        <v>1878</v>
      </c>
      <c r="G434" s="38" t="s">
        <v>43</v>
      </c>
      <c r="H434" s="38">
        <v>13.92</v>
      </c>
      <c r="I434" s="38" t="s">
        <v>44</v>
      </c>
      <c r="J434" s="38" t="s">
        <v>45</v>
      </c>
      <c r="K434" s="38" t="s">
        <v>1879</v>
      </c>
      <c r="L434" s="30" t="s">
        <v>47</v>
      </c>
      <c r="M434" s="38" t="s">
        <v>48</v>
      </c>
      <c r="N434" s="38" t="s">
        <v>48</v>
      </c>
      <c r="O434" s="31" t="s">
        <v>1214</v>
      </c>
      <c r="P434" s="28" t="s">
        <v>1215</v>
      </c>
      <c r="Q434" s="38" t="s">
        <v>1216</v>
      </c>
      <c r="R434" s="38">
        <v>1</v>
      </c>
      <c r="S434" s="38" t="s">
        <v>99</v>
      </c>
      <c r="T434" s="38" t="s">
        <v>53</v>
      </c>
      <c r="U434" s="38" t="s">
        <v>54</v>
      </c>
      <c r="V434" s="38" t="s">
        <v>55</v>
      </c>
      <c r="Y434" s="38">
        <v>70.22</v>
      </c>
      <c r="Z434" s="38">
        <v>1</v>
      </c>
      <c r="AF434" s="38">
        <v>70.22</v>
      </c>
      <c r="AI434" s="38">
        <v>1</v>
      </c>
      <c r="AJ434" s="38">
        <v>3</v>
      </c>
      <c r="AK434" s="14">
        <f t="shared" si="1"/>
        <v>0.33333333333333331</v>
      </c>
      <c r="AM434" s="9"/>
      <c r="AN434" s="9"/>
      <c r="AO434" s="28"/>
    </row>
    <row r="435" spans="1:41" ht="12.5" hidden="1">
      <c r="A435" s="28" t="s">
        <v>1880</v>
      </c>
      <c r="B435" s="37">
        <v>45656</v>
      </c>
      <c r="C435" s="29">
        <v>45663</v>
      </c>
      <c r="D435" s="38" t="s">
        <v>41</v>
      </c>
      <c r="E435" s="38" t="s">
        <v>1881</v>
      </c>
      <c r="G435" s="38" t="s">
        <v>137</v>
      </c>
      <c r="H435" s="38">
        <v>0</v>
      </c>
      <c r="L435" s="30" t="s">
        <v>58</v>
      </c>
      <c r="M435" s="38" t="s">
        <v>48</v>
      </c>
      <c r="N435" s="38" t="s">
        <v>48</v>
      </c>
      <c r="O435" s="31" t="s">
        <v>455</v>
      </c>
      <c r="P435" s="28" t="s">
        <v>456</v>
      </c>
      <c r="Q435" s="38" t="s">
        <v>457</v>
      </c>
      <c r="R435" s="38">
        <v>1</v>
      </c>
      <c r="S435" s="38" t="s">
        <v>68</v>
      </c>
      <c r="T435" s="38" t="s">
        <v>53</v>
      </c>
      <c r="U435" s="38" t="s">
        <v>54</v>
      </c>
      <c r="V435" s="38" t="s">
        <v>61</v>
      </c>
      <c r="Y435" s="38">
        <v>71.790000000000006</v>
      </c>
      <c r="Z435" s="38">
        <v>1</v>
      </c>
      <c r="AI435" s="38">
        <v>1</v>
      </c>
      <c r="AJ435" s="38">
        <v>4</v>
      </c>
      <c r="AK435" s="14">
        <f t="shared" si="1"/>
        <v>0.25</v>
      </c>
      <c r="AM435" s="9"/>
      <c r="AN435" s="9"/>
      <c r="AO435" s="28"/>
    </row>
    <row r="436" spans="1:41" ht="12.5" hidden="1">
      <c r="A436" s="28" t="s">
        <v>1882</v>
      </c>
      <c r="B436" s="39">
        <v>45634</v>
      </c>
      <c r="C436" s="29">
        <v>45659</v>
      </c>
      <c r="D436" s="38" t="s">
        <v>41</v>
      </c>
      <c r="E436" s="38" t="s">
        <v>1883</v>
      </c>
      <c r="G436" s="38" t="s">
        <v>43</v>
      </c>
      <c r="H436" s="38">
        <v>10.3</v>
      </c>
      <c r="I436" s="38" t="s">
        <v>44</v>
      </c>
      <c r="J436" s="38" t="s">
        <v>45</v>
      </c>
      <c r="K436" s="38" t="s">
        <v>1884</v>
      </c>
      <c r="L436" s="30" t="s">
        <v>58</v>
      </c>
      <c r="M436" s="38" t="s">
        <v>48</v>
      </c>
      <c r="N436" s="38" t="s">
        <v>48</v>
      </c>
      <c r="O436" s="31" t="s">
        <v>1259</v>
      </c>
      <c r="P436" s="28" t="s">
        <v>1260</v>
      </c>
      <c r="Q436" s="38" t="s">
        <v>1261</v>
      </c>
      <c r="R436" s="38">
        <v>1</v>
      </c>
      <c r="S436" s="38" t="s">
        <v>68</v>
      </c>
      <c r="T436" s="38" t="s">
        <v>53</v>
      </c>
      <c r="U436" s="38" t="s">
        <v>54</v>
      </c>
      <c r="V436" s="38" t="s">
        <v>61</v>
      </c>
      <c r="Y436" s="38">
        <v>63.98</v>
      </c>
      <c r="Z436" s="38">
        <v>1</v>
      </c>
      <c r="AI436" s="38">
        <v>1</v>
      </c>
      <c r="AJ436" s="38">
        <v>13</v>
      </c>
      <c r="AK436" s="14">
        <f t="shared" si="1"/>
        <v>7.6923076923076927E-2</v>
      </c>
      <c r="AM436" s="9"/>
      <c r="AN436" s="9"/>
      <c r="AO436" s="28"/>
    </row>
    <row r="437" spans="1:41" ht="12.5" hidden="1">
      <c r="A437" s="28" t="s">
        <v>1885</v>
      </c>
      <c r="B437" s="37">
        <v>45649</v>
      </c>
      <c r="C437" s="29">
        <v>45663</v>
      </c>
      <c r="D437" s="38" t="s">
        <v>41</v>
      </c>
      <c r="E437" s="38" t="s">
        <v>1886</v>
      </c>
      <c r="G437" s="38" t="s">
        <v>43</v>
      </c>
      <c r="H437" s="38">
        <v>14.44</v>
      </c>
      <c r="I437" s="38" t="s">
        <v>44</v>
      </c>
      <c r="J437" s="38" t="s">
        <v>45</v>
      </c>
      <c r="K437" s="38" t="s">
        <v>1887</v>
      </c>
      <c r="L437" s="30" t="s">
        <v>47</v>
      </c>
      <c r="M437" s="38" t="s">
        <v>48</v>
      </c>
      <c r="N437" s="38" t="s">
        <v>48</v>
      </c>
      <c r="O437" s="31" t="s">
        <v>498</v>
      </c>
      <c r="P437" s="28" t="s">
        <v>499</v>
      </c>
      <c r="Q437" s="38" t="s">
        <v>500</v>
      </c>
      <c r="R437" s="38">
        <v>1</v>
      </c>
      <c r="S437" s="38" t="s">
        <v>52</v>
      </c>
      <c r="T437" s="38" t="s">
        <v>53</v>
      </c>
      <c r="U437" s="38" t="s">
        <v>54</v>
      </c>
      <c r="V437" s="38" t="s">
        <v>55</v>
      </c>
      <c r="Y437" s="38">
        <v>125.21</v>
      </c>
      <c r="Z437" s="38">
        <v>1</v>
      </c>
      <c r="AF437" s="38">
        <v>125.21</v>
      </c>
      <c r="AI437" s="38">
        <v>1</v>
      </c>
      <c r="AJ437" s="38">
        <v>3</v>
      </c>
      <c r="AK437" s="14">
        <f t="shared" si="1"/>
        <v>0.33333333333333331</v>
      </c>
      <c r="AM437" s="9"/>
      <c r="AN437" s="9"/>
      <c r="AO437" s="28"/>
    </row>
    <row r="438" spans="1:41" ht="12.5" hidden="1">
      <c r="A438" s="28" t="s">
        <v>1888</v>
      </c>
      <c r="B438" s="37">
        <v>45647</v>
      </c>
      <c r="C438" s="29">
        <v>45664</v>
      </c>
      <c r="D438" s="38" t="s">
        <v>41</v>
      </c>
      <c r="E438" s="38" t="s">
        <v>1889</v>
      </c>
      <c r="G438" s="38" t="s">
        <v>43</v>
      </c>
      <c r="H438" s="38">
        <v>14.95</v>
      </c>
      <c r="I438" s="38" t="s">
        <v>44</v>
      </c>
      <c r="J438" s="38" t="s">
        <v>45</v>
      </c>
      <c r="K438" s="38" t="s">
        <v>1890</v>
      </c>
      <c r="L438" s="30" t="s">
        <v>58</v>
      </c>
      <c r="M438" s="38" t="s">
        <v>48</v>
      </c>
      <c r="N438" s="38" t="s">
        <v>48</v>
      </c>
      <c r="O438" s="31" t="s">
        <v>1891</v>
      </c>
      <c r="P438" s="28" t="s">
        <v>1892</v>
      </c>
      <c r="Q438" s="38" t="s">
        <v>1893</v>
      </c>
      <c r="R438" s="38">
        <v>1</v>
      </c>
      <c r="S438" s="38" t="s">
        <v>75</v>
      </c>
      <c r="T438" s="38" t="s">
        <v>53</v>
      </c>
      <c r="U438" s="38" t="s">
        <v>54</v>
      </c>
      <c r="V438" s="38" t="s">
        <v>61</v>
      </c>
      <c r="Y438" s="38">
        <v>94.75</v>
      </c>
      <c r="Z438" s="38">
        <v>1</v>
      </c>
      <c r="AI438" s="38">
        <v>1</v>
      </c>
      <c r="AJ438" s="38">
        <v>1</v>
      </c>
      <c r="AK438" s="14">
        <f t="shared" si="1"/>
        <v>1</v>
      </c>
      <c r="AM438" s="9"/>
      <c r="AN438" s="9"/>
      <c r="AO438" s="28"/>
    </row>
    <row r="439" spans="1:41" ht="12.5" hidden="1">
      <c r="A439" s="28" t="s">
        <v>1894</v>
      </c>
      <c r="B439" s="37">
        <v>45655</v>
      </c>
      <c r="C439" s="29">
        <v>45672</v>
      </c>
      <c r="D439" s="38" t="s">
        <v>41</v>
      </c>
      <c r="E439" s="38" t="s">
        <v>1895</v>
      </c>
      <c r="G439" s="38" t="s">
        <v>137</v>
      </c>
      <c r="H439" s="38">
        <v>0</v>
      </c>
      <c r="L439" s="30" t="s">
        <v>58</v>
      </c>
      <c r="M439" s="38" t="s">
        <v>48</v>
      </c>
      <c r="N439" s="38" t="s">
        <v>48</v>
      </c>
      <c r="O439" s="31" t="s">
        <v>503</v>
      </c>
      <c r="P439" s="28" t="s">
        <v>504</v>
      </c>
      <c r="Q439" s="38" t="s">
        <v>1896</v>
      </c>
      <c r="R439" s="38">
        <v>1</v>
      </c>
      <c r="S439" s="38" t="s">
        <v>68</v>
      </c>
      <c r="T439" s="38" t="s">
        <v>53</v>
      </c>
      <c r="U439" s="38" t="s">
        <v>54</v>
      </c>
      <c r="V439" s="38" t="s">
        <v>61</v>
      </c>
      <c r="Y439" s="38">
        <v>145.11000000000001</v>
      </c>
      <c r="Z439" s="38">
        <v>1</v>
      </c>
      <c r="AI439" s="38">
        <v>1</v>
      </c>
      <c r="AJ439" s="38">
        <v>0</v>
      </c>
      <c r="AK439" s="14" t="e">
        <f t="shared" si="1"/>
        <v>#DIV/0!</v>
      </c>
      <c r="AM439" s="9"/>
      <c r="AN439" s="9"/>
      <c r="AO439" s="28"/>
    </row>
    <row r="440" spans="1:41" ht="12.5" hidden="1">
      <c r="A440" s="28" t="s">
        <v>1897</v>
      </c>
      <c r="B440" s="37">
        <v>45641</v>
      </c>
      <c r="C440" s="29">
        <v>45664</v>
      </c>
      <c r="D440" s="38" t="s">
        <v>41</v>
      </c>
      <c r="E440" s="38" t="s">
        <v>1898</v>
      </c>
      <c r="G440" s="38" t="s">
        <v>43</v>
      </c>
      <c r="H440" s="38">
        <v>12.64</v>
      </c>
      <c r="I440" s="38" t="s">
        <v>44</v>
      </c>
      <c r="J440" s="38" t="s">
        <v>45</v>
      </c>
      <c r="K440" s="38" t="s">
        <v>1899</v>
      </c>
      <c r="L440" s="30" t="s">
        <v>58</v>
      </c>
      <c r="M440" s="38" t="s">
        <v>48</v>
      </c>
      <c r="N440" s="38" t="s">
        <v>48</v>
      </c>
      <c r="O440" s="31" t="s">
        <v>1286</v>
      </c>
      <c r="P440" s="28" t="s">
        <v>1287</v>
      </c>
      <c r="Q440" s="38" t="s">
        <v>1288</v>
      </c>
      <c r="R440" s="38">
        <v>1</v>
      </c>
      <c r="S440" s="38" t="s">
        <v>75</v>
      </c>
      <c r="T440" s="38" t="s">
        <v>53</v>
      </c>
      <c r="U440" s="38" t="s">
        <v>54</v>
      </c>
      <c r="V440" s="38" t="s">
        <v>55</v>
      </c>
      <c r="Y440" s="38">
        <v>81.55</v>
      </c>
      <c r="Z440" s="38">
        <v>1</v>
      </c>
      <c r="AF440" s="38">
        <v>68.91</v>
      </c>
      <c r="AI440" s="38">
        <v>1</v>
      </c>
      <c r="AJ440" s="38">
        <v>0</v>
      </c>
      <c r="AK440" s="14" t="e">
        <f t="shared" si="1"/>
        <v>#DIV/0!</v>
      </c>
      <c r="AM440" s="9"/>
      <c r="AN440" s="9"/>
      <c r="AO440" s="28"/>
    </row>
    <row r="441" spans="1:41" ht="12.5" hidden="1">
      <c r="A441" s="28" t="s">
        <v>1900</v>
      </c>
      <c r="B441" s="37">
        <v>45655</v>
      </c>
      <c r="C441" s="29">
        <v>45664</v>
      </c>
      <c r="D441" s="38" t="s">
        <v>41</v>
      </c>
      <c r="E441" s="38" t="s">
        <v>1901</v>
      </c>
      <c r="G441" s="38" t="s">
        <v>43</v>
      </c>
      <c r="H441" s="38">
        <v>14.44</v>
      </c>
      <c r="I441" s="38" t="s">
        <v>44</v>
      </c>
      <c r="J441" s="38" t="s">
        <v>45</v>
      </c>
      <c r="K441" s="38" t="s">
        <v>1902</v>
      </c>
      <c r="L441" s="30" t="s">
        <v>58</v>
      </c>
      <c r="M441" s="38" t="s">
        <v>48</v>
      </c>
      <c r="N441" s="38" t="s">
        <v>48</v>
      </c>
      <c r="O441" s="31" t="s">
        <v>1331</v>
      </c>
      <c r="P441" s="28" t="s">
        <v>1332</v>
      </c>
      <c r="Q441" s="38" t="s">
        <v>1333</v>
      </c>
      <c r="R441" s="38">
        <v>1</v>
      </c>
      <c r="S441" s="38" t="s">
        <v>75</v>
      </c>
      <c r="T441" s="38" t="s">
        <v>53</v>
      </c>
      <c r="U441" s="38" t="s">
        <v>54</v>
      </c>
      <c r="V441" s="38" t="s">
        <v>55</v>
      </c>
      <c r="Y441" s="38">
        <v>103.85</v>
      </c>
      <c r="Z441" s="38">
        <v>1</v>
      </c>
      <c r="AF441" s="38">
        <v>89.41</v>
      </c>
      <c r="AI441" s="38">
        <v>1</v>
      </c>
      <c r="AJ441" s="38">
        <v>0</v>
      </c>
      <c r="AK441" s="14" t="e">
        <f t="shared" si="1"/>
        <v>#DIV/0!</v>
      </c>
      <c r="AM441" s="9"/>
      <c r="AN441" s="9"/>
      <c r="AO441" s="28"/>
    </row>
    <row r="442" spans="1:41" ht="12.5" hidden="1">
      <c r="A442" s="28" t="s">
        <v>1903</v>
      </c>
      <c r="B442" s="39">
        <v>45664</v>
      </c>
      <c r="C442" s="29">
        <v>45670</v>
      </c>
      <c r="D442" s="38" t="s">
        <v>41</v>
      </c>
      <c r="E442" s="38" t="s">
        <v>1904</v>
      </c>
      <c r="G442" s="38" t="s">
        <v>43</v>
      </c>
      <c r="H442" s="38">
        <v>20.53</v>
      </c>
      <c r="I442" s="38" t="s">
        <v>44</v>
      </c>
      <c r="J442" s="38" t="s">
        <v>45</v>
      </c>
      <c r="K442" s="38" t="s">
        <v>1905</v>
      </c>
      <c r="L442" s="30" t="s">
        <v>58</v>
      </c>
      <c r="M442" s="38" t="s">
        <v>48</v>
      </c>
      <c r="N442" s="38" t="s">
        <v>48</v>
      </c>
      <c r="O442" s="31" t="s">
        <v>551</v>
      </c>
      <c r="P442" s="28" t="s">
        <v>552</v>
      </c>
      <c r="Q442" s="38" t="s">
        <v>553</v>
      </c>
      <c r="R442" s="38">
        <v>1</v>
      </c>
      <c r="S442" s="38" t="s">
        <v>75</v>
      </c>
      <c r="T442" s="38" t="s">
        <v>53</v>
      </c>
      <c r="U442" s="38" t="s">
        <v>54</v>
      </c>
      <c r="V442" s="38" t="s">
        <v>61</v>
      </c>
      <c r="Y442" s="38">
        <v>98.51</v>
      </c>
      <c r="Z442" s="38">
        <v>1</v>
      </c>
      <c r="AI442" s="38">
        <v>1</v>
      </c>
      <c r="AJ442" s="38">
        <v>4</v>
      </c>
      <c r="AK442" s="14">
        <f t="shared" si="1"/>
        <v>0.25</v>
      </c>
      <c r="AM442" s="9"/>
      <c r="AN442" s="9"/>
      <c r="AO442" s="28"/>
    </row>
    <row r="443" spans="1:41" ht="12.5" hidden="1">
      <c r="A443" s="28" t="s">
        <v>1906</v>
      </c>
      <c r="B443" s="39">
        <v>45660</v>
      </c>
      <c r="C443" s="29">
        <v>45665</v>
      </c>
      <c r="D443" s="38" t="s">
        <v>41</v>
      </c>
      <c r="E443" s="38" t="s">
        <v>1907</v>
      </c>
      <c r="G443" s="38" t="s">
        <v>43</v>
      </c>
      <c r="H443" s="38">
        <v>18.82</v>
      </c>
      <c r="I443" s="38" t="s">
        <v>44</v>
      </c>
      <c r="J443" s="38" t="s">
        <v>45</v>
      </c>
      <c r="K443" s="38" t="s">
        <v>1908</v>
      </c>
      <c r="L443" s="30" t="s">
        <v>47</v>
      </c>
      <c r="M443" s="38" t="s">
        <v>48</v>
      </c>
      <c r="N443" s="38" t="s">
        <v>48</v>
      </c>
      <c r="O443" s="31" t="s">
        <v>1343</v>
      </c>
      <c r="P443" s="28" t="s">
        <v>1344</v>
      </c>
      <c r="Q443" s="38" t="s">
        <v>1345</v>
      </c>
      <c r="R443" s="38">
        <v>1</v>
      </c>
      <c r="S443" s="38" t="s">
        <v>99</v>
      </c>
      <c r="T443" s="38" t="s">
        <v>53</v>
      </c>
      <c r="U443" s="38" t="s">
        <v>54</v>
      </c>
      <c r="V443" s="38" t="s">
        <v>55</v>
      </c>
      <c r="Y443" s="38">
        <v>125.13</v>
      </c>
      <c r="Z443" s="38">
        <v>1</v>
      </c>
      <c r="AF443" s="38">
        <v>125.13</v>
      </c>
      <c r="AI443" s="38">
        <v>1</v>
      </c>
      <c r="AJ443" s="38">
        <v>1</v>
      </c>
      <c r="AK443" s="14">
        <f t="shared" si="1"/>
        <v>1</v>
      </c>
      <c r="AM443" s="9"/>
      <c r="AN443" s="9"/>
      <c r="AO443" s="28"/>
    </row>
    <row r="444" spans="1:41" ht="12.5" hidden="1">
      <c r="A444" s="28" t="s">
        <v>1909</v>
      </c>
      <c r="B444" s="39">
        <v>45666</v>
      </c>
      <c r="C444" s="29">
        <v>45671</v>
      </c>
      <c r="D444" s="38" t="s">
        <v>41</v>
      </c>
      <c r="E444" s="38" t="s">
        <v>1910</v>
      </c>
      <c r="G444" s="38" t="s">
        <v>43</v>
      </c>
      <c r="H444" s="38">
        <v>15.34</v>
      </c>
      <c r="I444" s="38" t="s">
        <v>44</v>
      </c>
      <c r="J444" s="38" t="s">
        <v>45</v>
      </c>
      <c r="K444" s="38" t="s">
        <v>1911</v>
      </c>
      <c r="L444" s="30" t="s">
        <v>47</v>
      </c>
      <c r="M444" s="38" t="s">
        <v>48</v>
      </c>
      <c r="N444" s="38" t="s">
        <v>48</v>
      </c>
      <c r="O444" s="31" t="s">
        <v>557</v>
      </c>
      <c r="P444" s="28" t="s">
        <v>558</v>
      </c>
      <c r="Q444" s="38" t="s">
        <v>559</v>
      </c>
      <c r="R444" s="38">
        <v>1</v>
      </c>
      <c r="S444" s="38" t="s">
        <v>99</v>
      </c>
      <c r="T444" s="38" t="s">
        <v>53</v>
      </c>
      <c r="U444" s="38" t="s">
        <v>54</v>
      </c>
      <c r="V444" s="38" t="s">
        <v>55</v>
      </c>
      <c r="Y444" s="38">
        <v>99.29</v>
      </c>
      <c r="Z444" s="38">
        <v>1</v>
      </c>
      <c r="AF444" s="38">
        <v>99.29</v>
      </c>
      <c r="AI444" s="38">
        <v>2</v>
      </c>
      <c r="AJ444" s="38">
        <v>1</v>
      </c>
      <c r="AK444" s="14">
        <f t="shared" si="1"/>
        <v>2</v>
      </c>
      <c r="AM444" s="9"/>
      <c r="AN444" s="9"/>
      <c r="AO444" s="28"/>
    </row>
    <row r="445" spans="1:41" ht="12.5" hidden="1">
      <c r="A445" s="28" t="s">
        <v>1912</v>
      </c>
      <c r="B445" s="37">
        <v>45642</v>
      </c>
      <c r="C445" s="29">
        <v>45665</v>
      </c>
      <c r="D445" s="38" t="s">
        <v>41</v>
      </c>
      <c r="E445" s="38" t="s">
        <v>1913</v>
      </c>
      <c r="G445" s="38" t="s">
        <v>43</v>
      </c>
      <c r="H445" s="38">
        <v>15.34</v>
      </c>
      <c r="I445" s="38" t="s">
        <v>44</v>
      </c>
      <c r="J445" s="38" t="s">
        <v>45</v>
      </c>
      <c r="K445" s="38" t="s">
        <v>1914</v>
      </c>
      <c r="L445" s="30" t="s">
        <v>47</v>
      </c>
      <c r="M445" s="38" t="s">
        <v>48</v>
      </c>
      <c r="N445" s="38" t="s">
        <v>48</v>
      </c>
      <c r="O445" s="31" t="s">
        <v>557</v>
      </c>
      <c r="P445" s="28" t="s">
        <v>558</v>
      </c>
      <c r="Q445" s="38" t="s">
        <v>559</v>
      </c>
      <c r="R445" s="38">
        <v>1</v>
      </c>
      <c r="S445" s="38" t="s">
        <v>52</v>
      </c>
      <c r="T445" s="38" t="s">
        <v>53</v>
      </c>
      <c r="U445" s="38" t="s">
        <v>54</v>
      </c>
      <c r="V445" s="38" t="s">
        <v>55</v>
      </c>
      <c r="Y445" s="38">
        <v>97.91</v>
      </c>
      <c r="Z445" s="38">
        <v>1</v>
      </c>
      <c r="AF445" s="38">
        <v>97.91</v>
      </c>
      <c r="AK445" s="14" t="e">
        <f t="shared" si="1"/>
        <v>#DIV/0!</v>
      </c>
      <c r="AM445" s="9"/>
      <c r="AN445" s="9"/>
      <c r="AO445" s="28"/>
    </row>
    <row r="446" spans="1:41" ht="12.5" hidden="1">
      <c r="A446" s="28" t="s">
        <v>1915</v>
      </c>
      <c r="B446" s="37">
        <v>45656</v>
      </c>
      <c r="C446" s="29">
        <v>45660</v>
      </c>
      <c r="D446" s="38" t="s">
        <v>41</v>
      </c>
      <c r="E446" s="38" t="s">
        <v>1916</v>
      </c>
      <c r="G446" s="38" t="s">
        <v>43</v>
      </c>
      <c r="H446" s="38">
        <v>17.86</v>
      </c>
      <c r="I446" s="38" t="s">
        <v>44</v>
      </c>
      <c r="J446" s="38" t="s">
        <v>45</v>
      </c>
      <c r="K446" s="38" t="s">
        <v>1917</v>
      </c>
      <c r="L446" s="30" t="s">
        <v>47</v>
      </c>
      <c r="M446" s="38" t="s">
        <v>48</v>
      </c>
      <c r="N446" s="38" t="s">
        <v>48</v>
      </c>
      <c r="O446" s="31" t="s">
        <v>1918</v>
      </c>
      <c r="P446" s="28" t="s">
        <v>1919</v>
      </c>
      <c r="Q446" s="38" t="s">
        <v>1920</v>
      </c>
      <c r="R446" s="38">
        <v>1</v>
      </c>
      <c r="S446" s="38" t="s">
        <v>52</v>
      </c>
      <c r="T446" s="38" t="s">
        <v>53</v>
      </c>
      <c r="U446" s="38" t="s">
        <v>54</v>
      </c>
      <c r="V446" s="38" t="s">
        <v>55</v>
      </c>
      <c r="Y446" s="38">
        <v>102.03</v>
      </c>
      <c r="Z446" s="38">
        <v>1</v>
      </c>
      <c r="AF446" s="38">
        <v>102.03</v>
      </c>
      <c r="AI446" s="38">
        <v>1</v>
      </c>
      <c r="AJ446" s="38">
        <v>0</v>
      </c>
      <c r="AK446" s="14" t="e">
        <f t="shared" si="1"/>
        <v>#DIV/0!</v>
      </c>
      <c r="AM446" s="9"/>
      <c r="AN446" s="9"/>
      <c r="AO446" s="28"/>
    </row>
    <row r="447" spans="1:41" ht="12.5" hidden="1">
      <c r="A447" s="28" t="s">
        <v>1921</v>
      </c>
      <c r="B447" s="37">
        <v>45639</v>
      </c>
      <c r="C447" s="29">
        <v>45666</v>
      </c>
      <c r="D447" s="38" t="s">
        <v>41</v>
      </c>
      <c r="E447" s="38" t="s">
        <v>1922</v>
      </c>
      <c r="G447" s="38" t="s">
        <v>43</v>
      </c>
      <c r="H447" s="38">
        <v>10.38</v>
      </c>
      <c r="I447" s="38" t="s">
        <v>44</v>
      </c>
      <c r="J447" s="38" t="s">
        <v>45</v>
      </c>
      <c r="K447" s="38" t="s">
        <v>1923</v>
      </c>
      <c r="L447" s="30" t="s">
        <v>47</v>
      </c>
      <c r="M447" s="38" t="s">
        <v>48</v>
      </c>
      <c r="N447" s="38" t="s">
        <v>48</v>
      </c>
      <c r="O447" s="31" t="s">
        <v>1924</v>
      </c>
      <c r="P447" s="28" t="s">
        <v>1925</v>
      </c>
      <c r="Q447" s="38" t="s">
        <v>1926</v>
      </c>
      <c r="R447" s="38">
        <v>1</v>
      </c>
      <c r="S447" s="38" t="s">
        <v>1927</v>
      </c>
      <c r="T447" s="38" t="s">
        <v>53</v>
      </c>
      <c r="U447" s="38" t="s">
        <v>54</v>
      </c>
      <c r="V447" s="38" t="s">
        <v>1928</v>
      </c>
      <c r="Y447" s="38">
        <v>103.42</v>
      </c>
      <c r="Z447" s="38">
        <v>1</v>
      </c>
      <c r="AI447" s="38">
        <v>1</v>
      </c>
      <c r="AJ447" s="38">
        <v>0</v>
      </c>
      <c r="AK447" s="14" t="e">
        <f t="shared" si="1"/>
        <v>#DIV/0!</v>
      </c>
      <c r="AM447" s="9"/>
      <c r="AN447" s="9"/>
      <c r="AO447" s="28"/>
    </row>
    <row r="448" spans="1:41" ht="12.5" hidden="1">
      <c r="A448" s="28" t="s">
        <v>1929</v>
      </c>
      <c r="B448" s="37">
        <v>45653</v>
      </c>
      <c r="C448" s="29">
        <v>45662</v>
      </c>
      <c r="D448" s="38" t="s">
        <v>41</v>
      </c>
      <c r="E448" s="38" t="s">
        <v>1930</v>
      </c>
      <c r="G448" s="38" t="s">
        <v>43</v>
      </c>
      <c r="H448" s="38">
        <v>11.65</v>
      </c>
      <c r="I448" s="38" t="s">
        <v>44</v>
      </c>
      <c r="J448" s="38" t="s">
        <v>45</v>
      </c>
      <c r="K448" s="38" t="s">
        <v>1931</v>
      </c>
      <c r="L448" s="30" t="s">
        <v>58</v>
      </c>
      <c r="M448" s="38" t="s">
        <v>48</v>
      </c>
      <c r="N448" s="38" t="s">
        <v>48</v>
      </c>
      <c r="O448" s="31" t="s">
        <v>1360</v>
      </c>
      <c r="P448" s="28" t="s">
        <v>1361</v>
      </c>
      <c r="Q448" s="38" t="s">
        <v>1362</v>
      </c>
      <c r="R448" s="38">
        <v>1</v>
      </c>
      <c r="S448" s="38" t="s">
        <v>75</v>
      </c>
      <c r="T448" s="38" t="s">
        <v>53</v>
      </c>
      <c r="U448" s="38" t="s">
        <v>54</v>
      </c>
      <c r="V448" s="38" t="s">
        <v>55</v>
      </c>
      <c r="Y448" s="38">
        <v>117.92</v>
      </c>
      <c r="Z448" s="38">
        <v>1</v>
      </c>
      <c r="AF448" s="38">
        <v>106.27</v>
      </c>
      <c r="AI448" s="38">
        <v>1</v>
      </c>
      <c r="AJ448" s="38">
        <v>0</v>
      </c>
      <c r="AK448" s="14" t="e">
        <f t="shared" si="1"/>
        <v>#DIV/0!</v>
      </c>
      <c r="AM448" s="9"/>
      <c r="AN448" s="9"/>
      <c r="AO448" s="28"/>
    </row>
    <row r="449" spans="1:41" ht="12.5" hidden="1">
      <c r="A449" s="28" t="s">
        <v>1932</v>
      </c>
      <c r="B449" s="39">
        <v>45629</v>
      </c>
      <c r="C449" s="29">
        <v>45665</v>
      </c>
      <c r="D449" s="38" t="s">
        <v>41</v>
      </c>
      <c r="E449" s="38" t="s">
        <v>1933</v>
      </c>
      <c r="G449" s="38" t="s">
        <v>43</v>
      </c>
      <c r="H449" s="38">
        <v>11.74</v>
      </c>
      <c r="I449" s="38" t="s">
        <v>44</v>
      </c>
      <c r="J449" s="38" t="s">
        <v>45</v>
      </c>
      <c r="K449" s="38" t="s">
        <v>1934</v>
      </c>
      <c r="L449" s="30" t="s">
        <v>58</v>
      </c>
      <c r="M449" s="38" t="s">
        <v>48</v>
      </c>
      <c r="N449" s="38" t="s">
        <v>48</v>
      </c>
      <c r="O449" s="31" t="s">
        <v>566</v>
      </c>
      <c r="P449" s="28" t="s">
        <v>567</v>
      </c>
      <c r="Q449" s="38" t="s">
        <v>568</v>
      </c>
      <c r="R449" s="38">
        <v>1</v>
      </c>
      <c r="S449" s="38" t="s">
        <v>68</v>
      </c>
      <c r="T449" s="38" t="s">
        <v>53</v>
      </c>
      <c r="U449" s="38" t="s">
        <v>54</v>
      </c>
      <c r="V449" s="38" t="s">
        <v>61</v>
      </c>
      <c r="Y449" s="38">
        <v>131.54</v>
      </c>
      <c r="Z449" s="38">
        <v>1</v>
      </c>
      <c r="AI449" s="38">
        <v>2</v>
      </c>
      <c r="AJ449" s="38">
        <v>2</v>
      </c>
      <c r="AK449" s="14">
        <f t="shared" si="1"/>
        <v>1</v>
      </c>
      <c r="AM449" s="9"/>
      <c r="AN449" s="9"/>
      <c r="AO449" s="28"/>
    </row>
    <row r="450" spans="1:41" ht="12.5" hidden="1">
      <c r="A450" s="28" t="s">
        <v>1932</v>
      </c>
      <c r="B450" s="39">
        <v>45629</v>
      </c>
      <c r="C450" s="29">
        <v>45665</v>
      </c>
      <c r="D450" s="38" t="s">
        <v>41</v>
      </c>
      <c r="E450" s="38" t="s">
        <v>1935</v>
      </c>
      <c r="G450" s="38" t="s">
        <v>43</v>
      </c>
      <c r="H450" s="38">
        <v>11.74</v>
      </c>
      <c r="I450" s="38" t="s">
        <v>44</v>
      </c>
      <c r="J450" s="38" t="s">
        <v>45</v>
      </c>
      <c r="K450" s="38" t="s">
        <v>1936</v>
      </c>
      <c r="L450" s="30" t="s">
        <v>58</v>
      </c>
      <c r="M450" s="38" t="s">
        <v>48</v>
      </c>
      <c r="N450" s="38" t="s">
        <v>48</v>
      </c>
      <c r="O450" s="31" t="s">
        <v>566</v>
      </c>
      <c r="P450" s="28" t="s">
        <v>567</v>
      </c>
      <c r="Q450" s="38" t="s">
        <v>568</v>
      </c>
      <c r="R450" s="38">
        <v>1</v>
      </c>
      <c r="S450" s="38" t="s">
        <v>68</v>
      </c>
      <c r="T450" s="38" t="s">
        <v>53</v>
      </c>
      <c r="U450" s="38" t="s">
        <v>54</v>
      </c>
      <c r="V450" s="38" t="s">
        <v>61</v>
      </c>
      <c r="Y450" s="38">
        <v>131.54</v>
      </c>
      <c r="Z450" s="38">
        <v>1</v>
      </c>
      <c r="AK450" s="14" t="e">
        <f t="shared" si="1"/>
        <v>#DIV/0!</v>
      </c>
      <c r="AM450" s="9"/>
      <c r="AN450" s="9"/>
      <c r="AO450" s="28"/>
    </row>
    <row r="451" spans="1:41" ht="12.5" hidden="1">
      <c r="A451" s="28" t="s">
        <v>1937</v>
      </c>
      <c r="B451" s="37">
        <v>45657</v>
      </c>
      <c r="C451" s="29">
        <v>45664</v>
      </c>
      <c r="D451" s="38" t="s">
        <v>41</v>
      </c>
      <c r="E451" s="38" t="s">
        <v>1938</v>
      </c>
      <c r="G451" s="38" t="s">
        <v>43</v>
      </c>
      <c r="H451" s="38">
        <v>10.66</v>
      </c>
      <c r="I451" s="38" t="s">
        <v>44</v>
      </c>
      <c r="J451" s="38" t="s">
        <v>45</v>
      </c>
      <c r="K451" s="38" t="s">
        <v>1939</v>
      </c>
      <c r="L451" s="30" t="s">
        <v>47</v>
      </c>
      <c r="M451" s="38" t="s">
        <v>48</v>
      </c>
      <c r="N451" s="38" t="s">
        <v>48</v>
      </c>
      <c r="O451" s="31" t="s">
        <v>572</v>
      </c>
      <c r="P451" s="28" t="s">
        <v>573</v>
      </c>
      <c r="Q451" s="38" t="s">
        <v>574</v>
      </c>
      <c r="R451" s="38">
        <v>1</v>
      </c>
      <c r="S451" s="38" t="s">
        <v>92</v>
      </c>
      <c r="T451" s="38" t="s">
        <v>53</v>
      </c>
      <c r="U451" s="38" t="s">
        <v>54</v>
      </c>
      <c r="V451" s="38" t="s">
        <v>55</v>
      </c>
      <c r="Y451" s="38">
        <v>96.95</v>
      </c>
      <c r="Z451" s="38">
        <v>1</v>
      </c>
      <c r="AF451" s="38">
        <v>96.95</v>
      </c>
      <c r="AI451" s="38">
        <v>1</v>
      </c>
      <c r="AJ451" s="38">
        <v>2</v>
      </c>
      <c r="AK451" s="14">
        <f t="shared" si="1"/>
        <v>0.5</v>
      </c>
      <c r="AM451" s="9"/>
      <c r="AN451" s="9"/>
      <c r="AO451" s="28"/>
    </row>
    <row r="452" spans="1:41" ht="12.5" hidden="1">
      <c r="A452" s="28" t="s">
        <v>1940</v>
      </c>
      <c r="B452" s="37">
        <v>45639</v>
      </c>
      <c r="C452" s="29">
        <v>45672</v>
      </c>
      <c r="D452" s="38" t="s">
        <v>41</v>
      </c>
      <c r="E452" s="38" t="s">
        <v>1941</v>
      </c>
      <c r="G452" s="38" t="s">
        <v>43</v>
      </c>
      <c r="H452" s="38">
        <v>7.31</v>
      </c>
      <c r="I452" s="38" t="s">
        <v>44</v>
      </c>
      <c r="J452" s="38" t="s">
        <v>45</v>
      </c>
      <c r="K452" s="38" t="s">
        <v>1942</v>
      </c>
      <c r="L452" s="30" t="s">
        <v>58</v>
      </c>
      <c r="M452" s="38" t="s">
        <v>48</v>
      </c>
      <c r="N452" s="38" t="s">
        <v>48</v>
      </c>
      <c r="O452" s="31" t="s">
        <v>1943</v>
      </c>
      <c r="P452" s="28" t="s">
        <v>1944</v>
      </c>
      <c r="Q452" s="38" t="s">
        <v>1945</v>
      </c>
      <c r="R452" s="38">
        <v>1</v>
      </c>
      <c r="S452" s="38" t="s">
        <v>68</v>
      </c>
      <c r="T452" s="38" t="s">
        <v>53</v>
      </c>
      <c r="U452" s="38" t="s">
        <v>54</v>
      </c>
      <c r="V452" s="38" t="s">
        <v>61</v>
      </c>
      <c r="Y452" s="38">
        <v>87.09</v>
      </c>
      <c r="Z452" s="38">
        <v>1</v>
      </c>
      <c r="AI452" s="38">
        <v>2</v>
      </c>
      <c r="AJ452" s="38">
        <v>6</v>
      </c>
      <c r="AK452" s="14">
        <f t="shared" si="1"/>
        <v>0.33333333333333331</v>
      </c>
      <c r="AM452" s="9"/>
      <c r="AN452" s="9"/>
      <c r="AO452" s="28"/>
    </row>
    <row r="453" spans="1:41" ht="12.5" hidden="1">
      <c r="A453" s="28" t="s">
        <v>1946</v>
      </c>
      <c r="B453" s="39">
        <v>45659</v>
      </c>
      <c r="C453" s="29">
        <v>45666</v>
      </c>
      <c r="D453" s="38" t="s">
        <v>41</v>
      </c>
      <c r="E453" s="38" t="s">
        <v>1947</v>
      </c>
      <c r="G453" s="38" t="s">
        <v>43</v>
      </c>
      <c r="H453" s="38">
        <v>7.31</v>
      </c>
      <c r="I453" s="38" t="s">
        <v>44</v>
      </c>
      <c r="J453" s="38" t="s">
        <v>45</v>
      </c>
      <c r="K453" s="38" t="s">
        <v>1948</v>
      </c>
      <c r="L453" s="30" t="s">
        <v>47</v>
      </c>
      <c r="M453" s="38" t="s">
        <v>48</v>
      </c>
      <c r="N453" s="38" t="s">
        <v>48</v>
      </c>
      <c r="O453" s="31" t="s">
        <v>1943</v>
      </c>
      <c r="P453" s="28" t="s">
        <v>1944</v>
      </c>
      <c r="Q453" s="38" t="s">
        <v>1945</v>
      </c>
      <c r="R453" s="38">
        <v>1</v>
      </c>
      <c r="S453" s="38" t="s">
        <v>52</v>
      </c>
      <c r="T453" s="38" t="s">
        <v>53</v>
      </c>
      <c r="U453" s="38" t="s">
        <v>54</v>
      </c>
      <c r="V453" s="38" t="s">
        <v>55</v>
      </c>
      <c r="Y453" s="38">
        <v>79.930000000000007</v>
      </c>
      <c r="Z453" s="38">
        <v>1</v>
      </c>
      <c r="AF453" s="38">
        <v>79.930000000000007</v>
      </c>
      <c r="AK453" s="14" t="e">
        <f t="shared" si="1"/>
        <v>#DIV/0!</v>
      </c>
      <c r="AM453" s="9"/>
      <c r="AN453" s="9"/>
      <c r="AO453" s="28"/>
    </row>
    <row r="454" spans="1:41" ht="12.5" hidden="1">
      <c r="A454" s="28" t="s">
        <v>1949</v>
      </c>
      <c r="B454" s="39">
        <v>45629</v>
      </c>
      <c r="C454" s="29">
        <v>45660</v>
      </c>
      <c r="D454" s="38" t="s">
        <v>41</v>
      </c>
      <c r="E454" s="38" t="s">
        <v>1950</v>
      </c>
      <c r="G454" s="38" t="s">
        <v>43</v>
      </c>
      <c r="H454" s="38">
        <v>14.32</v>
      </c>
      <c r="I454" s="38" t="s">
        <v>44</v>
      </c>
      <c r="J454" s="38" t="s">
        <v>45</v>
      </c>
      <c r="K454" s="38" t="s">
        <v>1951</v>
      </c>
      <c r="L454" s="30" t="s">
        <v>58</v>
      </c>
      <c r="M454" s="38" t="s">
        <v>48</v>
      </c>
      <c r="N454" s="38" t="s">
        <v>48</v>
      </c>
      <c r="O454" s="31" t="s">
        <v>593</v>
      </c>
      <c r="P454" s="28" t="s">
        <v>594</v>
      </c>
      <c r="Q454" s="38" t="s">
        <v>1952</v>
      </c>
      <c r="R454" s="38">
        <v>1</v>
      </c>
      <c r="S454" s="38" t="s">
        <v>68</v>
      </c>
      <c r="T454" s="38" t="s">
        <v>53</v>
      </c>
      <c r="U454" s="38" t="s">
        <v>54</v>
      </c>
      <c r="V454" s="38" t="s">
        <v>55</v>
      </c>
      <c r="Y454" s="38">
        <v>102.65</v>
      </c>
      <c r="Z454" s="38">
        <v>1</v>
      </c>
      <c r="AF454" s="38">
        <v>88.33</v>
      </c>
      <c r="AI454" s="38">
        <v>1</v>
      </c>
      <c r="AJ454" s="38">
        <v>0</v>
      </c>
      <c r="AK454" s="14" t="e">
        <f t="shared" si="1"/>
        <v>#DIV/0!</v>
      </c>
      <c r="AM454" s="9"/>
      <c r="AN454" s="9"/>
      <c r="AO454" s="28"/>
    </row>
    <row r="455" spans="1:41" ht="12.5" hidden="1">
      <c r="A455" s="28" t="s">
        <v>1953</v>
      </c>
      <c r="B455" s="39">
        <v>45631</v>
      </c>
      <c r="C455" s="29">
        <v>45670</v>
      </c>
      <c r="D455" s="38" t="s">
        <v>41</v>
      </c>
      <c r="E455" s="38" t="s">
        <v>1954</v>
      </c>
      <c r="G455" s="38" t="s">
        <v>43</v>
      </c>
      <c r="H455" s="38">
        <v>41.45</v>
      </c>
      <c r="I455" s="38" t="s">
        <v>44</v>
      </c>
      <c r="J455" s="38" t="s">
        <v>45</v>
      </c>
      <c r="K455" s="38" t="s">
        <v>1955</v>
      </c>
      <c r="L455" s="30" t="s">
        <v>47</v>
      </c>
      <c r="M455" s="38" t="s">
        <v>48</v>
      </c>
      <c r="N455" s="38" t="s">
        <v>48</v>
      </c>
      <c r="O455" s="31" t="s">
        <v>599</v>
      </c>
      <c r="P455" s="28" t="s">
        <v>600</v>
      </c>
      <c r="Q455" s="38" t="s">
        <v>601</v>
      </c>
      <c r="R455" s="38">
        <v>1</v>
      </c>
      <c r="S455" s="38" t="s">
        <v>421</v>
      </c>
      <c r="T455" s="38" t="s">
        <v>53</v>
      </c>
      <c r="U455" s="38" t="s">
        <v>54</v>
      </c>
      <c r="V455" s="38" t="s">
        <v>61</v>
      </c>
      <c r="Y455" s="38">
        <v>126.93</v>
      </c>
      <c r="Z455" s="38">
        <v>1</v>
      </c>
      <c r="AI455" s="38">
        <v>1</v>
      </c>
      <c r="AJ455" s="38">
        <v>2</v>
      </c>
      <c r="AK455" s="14">
        <f t="shared" si="1"/>
        <v>0.5</v>
      </c>
      <c r="AM455" s="9"/>
      <c r="AN455" s="9"/>
      <c r="AO455" s="28"/>
    </row>
    <row r="456" spans="1:41" ht="12.5" hidden="1">
      <c r="A456" s="28" t="s">
        <v>1956</v>
      </c>
      <c r="B456" s="39">
        <v>45628</v>
      </c>
      <c r="C456" s="29">
        <v>45658</v>
      </c>
      <c r="D456" s="38" t="s">
        <v>41</v>
      </c>
      <c r="E456" s="38" t="s">
        <v>1957</v>
      </c>
      <c r="G456" s="38" t="s">
        <v>43</v>
      </c>
      <c r="H456" s="38">
        <v>7.63</v>
      </c>
      <c r="I456" s="38" t="s">
        <v>44</v>
      </c>
      <c r="J456" s="38" t="s">
        <v>45</v>
      </c>
      <c r="K456" s="38" t="s">
        <v>1958</v>
      </c>
      <c r="L456" s="30" t="s">
        <v>47</v>
      </c>
      <c r="M456" s="38" t="s">
        <v>48</v>
      </c>
      <c r="N456" s="38" t="s">
        <v>48</v>
      </c>
      <c r="O456" s="31" t="s">
        <v>1959</v>
      </c>
      <c r="P456" s="28" t="s">
        <v>1960</v>
      </c>
      <c r="Q456" s="38" t="s">
        <v>1961</v>
      </c>
      <c r="R456" s="38">
        <v>1</v>
      </c>
      <c r="S456" s="38" t="s">
        <v>92</v>
      </c>
      <c r="T456" s="38" t="s">
        <v>53</v>
      </c>
      <c r="U456" s="38" t="s">
        <v>54</v>
      </c>
      <c r="V456" s="38" t="s">
        <v>61</v>
      </c>
      <c r="Y456" s="38">
        <v>134.41999999999999</v>
      </c>
      <c r="Z456" s="38">
        <v>1</v>
      </c>
      <c r="AI456" s="38">
        <v>1</v>
      </c>
      <c r="AJ456" s="38">
        <v>0</v>
      </c>
      <c r="AK456" s="14" t="e">
        <f t="shared" si="1"/>
        <v>#DIV/0!</v>
      </c>
      <c r="AM456" s="9"/>
      <c r="AN456" s="9"/>
      <c r="AO456" s="28"/>
    </row>
    <row r="457" spans="1:41" ht="12.5" hidden="1">
      <c r="A457" s="28" t="s">
        <v>1962</v>
      </c>
      <c r="B457" s="37">
        <v>45652</v>
      </c>
      <c r="C457" s="29">
        <v>45661</v>
      </c>
      <c r="D457" s="38" t="s">
        <v>41</v>
      </c>
      <c r="E457" s="38" t="s">
        <v>1963</v>
      </c>
      <c r="G457" s="38" t="s">
        <v>43</v>
      </c>
      <c r="H457" s="38">
        <v>9.94</v>
      </c>
      <c r="I457" s="38" t="s">
        <v>44</v>
      </c>
      <c r="J457" s="38" t="s">
        <v>45</v>
      </c>
      <c r="K457" s="38" t="s">
        <v>1964</v>
      </c>
      <c r="L457" s="30" t="s">
        <v>47</v>
      </c>
      <c r="M457" s="38" t="s">
        <v>48</v>
      </c>
      <c r="N457" s="38" t="s">
        <v>48</v>
      </c>
      <c r="O457" s="31" t="s">
        <v>1965</v>
      </c>
      <c r="P457" s="28" t="s">
        <v>1966</v>
      </c>
      <c r="Q457" s="38" t="s">
        <v>1967</v>
      </c>
      <c r="R457" s="38">
        <v>1</v>
      </c>
      <c r="S457" s="38" t="s">
        <v>99</v>
      </c>
      <c r="T457" s="38" t="s">
        <v>53</v>
      </c>
      <c r="U457" s="38" t="s">
        <v>54</v>
      </c>
      <c r="V457" s="38" t="s">
        <v>55</v>
      </c>
      <c r="Y457" s="38">
        <v>120.51</v>
      </c>
      <c r="Z457" s="38">
        <v>1</v>
      </c>
      <c r="AF457" s="38">
        <v>120.51</v>
      </c>
      <c r="AI457" s="38">
        <v>1</v>
      </c>
      <c r="AJ457" s="38">
        <v>2</v>
      </c>
      <c r="AK457" s="14">
        <f t="shared" si="1"/>
        <v>0.5</v>
      </c>
      <c r="AM457" s="9"/>
      <c r="AN457" s="9"/>
      <c r="AO457" s="28"/>
    </row>
    <row r="458" spans="1:41" ht="12.5" hidden="1">
      <c r="A458" s="28" t="s">
        <v>1968</v>
      </c>
      <c r="B458" s="37">
        <v>45669</v>
      </c>
      <c r="C458" s="29">
        <v>45671</v>
      </c>
      <c r="D458" s="38" t="s">
        <v>41</v>
      </c>
      <c r="E458" s="38" t="s">
        <v>1969</v>
      </c>
      <c r="G458" s="38" t="s">
        <v>43</v>
      </c>
      <c r="H458" s="38">
        <v>11.74</v>
      </c>
      <c r="I458" s="38" t="s">
        <v>44</v>
      </c>
      <c r="J458" s="38" t="s">
        <v>45</v>
      </c>
      <c r="K458" s="38" t="s">
        <v>1970</v>
      </c>
      <c r="L458" s="30" t="s">
        <v>47</v>
      </c>
      <c r="M458" s="38" t="s">
        <v>48</v>
      </c>
      <c r="N458" s="38" t="s">
        <v>48</v>
      </c>
      <c r="O458" s="31" t="s">
        <v>1404</v>
      </c>
      <c r="P458" s="28" t="s">
        <v>1405</v>
      </c>
      <c r="Q458" s="38" t="s">
        <v>1406</v>
      </c>
      <c r="R458" s="38">
        <v>1</v>
      </c>
      <c r="S458" s="38" t="s">
        <v>99</v>
      </c>
      <c r="T458" s="38" t="s">
        <v>53</v>
      </c>
      <c r="U458" s="38" t="s">
        <v>54</v>
      </c>
      <c r="V458" s="38" t="s">
        <v>55</v>
      </c>
      <c r="Y458" s="38">
        <v>67.010000000000005</v>
      </c>
      <c r="Z458" s="38">
        <v>1</v>
      </c>
      <c r="AF458" s="38">
        <v>67.010000000000005</v>
      </c>
      <c r="AI458" s="38">
        <v>1</v>
      </c>
      <c r="AJ458" s="38">
        <v>1</v>
      </c>
      <c r="AK458" s="14">
        <f t="shared" si="1"/>
        <v>1</v>
      </c>
      <c r="AM458" s="9"/>
      <c r="AN458" s="9"/>
      <c r="AO458" s="28"/>
    </row>
    <row r="459" spans="1:41" ht="12.5" hidden="1">
      <c r="A459" s="28" t="s">
        <v>1971</v>
      </c>
      <c r="B459" s="37">
        <v>45643</v>
      </c>
      <c r="C459" s="29">
        <v>45670</v>
      </c>
      <c r="D459" s="38" t="s">
        <v>41</v>
      </c>
      <c r="E459" s="38" t="s">
        <v>1972</v>
      </c>
      <c r="G459" s="38" t="s">
        <v>43</v>
      </c>
      <c r="H459" s="38">
        <v>14.44</v>
      </c>
      <c r="I459" s="38" t="s">
        <v>44</v>
      </c>
      <c r="J459" s="38" t="s">
        <v>45</v>
      </c>
      <c r="K459" s="38" t="s">
        <v>1973</v>
      </c>
      <c r="L459" s="30" t="s">
        <v>58</v>
      </c>
      <c r="M459" s="38" t="s">
        <v>48</v>
      </c>
      <c r="N459" s="38" t="s">
        <v>48</v>
      </c>
      <c r="O459" s="31" t="s">
        <v>611</v>
      </c>
      <c r="P459" s="28" t="s">
        <v>612</v>
      </c>
      <c r="Q459" s="38" t="s">
        <v>613</v>
      </c>
      <c r="R459" s="38">
        <v>1</v>
      </c>
      <c r="S459" s="38" t="s">
        <v>68</v>
      </c>
      <c r="T459" s="38" t="s">
        <v>53</v>
      </c>
      <c r="U459" s="38" t="s">
        <v>54</v>
      </c>
      <c r="V459" s="38" t="s">
        <v>55</v>
      </c>
      <c r="Y459" s="38">
        <v>89.1</v>
      </c>
      <c r="Z459" s="38">
        <v>1</v>
      </c>
      <c r="AF459" s="38">
        <v>74.66</v>
      </c>
      <c r="AI459" s="38">
        <v>2</v>
      </c>
      <c r="AJ459" s="38">
        <v>2</v>
      </c>
      <c r="AK459" s="14">
        <f t="shared" si="1"/>
        <v>1</v>
      </c>
      <c r="AM459" s="9"/>
      <c r="AN459" s="9"/>
      <c r="AO459" s="28"/>
    </row>
    <row r="460" spans="1:41" ht="12.5" hidden="1">
      <c r="A460" s="28" t="s">
        <v>1974</v>
      </c>
      <c r="B460" s="37">
        <v>45653</v>
      </c>
      <c r="C460" s="29">
        <v>45666</v>
      </c>
      <c r="D460" s="38" t="s">
        <v>41</v>
      </c>
      <c r="E460" s="38" t="s">
        <v>1975</v>
      </c>
      <c r="G460" s="38" t="s">
        <v>43</v>
      </c>
      <c r="H460" s="38">
        <v>14.44</v>
      </c>
      <c r="I460" s="38" t="s">
        <v>44</v>
      </c>
      <c r="J460" s="38" t="s">
        <v>45</v>
      </c>
      <c r="K460" s="38" t="s">
        <v>1976</v>
      </c>
      <c r="L460" s="30" t="s">
        <v>58</v>
      </c>
      <c r="M460" s="38" t="s">
        <v>48</v>
      </c>
      <c r="N460" s="38" t="s">
        <v>48</v>
      </c>
      <c r="O460" s="31" t="s">
        <v>611</v>
      </c>
      <c r="P460" s="28" t="s">
        <v>612</v>
      </c>
      <c r="Q460" s="38" t="s">
        <v>613</v>
      </c>
      <c r="R460" s="38">
        <v>1</v>
      </c>
      <c r="S460" s="38" t="s">
        <v>75</v>
      </c>
      <c r="T460" s="38" t="s">
        <v>53</v>
      </c>
      <c r="U460" s="38" t="s">
        <v>54</v>
      </c>
      <c r="V460" s="38" t="s">
        <v>61</v>
      </c>
      <c r="Y460" s="38">
        <v>85.8</v>
      </c>
      <c r="Z460" s="38">
        <v>1</v>
      </c>
      <c r="AK460" s="14" t="e">
        <f t="shared" si="1"/>
        <v>#DIV/0!</v>
      </c>
      <c r="AM460" s="9"/>
      <c r="AN460" s="9"/>
      <c r="AO460" s="28"/>
    </row>
    <row r="461" spans="1:41" ht="12.5" hidden="1">
      <c r="A461" s="28" t="s">
        <v>1977</v>
      </c>
      <c r="B461" s="39">
        <v>45665</v>
      </c>
      <c r="C461" s="29">
        <v>45667</v>
      </c>
      <c r="D461" s="38" t="s">
        <v>41</v>
      </c>
      <c r="E461" s="38" t="s">
        <v>1978</v>
      </c>
      <c r="G461" s="38" t="s">
        <v>43</v>
      </c>
      <c r="H461" s="38">
        <v>11.74</v>
      </c>
      <c r="I461" s="38" t="s">
        <v>44</v>
      </c>
      <c r="J461" s="38" t="s">
        <v>45</v>
      </c>
      <c r="K461" s="38" t="s">
        <v>1979</v>
      </c>
      <c r="L461" s="30" t="s">
        <v>58</v>
      </c>
      <c r="M461" s="38" t="s">
        <v>48</v>
      </c>
      <c r="N461" s="38" t="s">
        <v>48</v>
      </c>
      <c r="O461" s="31" t="s">
        <v>1422</v>
      </c>
      <c r="P461" s="28" t="s">
        <v>1423</v>
      </c>
      <c r="Q461" s="38" t="s">
        <v>1424</v>
      </c>
      <c r="R461" s="38">
        <v>1</v>
      </c>
      <c r="S461" s="38" t="s">
        <v>68</v>
      </c>
      <c r="T461" s="38" t="s">
        <v>53</v>
      </c>
      <c r="U461" s="38" t="s">
        <v>54</v>
      </c>
      <c r="V461" s="38" t="s">
        <v>61</v>
      </c>
      <c r="Y461" s="38">
        <v>87.61</v>
      </c>
      <c r="Z461" s="38">
        <v>1</v>
      </c>
      <c r="AI461" s="38">
        <v>1</v>
      </c>
      <c r="AJ461" s="38">
        <v>2</v>
      </c>
      <c r="AK461" s="14">
        <f t="shared" si="1"/>
        <v>0.5</v>
      </c>
      <c r="AM461" s="9"/>
      <c r="AN461" s="9"/>
      <c r="AO461" s="28"/>
    </row>
    <row r="462" spans="1:41" ht="12.5" hidden="1">
      <c r="A462" s="28" t="s">
        <v>1980</v>
      </c>
      <c r="B462" s="39">
        <v>45662</v>
      </c>
      <c r="C462" s="29">
        <v>45664</v>
      </c>
      <c r="D462" s="38" t="s">
        <v>41</v>
      </c>
      <c r="E462" s="38" t="s">
        <v>1981</v>
      </c>
      <c r="G462" s="38" t="s">
        <v>43</v>
      </c>
      <c r="H462" s="38">
        <v>11.5</v>
      </c>
      <c r="I462" s="38" t="s">
        <v>44</v>
      </c>
      <c r="J462" s="38" t="s">
        <v>45</v>
      </c>
      <c r="K462" s="38" t="s">
        <v>1982</v>
      </c>
      <c r="L462" s="30" t="s">
        <v>58</v>
      </c>
      <c r="M462" s="38" t="s">
        <v>48</v>
      </c>
      <c r="N462" s="38" t="s">
        <v>48</v>
      </c>
      <c r="O462" s="31" t="s">
        <v>1983</v>
      </c>
      <c r="P462" s="28" t="s">
        <v>1984</v>
      </c>
      <c r="Q462" s="38" t="s">
        <v>1985</v>
      </c>
      <c r="R462" s="38">
        <v>1</v>
      </c>
      <c r="S462" s="38" t="s">
        <v>68</v>
      </c>
      <c r="T462" s="38" t="s">
        <v>53</v>
      </c>
      <c r="U462" s="38" t="s">
        <v>54</v>
      </c>
      <c r="V462" s="38" t="s">
        <v>61</v>
      </c>
      <c r="Y462" s="38">
        <v>138.46</v>
      </c>
      <c r="Z462" s="38">
        <v>2</v>
      </c>
      <c r="AI462" s="38">
        <v>1</v>
      </c>
      <c r="AJ462" s="38">
        <v>3</v>
      </c>
      <c r="AK462" s="14">
        <f t="shared" si="1"/>
        <v>0.33333333333333331</v>
      </c>
      <c r="AM462" s="9"/>
      <c r="AN462" s="9"/>
      <c r="AO462" s="28"/>
    </row>
    <row r="463" spans="1:41" ht="12.5" hidden="1">
      <c r="A463" s="28" t="s">
        <v>1986</v>
      </c>
      <c r="B463" s="37">
        <v>45647</v>
      </c>
      <c r="C463" s="29">
        <v>45658</v>
      </c>
      <c r="D463" s="38" t="s">
        <v>41</v>
      </c>
      <c r="E463" s="38" t="s">
        <v>1987</v>
      </c>
      <c r="G463" s="38" t="s">
        <v>43</v>
      </c>
      <c r="H463" s="38">
        <v>13.92</v>
      </c>
      <c r="I463" s="38" t="s">
        <v>44</v>
      </c>
      <c r="J463" s="38" t="s">
        <v>45</v>
      </c>
      <c r="K463" s="38" t="s">
        <v>1988</v>
      </c>
      <c r="L463" s="30" t="s">
        <v>47</v>
      </c>
      <c r="M463" s="38" t="s">
        <v>48</v>
      </c>
      <c r="N463" s="38" t="s">
        <v>48</v>
      </c>
      <c r="O463" s="31" t="s">
        <v>1443</v>
      </c>
      <c r="P463" s="28" t="s">
        <v>1444</v>
      </c>
      <c r="Q463" s="38" t="s">
        <v>1445</v>
      </c>
      <c r="R463" s="38">
        <v>1</v>
      </c>
      <c r="S463" s="38" t="s">
        <v>99</v>
      </c>
      <c r="T463" s="38" t="s">
        <v>53</v>
      </c>
      <c r="U463" s="38" t="s">
        <v>54</v>
      </c>
      <c r="V463" s="38" t="s">
        <v>61</v>
      </c>
      <c r="Y463" s="38">
        <v>114.17</v>
      </c>
      <c r="Z463" s="38">
        <v>1</v>
      </c>
      <c r="AI463" s="38">
        <v>1</v>
      </c>
      <c r="AJ463" s="38">
        <v>0</v>
      </c>
      <c r="AK463" s="14" t="e">
        <f t="shared" si="1"/>
        <v>#DIV/0!</v>
      </c>
      <c r="AM463" s="9"/>
      <c r="AN463" s="9"/>
      <c r="AO463" s="28"/>
    </row>
    <row r="464" spans="1:41" ht="12.5" hidden="1">
      <c r="A464" s="28" t="s">
        <v>1989</v>
      </c>
      <c r="B464" s="39">
        <v>45663</v>
      </c>
      <c r="C464" s="29">
        <v>45671</v>
      </c>
      <c r="D464" s="38" t="s">
        <v>41</v>
      </c>
      <c r="E464" s="38" t="s">
        <v>1990</v>
      </c>
      <c r="G464" s="38" t="s">
        <v>43</v>
      </c>
      <c r="H464" s="38">
        <v>11.74</v>
      </c>
      <c r="I464" s="38" t="s">
        <v>44</v>
      </c>
      <c r="J464" s="38" t="s">
        <v>45</v>
      </c>
      <c r="K464" s="38" t="s">
        <v>1991</v>
      </c>
      <c r="L464" s="30" t="s">
        <v>58</v>
      </c>
      <c r="M464" s="38" t="s">
        <v>48</v>
      </c>
      <c r="N464" s="38" t="s">
        <v>48</v>
      </c>
      <c r="O464" s="31" t="s">
        <v>656</v>
      </c>
      <c r="P464" s="28" t="s">
        <v>657</v>
      </c>
      <c r="Q464" s="38" t="s">
        <v>658</v>
      </c>
      <c r="R464" s="38">
        <v>1</v>
      </c>
      <c r="S464" s="38" t="s">
        <v>75</v>
      </c>
      <c r="T464" s="38" t="s">
        <v>53</v>
      </c>
      <c r="U464" s="38" t="s">
        <v>54</v>
      </c>
      <c r="V464" s="38" t="s">
        <v>61</v>
      </c>
      <c r="Y464" s="38">
        <v>69.27</v>
      </c>
      <c r="Z464" s="38">
        <v>1</v>
      </c>
      <c r="AI464" s="38">
        <v>1</v>
      </c>
      <c r="AJ464" s="38">
        <v>1</v>
      </c>
      <c r="AK464" s="14">
        <f t="shared" si="1"/>
        <v>1</v>
      </c>
      <c r="AM464" s="9"/>
      <c r="AN464" s="9"/>
      <c r="AO464" s="28"/>
    </row>
    <row r="465" spans="1:41" ht="12.5" hidden="1">
      <c r="A465" s="28" t="s">
        <v>1992</v>
      </c>
      <c r="B465" s="37">
        <v>45653</v>
      </c>
      <c r="C465" s="29">
        <v>45660</v>
      </c>
      <c r="D465" s="38" t="s">
        <v>41</v>
      </c>
      <c r="E465" s="38" t="s">
        <v>1993</v>
      </c>
      <c r="G465" s="38" t="s">
        <v>43</v>
      </c>
      <c r="H465" s="38">
        <v>12.54</v>
      </c>
      <c r="I465" s="38" t="s">
        <v>44</v>
      </c>
      <c r="J465" s="38" t="s">
        <v>45</v>
      </c>
      <c r="K465" s="38" t="s">
        <v>1994</v>
      </c>
      <c r="L465" s="30" t="s">
        <v>47</v>
      </c>
      <c r="M465" s="38" t="s">
        <v>48</v>
      </c>
      <c r="N465" s="38" t="s">
        <v>48</v>
      </c>
      <c r="O465" s="31" t="s">
        <v>1458</v>
      </c>
      <c r="P465" s="28" t="s">
        <v>1459</v>
      </c>
      <c r="Q465" s="38" t="s">
        <v>1460</v>
      </c>
      <c r="R465" s="38">
        <v>1</v>
      </c>
      <c r="S465" s="38" t="s">
        <v>99</v>
      </c>
      <c r="T465" s="38" t="s">
        <v>53</v>
      </c>
      <c r="U465" s="38" t="s">
        <v>54</v>
      </c>
      <c r="V465" s="38" t="s">
        <v>61</v>
      </c>
      <c r="Z465" s="38">
        <v>1</v>
      </c>
      <c r="AI465" s="38">
        <v>1</v>
      </c>
      <c r="AJ465" s="38">
        <v>1</v>
      </c>
      <c r="AK465" s="14">
        <f t="shared" si="1"/>
        <v>1</v>
      </c>
      <c r="AM465" s="9"/>
      <c r="AN465" s="9"/>
      <c r="AO465" s="28"/>
    </row>
    <row r="466" spans="1:41" ht="12.5" hidden="1">
      <c r="A466" s="28" t="s">
        <v>1995</v>
      </c>
      <c r="B466" s="37">
        <v>45626</v>
      </c>
      <c r="C466" s="29">
        <v>45668</v>
      </c>
      <c r="D466" s="38" t="s">
        <v>41</v>
      </c>
      <c r="E466" s="38" t="s">
        <v>1996</v>
      </c>
      <c r="G466" s="38" t="s">
        <v>43</v>
      </c>
      <c r="H466" s="38">
        <v>14.44</v>
      </c>
      <c r="I466" s="38" t="s">
        <v>44</v>
      </c>
      <c r="J466" s="38" t="s">
        <v>45</v>
      </c>
      <c r="K466" s="38" t="s">
        <v>1997</v>
      </c>
      <c r="L466" s="30" t="s">
        <v>47</v>
      </c>
      <c r="M466" s="38" t="s">
        <v>48</v>
      </c>
      <c r="N466" s="38" t="s">
        <v>48</v>
      </c>
      <c r="O466" s="31" t="s">
        <v>668</v>
      </c>
      <c r="P466" s="28" t="s">
        <v>669</v>
      </c>
      <c r="Q466" s="38" t="s">
        <v>670</v>
      </c>
      <c r="R466" s="38">
        <v>1</v>
      </c>
      <c r="S466" s="38" t="s">
        <v>99</v>
      </c>
      <c r="T466" s="38" t="s">
        <v>53</v>
      </c>
      <c r="U466" s="38" t="s">
        <v>54</v>
      </c>
      <c r="V466" s="38" t="s">
        <v>61</v>
      </c>
      <c r="Y466" s="38">
        <v>90.47</v>
      </c>
      <c r="Z466" s="38">
        <v>1</v>
      </c>
      <c r="AI466" s="38">
        <v>1</v>
      </c>
      <c r="AJ466" s="38">
        <v>6</v>
      </c>
      <c r="AK466" s="14">
        <f t="shared" si="1"/>
        <v>0.16666666666666666</v>
      </c>
      <c r="AM466" s="9"/>
      <c r="AN466" s="9"/>
      <c r="AO466" s="28"/>
    </row>
    <row r="467" spans="1:41" ht="12.5" hidden="1">
      <c r="A467" s="28" t="s">
        <v>1998</v>
      </c>
      <c r="B467" s="39">
        <v>45658</v>
      </c>
      <c r="C467" s="29">
        <v>45666</v>
      </c>
      <c r="D467" s="38" t="s">
        <v>41</v>
      </c>
      <c r="E467" s="38" t="s">
        <v>1999</v>
      </c>
      <c r="G467" s="38" t="s">
        <v>43</v>
      </c>
      <c r="H467" s="38">
        <v>11.74</v>
      </c>
      <c r="I467" s="38" t="s">
        <v>44</v>
      </c>
      <c r="J467" s="38" t="s">
        <v>45</v>
      </c>
      <c r="K467" s="38" t="s">
        <v>2000</v>
      </c>
      <c r="L467" s="30" t="s">
        <v>47</v>
      </c>
      <c r="M467" s="38" t="s">
        <v>48</v>
      </c>
      <c r="N467" s="38" t="s">
        <v>48</v>
      </c>
      <c r="O467" s="31" t="s">
        <v>698</v>
      </c>
      <c r="P467" s="28" t="s">
        <v>699</v>
      </c>
      <c r="Q467" s="38" t="s">
        <v>700</v>
      </c>
      <c r="R467" s="38">
        <v>1</v>
      </c>
      <c r="S467" s="38" t="s">
        <v>52</v>
      </c>
      <c r="T467" s="38" t="s">
        <v>53</v>
      </c>
      <c r="U467" s="38" t="s">
        <v>54</v>
      </c>
      <c r="V467" s="38" t="s">
        <v>61</v>
      </c>
      <c r="Y467" s="38">
        <v>57.57</v>
      </c>
      <c r="Z467" s="38">
        <v>1</v>
      </c>
      <c r="AI467" s="38">
        <v>4</v>
      </c>
      <c r="AJ467" s="38">
        <v>5</v>
      </c>
      <c r="AK467" s="14">
        <f t="shared" si="1"/>
        <v>0.8</v>
      </c>
      <c r="AM467" s="9"/>
      <c r="AN467" s="9"/>
      <c r="AO467" s="28"/>
    </row>
    <row r="468" spans="1:41" ht="12.5" hidden="1">
      <c r="A468" s="28" t="s">
        <v>2001</v>
      </c>
      <c r="B468" s="37">
        <v>45623</v>
      </c>
      <c r="C468" s="29">
        <v>45664</v>
      </c>
      <c r="D468" s="38" t="s">
        <v>41</v>
      </c>
      <c r="E468" s="38" t="s">
        <v>2002</v>
      </c>
      <c r="G468" s="38" t="s">
        <v>43</v>
      </c>
      <c r="H468" s="38">
        <v>11.74</v>
      </c>
      <c r="I468" s="38" t="s">
        <v>44</v>
      </c>
      <c r="J468" s="38" t="s">
        <v>45</v>
      </c>
      <c r="K468" s="38" t="s">
        <v>2003</v>
      </c>
      <c r="L468" s="30" t="s">
        <v>58</v>
      </c>
      <c r="M468" s="38" t="s">
        <v>48</v>
      </c>
      <c r="N468" s="38" t="s">
        <v>48</v>
      </c>
      <c r="O468" s="31" t="s">
        <v>698</v>
      </c>
      <c r="P468" s="28" t="s">
        <v>699</v>
      </c>
      <c r="Q468" s="38" t="s">
        <v>700</v>
      </c>
      <c r="R468" s="38">
        <v>1</v>
      </c>
      <c r="S468" s="38" t="s">
        <v>75</v>
      </c>
      <c r="T468" s="38" t="s">
        <v>53</v>
      </c>
      <c r="U468" s="38" t="s">
        <v>54</v>
      </c>
      <c r="V468" s="38" t="s">
        <v>61</v>
      </c>
      <c r="Y468" s="38">
        <v>55.52</v>
      </c>
      <c r="Z468" s="38">
        <v>1</v>
      </c>
      <c r="AK468" s="14" t="e">
        <f t="shared" si="1"/>
        <v>#DIV/0!</v>
      </c>
      <c r="AM468" s="9"/>
      <c r="AN468" s="9"/>
      <c r="AO468" s="28"/>
    </row>
    <row r="469" spans="1:41" ht="12.5" hidden="1">
      <c r="A469" s="28" t="s">
        <v>2004</v>
      </c>
      <c r="B469" s="37">
        <v>45648</v>
      </c>
      <c r="C469" s="29">
        <v>45662</v>
      </c>
      <c r="D469" s="38" t="s">
        <v>41</v>
      </c>
      <c r="E469" s="38" t="s">
        <v>2005</v>
      </c>
      <c r="G469" s="38" t="s">
        <v>43</v>
      </c>
      <c r="H469" s="38">
        <v>11.65</v>
      </c>
      <c r="I469" s="38" t="s">
        <v>44</v>
      </c>
      <c r="J469" s="38" t="s">
        <v>45</v>
      </c>
      <c r="K469" s="38" t="s">
        <v>2006</v>
      </c>
      <c r="L469" s="30" t="s">
        <v>58</v>
      </c>
      <c r="M469" s="38" t="s">
        <v>48</v>
      </c>
      <c r="N469" s="38" t="s">
        <v>48</v>
      </c>
      <c r="O469" s="31" t="s">
        <v>698</v>
      </c>
      <c r="P469" s="28" t="s">
        <v>699</v>
      </c>
      <c r="Q469" s="38" t="s">
        <v>700</v>
      </c>
      <c r="R469" s="38">
        <v>1</v>
      </c>
      <c r="S469" s="38" t="s">
        <v>68</v>
      </c>
      <c r="T469" s="38" t="s">
        <v>53</v>
      </c>
      <c r="U469" s="38" t="s">
        <v>54</v>
      </c>
      <c r="V469" s="38" t="s">
        <v>61</v>
      </c>
      <c r="Y469" s="38">
        <v>52.93</v>
      </c>
      <c r="Z469" s="38">
        <v>1</v>
      </c>
      <c r="AF469" s="38">
        <v>52.93</v>
      </c>
      <c r="AK469" s="14" t="e">
        <f t="shared" si="1"/>
        <v>#DIV/0!</v>
      </c>
      <c r="AM469" s="9"/>
      <c r="AN469" s="9"/>
      <c r="AO469" s="28"/>
    </row>
    <row r="470" spans="1:41" ht="12.5" hidden="1">
      <c r="A470" s="28" t="s">
        <v>2007</v>
      </c>
      <c r="B470" s="37">
        <v>45636</v>
      </c>
      <c r="C470" s="29">
        <v>45660</v>
      </c>
      <c r="D470" s="38" t="s">
        <v>41</v>
      </c>
      <c r="E470" s="38" t="s">
        <v>2008</v>
      </c>
      <c r="G470" s="38" t="s">
        <v>43</v>
      </c>
      <c r="H470" s="38">
        <v>11.65</v>
      </c>
      <c r="I470" s="38" t="s">
        <v>44</v>
      </c>
      <c r="J470" s="38" t="s">
        <v>45</v>
      </c>
      <c r="K470" s="38" t="s">
        <v>2009</v>
      </c>
      <c r="L470" s="30" t="s">
        <v>47</v>
      </c>
      <c r="M470" s="38" t="s">
        <v>48</v>
      </c>
      <c r="N470" s="38" t="s">
        <v>48</v>
      </c>
      <c r="O470" s="31" t="s">
        <v>698</v>
      </c>
      <c r="P470" s="28" t="s">
        <v>699</v>
      </c>
      <c r="Q470" s="38" t="s">
        <v>700</v>
      </c>
      <c r="R470" s="38">
        <v>1</v>
      </c>
      <c r="S470" s="38" t="s">
        <v>52</v>
      </c>
      <c r="T470" s="38" t="s">
        <v>53</v>
      </c>
      <c r="U470" s="38" t="s">
        <v>54</v>
      </c>
      <c r="V470" s="38" t="s">
        <v>55</v>
      </c>
      <c r="Y470" s="38">
        <v>54.99</v>
      </c>
      <c r="Z470" s="38">
        <v>1</v>
      </c>
      <c r="AF470" s="38">
        <v>54.99</v>
      </c>
      <c r="AK470" s="14" t="e">
        <f t="shared" si="1"/>
        <v>#DIV/0!</v>
      </c>
      <c r="AM470" s="9"/>
      <c r="AN470" s="9"/>
      <c r="AO470" s="28"/>
    </row>
    <row r="471" spans="1:41" ht="12.5" hidden="1">
      <c r="A471" s="28" t="s">
        <v>2010</v>
      </c>
      <c r="B471" s="37">
        <v>45620</v>
      </c>
      <c r="C471" s="29">
        <v>45669</v>
      </c>
      <c r="D471" s="38" t="s">
        <v>41</v>
      </c>
      <c r="E471" s="38" t="s">
        <v>2011</v>
      </c>
      <c r="G471" s="38" t="s">
        <v>43</v>
      </c>
      <c r="H471" s="38">
        <v>13.11</v>
      </c>
      <c r="I471" s="38" t="s">
        <v>44</v>
      </c>
      <c r="J471" s="38" t="s">
        <v>45</v>
      </c>
      <c r="K471" s="38" t="s">
        <v>2012</v>
      </c>
      <c r="L471" s="30" t="s">
        <v>58</v>
      </c>
      <c r="M471" s="38" t="s">
        <v>48</v>
      </c>
      <c r="N471" s="38" t="s">
        <v>48</v>
      </c>
      <c r="O471" s="31" t="s">
        <v>1497</v>
      </c>
      <c r="P471" s="28" t="s">
        <v>1498</v>
      </c>
      <c r="Q471" s="38" t="s">
        <v>2013</v>
      </c>
      <c r="R471" s="38">
        <v>1</v>
      </c>
      <c r="S471" s="38" t="s">
        <v>75</v>
      </c>
      <c r="T471" s="38" t="s">
        <v>53</v>
      </c>
      <c r="U471" s="38" t="s">
        <v>54</v>
      </c>
      <c r="V471" s="38" t="s">
        <v>55</v>
      </c>
      <c r="Y471" s="38">
        <v>93.21</v>
      </c>
      <c r="Z471" s="38">
        <v>1</v>
      </c>
      <c r="AF471" s="38">
        <v>79.31</v>
      </c>
      <c r="AI471" s="38">
        <v>2</v>
      </c>
      <c r="AJ471" s="38">
        <v>7</v>
      </c>
      <c r="AK471" s="14">
        <f t="shared" si="1"/>
        <v>0.2857142857142857</v>
      </c>
      <c r="AM471" s="9"/>
      <c r="AN471" s="9"/>
      <c r="AO471" s="28"/>
    </row>
    <row r="472" spans="1:41" ht="12.5" hidden="1">
      <c r="A472" s="28" t="s">
        <v>2014</v>
      </c>
      <c r="B472" s="37">
        <v>45652</v>
      </c>
      <c r="C472" s="29">
        <v>45661</v>
      </c>
      <c r="D472" s="38" t="s">
        <v>41</v>
      </c>
      <c r="E472" s="38" t="s">
        <v>2015</v>
      </c>
      <c r="G472" s="38" t="s">
        <v>43</v>
      </c>
      <c r="H472" s="38">
        <v>13</v>
      </c>
      <c r="I472" s="38" t="s">
        <v>44</v>
      </c>
      <c r="J472" s="38" t="s">
        <v>45</v>
      </c>
      <c r="K472" s="38" t="s">
        <v>2016</v>
      </c>
      <c r="L472" s="30" t="s">
        <v>47</v>
      </c>
      <c r="M472" s="38" t="s">
        <v>48</v>
      </c>
      <c r="N472" s="38" t="s">
        <v>48</v>
      </c>
      <c r="O472" s="31" t="s">
        <v>1497</v>
      </c>
      <c r="P472" s="28" t="s">
        <v>1498</v>
      </c>
      <c r="Q472" s="38" t="s">
        <v>1499</v>
      </c>
      <c r="R472" s="38">
        <v>1</v>
      </c>
      <c r="S472" s="38" t="s">
        <v>82</v>
      </c>
      <c r="T472" s="38" t="s">
        <v>53</v>
      </c>
      <c r="U472" s="38" t="s">
        <v>54</v>
      </c>
      <c r="V472" s="38" t="s">
        <v>560</v>
      </c>
      <c r="Y472" s="38">
        <v>93.21</v>
      </c>
      <c r="Z472" s="38">
        <v>1</v>
      </c>
      <c r="AK472" s="14" t="e">
        <f t="shared" si="1"/>
        <v>#DIV/0!</v>
      </c>
      <c r="AM472" s="9" t="s">
        <v>953</v>
      </c>
      <c r="AN472" s="9"/>
      <c r="AO472" s="28"/>
    </row>
    <row r="473" spans="1:41" ht="12.5" hidden="1">
      <c r="A473" s="28" t="s">
        <v>2017</v>
      </c>
      <c r="B473" s="37">
        <v>45644</v>
      </c>
      <c r="C473" s="29">
        <v>45660</v>
      </c>
      <c r="D473" s="38" t="s">
        <v>41</v>
      </c>
      <c r="E473" s="38" t="s">
        <v>2018</v>
      </c>
      <c r="G473" s="38" t="s">
        <v>43</v>
      </c>
      <c r="H473" s="38">
        <v>13.92</v>
      </c>
      <c r="I473" s="38" t="s">
        <v>44</v>
      </c>
      <c r="J473" s="38" t="s">
        <v>45</v>
      </c>
      <c r="K473" s="38" t="s">
        <v>2019</v>
      </c>
      <c r="L473" s="30" t="s">
        <v>47</v>
      </c>
      <c r="M473" s="38" t="s">
        <v>48</v>
      </c>
      <c r="N473" s="38" t="s">
        <v>48</v>
      </c>
      <c r="O473" s="31" t="s">
        <v>713</v>
      </c>
      <c r="P473" s="28" t="s">
        <v>714</v>
      </c>
      <c r="Q473" s="38" t="s">
        <v>715</v>
      </c>
      <c r="R473" s="38">
        <v>1</v>
      </c>
      <c r="S473" s="38" t="s">
        <v>92</v>
      </c>
      <c r="T473" s="38" t="s">
        <v>53</v>
      </c>
      <c r="U473" s="38" t="s">
        <v>54</v>
      </c>
      <c r="V473" s="38" t="s">
        <v>55</v>
      </c>
      <c r="Y473" s="38">
        <v>79.89</v>
      </c>
      <c r="Z473" s="38">
        <v>1</v>
      </c>
      <c r="AF473" s="38">
        <v>79.89</v>
      </c>
      <c r="AI473" s="38">
        <v>1</v>
      </c>
      <c r="AJ473" s="38">
        <v>1</v>
      </c>
      <c r="AK473" s="14">
        <f t="shared" si="1"/>
        <v>1</v>
      </c>
      <c r="AM473" s="9"/>
      <c r="AN473" s="9"/>
      <c r="AO473" s="28"/>
    </row>
    <row r="474" spans="1:41" ht="12.5" hidden="1">
      <c r="A474" s="28" t="s">
        <v>2020</v>
      </c>
      <c r="B474" s="37">
        <v>45669</v>
      </c>
      <c r="C474" s="29">
        <v>45672</v>
      </c>
      <c r="D474" s="38" t="s">
        <v>41</v>
      </c>
      <c r="E474" s="38" t="s">
        <v>2021</v>
      </c>
      <c r="G474" s="38" t="s">
        <v>43</v>
      </c>
      <c r="H474" s="38">
        <v>7.49</v>
      </c>
      <c r="I474" s="38" t="s">
        <v>44</v>
      </c>
      <c r="J474" s="38" t="s">
        <v>45</v>
      </c>
      <c r="K474" s="38" t="s">
        <v>2022</v>
      </c>
      <c r="L474" s="30" t="s">
        <v>47</v>
      </c>
      <c r="M474" s="38" t="s">
        <v>48</v>
      </c>
      <c r="N474" s="38" t="s">
        <v>48</v>
      </c>
      <c r="O474" s="31" t="s">
        <v>2023</v>
      </c>
      <c r="P474" s="28" t="s">
        <v>2024</v>
      </c>
      <c r="Q474" s="38" t="s">
        <v>2025</v>
      </c>
      <c r="R474" s="38">
        <v>1</v>
      </c>
      <c r="S474" s="38" t="s">
        <v>99</v>
      </c>
      <c r="T474" s="38" t="s">
        <v>53</v>
      </c>
      <c r="U474" s="38" t="s">
        <v>54</v>
      </c>
      <c r="V474" s="38" t="s">
        <v>55</v>
      </c>
      <c r="Y474" s="38">
        <v>76.36</v>
      </c>
      <c r="Z474" s="38">
        <v>1</v>
      </c>
      <c r="AF474" s="38">
        <v>76.36</v>
      </c>
      <c r="AI474" s="38">
        <v>1</v>
      </c>
      <c r="AJ474" s="38">
        <v>1</v>
      </c>
      <c r="AK474" s="14">
        <f t="shared" si="1"/>
        <v>1</v>
      </c>
      <c r="AM474" s="9"/>
      <c r="AN474" s="9"/>
      <c r="AO474" s="28"/>
    </row>
    <row r="475" spans="1:41" ht="12.5" hidden="1">
      <c r="A475" s="28" t="s">
        <v>2026</v>
      </c>
      <c r="B475" s="37">
        <v>45655</v>
      </c>
      <c r="C475" s="29">
        <v>45663</v>
      </c>
      <c r="D475" s="38" t="s">
        <v>41</v>
      </c>
      <c r="E475" s="38" t="s">
        <v>2027</v>
      </c>
      <c r="G475" s="38" t="s">
        <v>43</v>
      </c>
      <c r="H475" s="38">
        <v>16.010000000000002</v>
      </c>
      <c r="I475" s="38" t="s">
        <v>44</v>
      </c>
      <c r="J475" s="38" t="s">
        <v>45</v>
      </c>
      <c r="K475" s="38" t="s">
        <v>2028</v>
      </c>
      <c r="L475" s="30" t="s">
        <v>47</v>
      </c>
      <c r="M475" s="38" t="s">
        <v>48</v>
      </c>
      <c r="N475" s="38" t="s">
        <v>48</v>
      </c>
      <c r="O475" s="31" t="s">
        <v>2029</v>
      </c>
      <c r="P475" s="28" t="s">
        <v>2030</v>
      </c>
      <c r="Q475" s="38" t="s">
        <v>2031</v>
      </c>
      <c r="R475" s="38">
        <v>1</v>
      </c>
      <c r="S475" s="38" t="s">
        <v>52</v>
      </c>
      <c r="T475" s="38" t="s">
        <v>53</v>
      </c>
      <c r="U475" s="38" t="s">
        <v>54</v>
      </c>
      <c r="V475" s="38" t="s">
        <v>55</v>
      </c>
      <c r="Y475" s="38">
        <v>113.46</v>
      </c>
      <c r="Z475" s="38">
        <v>1</v>
      </c>
      <c r="AF475" s="38">
        <v>113.46</v>
      </c>
      <c r="AI475" s="38">
        <v>1</v>
      </c>
      <c r="AJ475" s="38">
        <v>0</v>
      </c>
      <c r="AK475" s="14" t="e">
        <f t="shared" si="1"/>
        <v>#DIV/0!</v>
      </c>
      <c r="AM475" s="9"/>
      <c r="AN475" s="9"/>
      <c r="AO475" s="28"/>
    </row>
    <row r="476" spans="1:41" ht="12.5" hidden="1">
      <c r="A476" s="28" t="s">
        <v>2032</v>
      </c>
      <c r="B476" s="37">
        <v>45646</v>
      </c>
      <c r="C476" s="29">
        <v>45664</v>
      </c>
      <c r="D476" s="38" t="s">
        <v>41</v>
      </c>
      <c r="E476" s="38" t="s">
        <v>2033</v>
      </c>
      <c r="G476" s="38" t="s">
        <v>43</v>
      </c>
      <c r="H476" s="38">
        <v>12.2</v>
      </c>
      <c r="I476" s="38" t="s">
        <v>44</v>
      </c>
      <c r="J476" s="38" t="s">
        <v>45</v>
      </c>
      <c r="K476" s="38" t="s">
        <v>2034</v>
      </c>
      <c r="L476" s="30" t="s">
        <v>47</v>
      </c>
      <c r="M476" s="38" t="s">
        <v>48</v>
      </c>
      <c r="N476" s="38" t="s">
        <v>48</v>
      </c>
      <c r="O476" s="31" t="s">
        <v>2035</v>
      </c>
      <c r="P476" s="28" t="s">
        <v>2036</v>
      </c>
      <c r="Q476" s="38" t="s">
        <v>2037</v>
      </c>
      <c r="R476" s="38">
        <v>1</v>
      </c>
      <c r="S476" s="38" t="s">
        <v>82</v>
      </c>
      <c r="T476" s="38" t="s">
        <v>53</v>
      </c>
      <c r="U476" s="38" t="s">
        <v>54</v>
      </c>
      <c r="V476" s="38" t="s">
        <v>61</v>
      </c>
      <c r="Y476" s="38">
        <v>123.55</v>
      </c>
      <c r="Z476" s="38">
        <v>1</v>
      </c>
      <c r="AI476" s="38">
        <v>1</v>
      </c>
      <c r="AJ476" s="38">
        <v>0</v>
      </c>
      <c r="AK476" s="14" t="e">
        <f t="shared" si="1"/>
        <v>#DIV/0!</v>
      </c>
      <c r="AM476" s="9" t="s">
        <v>561</v>
      </c>
      <c r="AN476" s="9"/>
      <c r="AO476" s="28" t="s">
        <v>2038</v>
      </c>
    </row>
    <row r="477" spans="1:41" ht="12.5" hidden="1">
      <c r="A477" s="28" t="s">
        <v>2039</v>
      </c>
      <c r="B477" s="37">
        <v>45653</v>
      </c>
      <c r="C477" s="29">
        <v>45659</v>
      </c>
      <c r="D477" s="38" t="s">
        <v>41</v>
      </c>
      <c r="E477" s="38" t="s">
        <v>2040</v>
      </c>
      <c r="G477" s="38" t="s">
        <v>43</v>
      </c>
      <c r="H477" s="38">
        <v>9.94</v>
      </c>
      <c r="I477" s="38" t="s">
        <v>44</v>
      </c>
      <c r="J477" s="38" t="s">
        <v>45</v>
      </c>
      <c r="K477" s="38" t="s">
        <v>2041</v>
      </c>
      <c r="L477" s="30" t="s">
        <v>58</v>
      </c>
      <c r="M477" s="38" t="s">
        <v>48</v>
      </c>
      <c r="N477" s="38" t="s">
        <v>48</v>
      </c>
      <c r="O477" s="31" t="s">
        <v>2042</v>
      </c>
      <c r="P477" s="28" t="s">
        <v>2043</v>
      </c>
      <c r="Q477" s="38" t="s">
        <v>2044</v>
      </c>
      <c r="R477" s="38">
        <v>1</v>
      </c>
      <c r="S477" s="38" t="s">
        <v>75</v>
      </c>
      <c r="T477" s="38" t="s">
        <v>53</v>
      </c>
      <c r="U477" s="38" t="s">
        <v>54</v>
      </c>
      <c r="V477" s="38" t="s">
        <v>61</v>
      </c>
      <c r="Y477" s="38">
        <v>95.16</v>
      </c>
      <c r="Z477" s="38">
        <v>1</v>
      </c>
      <c r="AI477" s="38">
        <v>1</v>
      </c>
      <c r="AJ477" s="38">
        <v>2</v>
      </c>
      <c r="AK477" s="14">
        <f t="shared" si="1"/>
        <v>0.5</v>
      </c>
      <c r="AM477" s="9"/>
      <c r="AN477" s="9"/>
      <c r="AO477" s="28"/>
    </row>
    <row r="478" spans="1:41" ht="12.5" hidden="1">
      <c r="A478" s="28" t="s">
        <v>2045</v>
      </c>
      <c r="B478" s="37">
        <v>45647</v>
      </c>
      <c r="C478" s="29">
        <v>45660</v>
      </c>
      <c r="D478" s="38" t="s">
        <v>41</v>
      </c>
      <c r="E478" s="38" t="s">
        <v>2046</v>
      </c>
      <c r="G478" s="38" t="s">
        <v>43</v>
      </c>
      <c r="H478" s="38">
        <v>13.45</v>
      </c>
      <c r="I478" s="38" t="s">
        <v>44</v>
      </c>
      <c r="J478" s="38" t="s">
        <v>45</v>
      </c>
      <c r="K478" s="38" t="s">
        <v>2047</v>
      </c>
      <c r="L478" s="30" t="s">
        <v>47</v>
      </c>
      <c r="M478" s="38" t="s">
        <v>48</v>
      </c>
      <c r="N478" s="38" t="s">
        <v>48</v>
      </c>
      <c r="O478" s="31" t="s">
        <v>2048</v>
      </c>
      <c r="P478" s="28" t="s">
        <v>2049</v>
      </c>
      <c r="Q478" s="38" t="s">
        <v>2050</v>
      </c>
      <c r="R478" s="38">
        <v>1</v>
      </c>
      <c r="S478" s="38" t="s">
        <v>856</v>
      </c>
      <c r="T478" s="38" t="s">
        <v>53</v>
      </c>
      <c r="U478" s="38" t="s">
        <v>54</v>
      </c>
      <c r="V478" s="38" t="s">
        <v>560</v>
      </c>
      <c r="Y478" s="38">
        <v>99.08</v>
      </c>
      <c r="Z478" s="38">
        <v>1</v>
      </c>
      <c r="AI478" s="38">
        <v>1</v>
      </c>
      <c r="AJ478" s="38">
        <v>1</v>
      </c>
      <c r="AK478" s="14">
        <f t="shared" si="1"/>
        <v>1</v>
      </c>
      <c r="AM478" s="9" t="s">
        <v>561</v>
      </c>
      <c r="AN478" s="9"/>
      <c r="AO478" s="28" t="s">
        <v>2038</v>
      </c>
    </row>
    <row r="479" spans="1:41" ht="12.5" hidden="1">
      <c r="A479" s="28" t="s">
        <v>2051</v>
      </c>
      <c r="B479" s="37">
        <v>45652</v>
      </c>
      <c r="C479" s="29">
        <v>45662</v>
      </c>
      <c r="D479" s="38" t="s">
        <v>41</v>
      </c>
      <c r="E479" s="38" t="s">
        <v>2052</v>
      </c>
      <c r="G479" s="38" t="s">
        <v>43</v>
      </c>
      <c r="H479" s="38">
        <v>12.1</v>
      </c>
      <c r="I479" s="38" t="s">
        <v>44</v>
      </c>
      <c r="J479" s="38" t="s">
        <v>45</v>
      </c>
      <c r="K479" s="38" t="s">
        <v>2053</v>
      </c>
      <c r="L479" s="30" t="s">
        <v>47</v>
      </c>
      <c r="M479" s="38" t="s">
        <v>48</v>
      </c>
      <c r="N479" s="38" t="s">
        <v>48</v>
      </c>
      <c r="O479" s="31" t="s">
        <v>2054</v>
      </c>
      <c r="P479" s="28" t="s">
        <v>2055</v>
      </c>
      <c r="Q479" s="38" t="s">
        <v>2056</v>
      </c>
      <c r="R479" s="38">
        <v>1</v>
      </c>
      <c r="S479" s="38" t="s">
        <v>92</v>
      </c>
      <c r="T479" s="38" t="s">
        <v>53</v>
      </c>
      <c r="U479" s="38" t="s">
        <v>54</v>
      </c>
      <c r="V479" s="38" t="s">
        <v>61</v>
      </c>
      <c r="Y479" s="38">
        <v>80.349999999999994</v>
      </c>
      <c r="Z479" s="38">
        <v>1</v>
      </c>
      <c r="AF479" s="38">
        <v>60.4</v>
      </c>
      <c r="AI479" s="38">
        <v>2</v>
      </c>
      <c r="AJ479" s="38">
        <v>2</v>
      </c>
      <c r="AK479" s="14">
        <f t="shared" si="1"/>
        <v>1</v>
      </c>
      <c r="AM479" s="9"/>
      <c r="AN479" s="9"/>
      <c r="AO479" s="28"/>
    </row>
    <row r="480" spans="1:41" ht="12.5" hidden="1">
      <c r="A480" s="28" t="s">
        <v>2057</v>
      </c>
      <c r="B480" s="37">
        <v>45657</v>
      </c>
      <c r="C480" s="29">
        <v>45662</v>
      </c>
      <c r="D480" s="38" t="s">
        <v>41</v>
      </c>
      <c r="E480" s="38" t="s">
        <v>2058</v>
      </c>
      <c r="G480" s="38" t="s">
        <v>43</v>
      </c>
      <c r="H480" s="38">
        <v>12.1</v>
      </c>
      <c r="I480" s="38" t="s">
        <v>44</v>
      </c>
      <c r="J480" s="38" t="s">
        <v>45</v>
      </c>
      <c r="K480" s="38" t="s">
        <v>2059</v>
      </c>
      <c r="L480" s="30" t="s">
        <v>47</v>
      </c>
      <c r="M480" s="38" t="s">
        <v>48</v>
      </c>
      <c r="N480" s="38" t="s">
        <v>48</v>
      </c>
      <c r="O480" s="31" t="s">
        <v>2054</v>
      </c>
      <c r="P480" s="28" t="s">
        <v>2055</v>
      </c>
      <c r="Q480" s="38" t="s">
        <v>2056</v>
      </c>
      <c r="R480" s="38">
        <v>1</v>
      </c>
      <c r="S480" s="38" t="s">
        <v>184</v>
      </c>
      <c r="T480" s="38" t="s">
        <v>53</v>
      </c>
      <c r="U480" s="38" t="s">
        <v>54</v>
      </c>
      <c r="V480" s="38" t="s">
        <v>61</v>
      </c>
      <c r="Y480" s="38">
        <v>82.78</v>
      </c>
      <c r="Z480" s="38">
        <v>1</v>
      </c>
      <c r="AK480" s="14" t="e">
        <f t="shared" si="1"/>
        <v>#DIV/0!</v>
      </c>
      <c r="AM480" s="9"/>
      <c r="AN480" s="9"/>
      <c r="AO480" s="28"/>
    </row>
    <row r="481" spans="1:41" ht="12.5" hidden="1">
      <c r="A481" s="28" t="s">
        <v>2060</v>
      </c>
      <c r="B481" s="37">
        <v>45654</v>
      </c>
      <c r="C481" s="29">
        <v>45664</v>
      </c>
      <c r="D481" s="38" t="s">
        <v>41</v>
      </c>
      <c r="E481" s="38" t="s">
        <v>2061</v>
      </c>
      <c r="G481" s="38" t="s">
        <v>43</v>
      </c>
      <c r="H481" s="38">
        <v>11.74</v>
      </c>
      <c r="I481" s="38" t="s">
        <v>44</v>
      </c>
      <c r="J481" s="38" t="s">
        <v>45</v>
      </c>
      <c r="K481" s="38" t="s">
        <v>2062</v>
      </c>
      <c r="L481" s="30" t="s">
        <v>47</v>
      </c>
      <c r="M481" s="38" t="s">
        <v>48</v>
      </c>
      <c r="N481" s="38" t="s">
        <v>48</v>
      </c>
      <c r="O481" s="31" t="s">
        <v>785</v>
      </c>
      <c r="P481" s="28" t="s">
        <v>786</v>
      </c>
      <c r="Q481" s="38" t="s">
        <v>2063</v>
      </c>
      <c r="R481" s="38">
        <v>1</v>
      </c>
      <c r="S481" s="38" t="s">
        <v>856</v>
      </c>
      <c r="T481" s="38" t="s">
        <v>53</v>
      </c>
      <c r="U481" s="38" t="s">
        <v>54</v>
      </c>
      <c r="V481" s="38" t="s">
        <v>55</v>
      </c>
      <c r="Y481" s="38">
        <v>99.67</v>
      </c>
      <c r="Z481" s="38">
        <v>1</v>
      </c>
      <c r="AF481" s="38">
        <v>99.67</v>
      </c>
      <c r="AI481" s="38">
        <v>1</v>
      </c>
      <c r="AJ481" s="38">
        <v>0</v>
      </c>
      <c r="AK481" s="14" t="e">
        <f t="shared" si="1"/>
        <v>#DIV/0!</v>
      </c>
      <c r="AM481" s="9" t="s">
        <v>953</v>
      </c>
      <c r="AN481" s="9"/>
      <c r="AO481" s="28"/>
    </row>
    <row r="482" spans="1:41" ht="12.5" hidden="1">
      <c r="A482" s="28" t="s">
        <v>2064</v>
      </c>
      <c r="B482" s="37">
        <v>45647</v>
      </c>
      <c r="C482" s="29">
        <v>45663</v>
      </c>
      <c r="D482" s="38" t="s">
        <v>41</v>
      </c>
      <c r="E482" s="38" t="s">
        <v>2065</v>
      </c>
      <c r="G482" s="38" t="s">
        <v>43</v>
      </c>
      <c r="H482" s="38">
        <v>14.95</v>
      </c>
      <c r="I482" s="38" t="s">
        <v>44</v>
      </c>
      <c r="J482" s="38" t="s">
        <v>45</v>
      </c>
      <c r="K482" s="38" t="s">
        <v>2066</v>
      </c>
      <c r="L482" s="30" t="s">
        <v>47</v>
      </c>
      <c r="M482" s="38" t="s">
        <v>48</v>
      </c>
      <c r="N482" s="38" t="s">
        <v>48</v>
      </c>
      <c r="O482" s="31" t="s">
        <v>797</v>
      </c>
      <c r="P482" s="28" t="s">
        <v>798</v>
      </c>
      <c r="Q482" s="38" t="s">
        <v>799</v>
      </c>
      <c r="R482" s="38">
        <v>1</v>
      </c>
      <c r="S482" s="38" t="s">
        <v>99</v>
      </c>
      <c r="T482" s="38" t="s">
        <v>53</v>
      </c>
      <c r="U482" s="38" t="s">
        <v>54</v>
      </c>
      <c r="V482" s="38" t="s">
        <v>55</v>
      </c>
      <c r="Y482" s="38">
        <v>84.85</v>
      </c>
      <c r="Z482" s="38">
        <v>1</v>
      </c>
      <c r="AF482" s="38">
        <v>84.85</v>
      </c>
      <c r="AI482" s="38">
        <v>1</v>
      </c>
      <c r="AJ482" s="38">
        <v>0</v>
      </c>
      <c r="AK482" s="14" t="e">
        <f t="shared" si="1"/>
        <v>#DIV/0!</v>
      </c>
      <c r="AM482" s="9"/>
      <c r="AN482" s="9"/>
      <c r="AO482" s="28"/>
    </row>
    <row r="483" spans="1:41" ht="12.5" hidden="1">
      <c r="A483" s="28" t="s">
        <v>2067</v>
      </c>
      <c r="B483" s="37">
        <v>45655</v>
      </c>
      <c r="C483" s="29">
        <v>45666</v>
      </c>
      <c r="D483" s="38" t="s">
        <v>41</v>
      </c>
      <c r="E483" s="38" t="s">
        <v>2068</v>
      </c>
      <c r="G483" s="38" t="s">
        <v>43</v>
      </c>
      <c r="H483" s="38">
        <v>16.440000000000001</v>
      </c>
      <c r="I483" s="38" t="s">
        <v>44</v>
      </c>
      <c r="J483" s="38" t="s">
        <v>45</v>
      </c>
      <c r="K483" s="38" t="s">
        <v>2069</v>
      </c>
      <c r="L483" s="30" t="s">
        <v>47</v>
      </c>
      <c r="M483" s="38" t="s">
        <v>48</v>
      </c>
      <c r="N483" s="38" t="s">
        <v>48</v>
      </c>
      <c r="O483" s="31" t="s">
        <v>1566</v>
      </c>
      <c r="P483" s="28" t="s">
        <v>1567</v>
      </c>
      <c r="Q483" s="38" t="s">
        <v>1568</v>
      </c>
      <c r="R483" s="38">
        <v>1</v>
      </c>
      <c r="S483" s="38" t="s">
        <v>99</v>
      </c>
      <c r="T483" s="38" t="s">
        <v>53</v>
      </c>
      <c r="U483" s="38" t="s">
        <v>54</v>
      </c>
      <c r="V483" s="38" t="s">
        <v>61</v>
      </c>
      <c r="Y483" s="38">
        <v>90.03</v>
      </c>
      <c r="Z483" s="38">
        <v>1</v>
      </c>
      <c r="AI483" s="38">
        <v>1</v>
      </c>
      <c r="AJ483" s="38">
        <v>0</v>
      </c>
      <c r="AK483" s="14" t="e">
        <f t="shared" si="1"/>
        <v>#DIV/0!</v>
      </c>
      <c r="AM483" s="9"/>
      <c r="AN483" s="9"/>
      <c r="AO483" s="28"/>
    </row>
    <row r="484" spans="1:41" ht="12.5" hidden="1">
      <c r="A484" s="28" t="s">
        <v>2070</v>
      </c>
      <c r="B484" s="37">
        <v>45640</v>
      </c>
      <c r="C484" s="29">
        <v>45661</v>
      </c>
      <c r="D484" s="38" t="s">
        <v>41</v>
      </c>
      <c r="E484" s="38" t="s">
        <v>2071</v>
      </c>
      <c r="G484" s="38" t="s">
        <v>43</v>
      </c>
      <c r="H484" s="38">
        <v>14.83</v>
      </c>
      <c r="I484" s="38" t="s">
        <v>44</v>
      </c>
      <c r="J484" s="38" t="s">
        <v>45</v>
      </c>
      <c r="K484" s="38" t="s">
        <v>2072</v>
      </c>
      <c r="L484" s="30" t="s">
        <v>58</v>
      </c>
      <c r="M484" s="38" t="s">
        <v>48</v>
      </c>
      <c r="N484" s="38" t="s">
        <v>48</v>
      </c>
      <c r="O484" s="31" t="s">
        <v>827</v>
      </c>
      <c r="P484" s="28" t="s">
        <v>828</v>
      </c>
      <c r="Q484" s="38" t="s">
        <v>829</v>
      </c>
      <c r="R484" s="38">
        <v>1</v>
      </c>
      <c r="S484" s="38" t="s">
        <v>75</v>
      </c>
      <c r="T484" s="38" t="s">
        <v>53</v>
      </c>
      <c r="U484" s="38" t="s">
        <v>54</v>
      </c>
      <c r="V484" s="38" t="s">
        <v>55</v>
      </c>
      <c r="Y484" s="38">
        <v>92.93</v>
      </c>
      <c r="Z484" s="38">
        <v>1</v>
      </c>
      <c r="AF484" s="38">
        <v>78.099999999999994</v>
      </c>
      <c r="AI484" s="38">
        <v>1</v>
      </c>
      <c r="AJ484" s="38">
        <v>3</v>
      </c>
      <c r="AK484" s="14">
        <f t="shared" si="1"/>
        <v>0.33333333333333331</v>
      </c>
      <c r="AM484" s="9"/>
      <c r="AN484" s="9"/>
      <c r="AO484" s="28"/>
    </row>
    <row r="485" spans="1:41" ht="12.5" hidden="1">
      <c r="A485" s="28" t="s">
        <v>1578</v>
      </c>
      <c r="B485" s="39">
        <v>45630</v>
      </c>
      <c r="C485" s="29">
        <v>45667</v>
      </c>
      <c r="D485" s="38" t="s">
        <v>41</v>
      </c>
      <c r="E485" s="38" t="s">
        <v>2073</v>
      </c>
      <c r="G485" s="38" t="s">
        <v>43</v>
      </c>
      <c r="H485" s="38">
        <v>11.1</v>
      </c>
      <c r="I485" s="38" t="s">
        <v>44</v>
      </c>
      <c r="J485" s="38" t="s">
        <v>45</v>
      </c>
      <c r="K485" s="38" t="s">
        <v>2074</v>
      </c>
      <c r="L485" s="30" t="s">
        <v>47</v>
      </c>
      <c r="M485" s="38" t="s">
        <v>48</v>
      </c>
      <c r="N485" s="38" t="s">
        <v>48</v>
      </c>
      <c r="O485" s="31" t="s">
        <v>836</v>
      </c>
      <c r="P485" s="28" t="s">
        <v>837</v>
      </c>
      <c r="Q485" s="38" t="s">
        <v>838</v>
      </c>
      <c r="R485" s="38">
        <v>1</v>
      </c>
      <c r="S485" s="38" t="s">
        <v>52</v>
      </c>
      <c r="T485" s="38" t="s">
        <v>53</v>
      </c>
      <c r="U485" s="38" t="s">
        <v>54</v>
      </c>
      <c r="V485" s="38" t="s">
        <v>61</v>
      </c>
      <c r="Y485" s="38">
        <v>189.66</v>
      </c>
      <c r="Z485" s="38">
        <v>2</v>
      </c>
      <c r="AI485" s="38">
        <v>2</v>
      </c>
      <c r="AJ485" s="38">
        <v>0</v>
      </c>
      <c r="AK485" s="14" t="e">
        <f t="shared" si="1"/>
        <v>#DIV/0!</v>
      </c>
      <c r="AM485" s="9"/>
      <c r="AN485" s="9"/>
      <c r="AO485" s="28"/>
    </row>
    <row r="486" spans="1:41" ht="12.5" hidden="1">
      <c r="A486" s="28" t="s">
        <v>1578</v>
      </c>
      <c r="B486" s="39">
        <v>45630</v>
      </c>
      <c r="C486" s="29">
        <v>45667</v>
      </c>
      <c r="D486" s="38" t="s">
        <v>41</v>
      </c>
      <c r="E486" s="38" t="s">
        <v>2075</v>
      </c>
      <c r="G486" s="38" t="s">
        <v>43</v>
      </c>
      <c r="H486" s="38">
        <v>11.1</v>
      </c>
      <c r="I486" s="38" t="s">
        <v>44</v>
      </c>
      <c r="J486" s="38" t="s">
        <v>45</v>
      </c>
      <c r="K486" s="38" t="s">
        <v>2076</v>
      </c>
      <c r="L486" s="30" t="s">
        <v>47</v>
      </c>
      <c r="M486" s="38" t="s">
        <v>48</v>
      </c>
      <c r="N486" s="38" t="s">
        <v>48</v>
      </c>
      <c r="O486" s="31" t="s">
        <v>836</v>
      </c>
      <c r="P486" s="28" t="s">
        <v>837</v>
      </c>
      <c r="Q486" s="38" t="s">
        <v>838</v>
      </c>
      <c r="R486" s="38">
        <v>1</v>
      </c>
      <c r="S486" s="38" t="s">
        <v>52</v>
      </c>
      <c r="T486" s="38" t="s">
        <v>53</v>
      </c>
      <c r="U486" s="38" t="s">
        <v>54</v>
      </c>
      <c r="V486" s="38" t="s">
        <v>61</v>
      </c>
      <c r="Y486" s="38">
        <v>189.66</v>
      </c>
      <c r="Z486" s="38">
        <v>2</v>
      </c>
      <c r="AK486" s="14" t="e">
        <f t="shared" si="1"/>
        <v>#DIV/0!</v>
      </c>
      <c r="AM486" s="9"/>
      <c r="AN486" s="9"/>
      <c r="AO486" s="28"/>
    </row>
    <row r="487" spans="1:41" ht="12.5" hidden="1">
      <c r="A487" s="28" t="s">
        <v>2077</v>
      </c>
      <c r="B487" s="39">
        <v>45660</v>
      </c>
      <c r="C487" s="29">
        <v>45668</v>
      </c>
      <c r="D487" s="38" t="s">
        <v>41</v>
      </c>
      <c r="E487" s="38" t="s">
        <v>2078</v>
      </c>
      <c r="G487" s="38" t="s">
        <v>43</v>
      </c>
      <c r="H487" s="38">
        <v>20.11</v>
      </c>
      <c r="I487" s="38" t="s">
        <v>44</v>
      </c>
      <c r="J487" s="38" t="s">
        <v>45</v>
      </c>
      <c r="K487" s="38" t="s">
        <v>2079</v>
      </c>
      <c r="L487" s="30" t="s">
        <v>47</v>
      </c>
      <c r="M487" s="38" t="s">
        <v>48</v>
      </c>
      <c r="N487" s="38" t="s">
        <v>48</v>
      </c>
      <c r="O487" s="31" t="s">
        <v>2080</v>
      </c>
      <c r="P487" s="28" t="s">
        <v>2081</v>
      </c>
      <c r="Q487" s="38" t="s">
        <v>2082</v>
      </c>
      <c r="R487" s="38">
        <v>1</v>
      </c>
      <c r="S487" s="38" t="s">
        <v>82</v>
      </c>
      <c r="T487" s="38" t="s">
        <v>53</v>
      </c>
      <c r="U487" s="38" t="s">
        <v>54</v>
      </c>
      <c r="V487" s="38" t="s">
        <v>61</v>
      </c>
      <c r="Y487" s="38">
        <v>119.63</v>
      </c>
      <c r="Z487" s="38">
        <v>1</v>
      </c>
      <c r="AI487" s="38">
        <v>1</v>
      </c>
      <c r="AJ487" s="38">
        <v>3</v>
      </c>
      <c r="AK487" s="14">
        <f t="shared" si="1"/>
        <v>0.33333333333333331</v>
      </c>
      <c r="AM487" s="9" t="s">
        <v>953</v>
      </c>
      <c r="AN487" s="9"/>
      <c r="AO487" s="28"/>
    </row>
    <row r="488" spans="1:41" ht="12.5" hidden="1">
      <c r="A488" s="28" t="s">
        <v>2083</v>
      </c>
      <c r="B488" s="37">
        <v>45620</v>
      </c>
      <c r="C488" s="29">
        <v>45666</v>
      </c>
      <c r="D488" s="38" t="s">
        <v>41</v>
      </c>
      <c r="E488" s="38" t="s">
        <v>2084</v>
      </c>
      <c r="G488" s="38" t="s">
        <v>43</v>
      </c>
      <c r="H488" s="38">
        <v>12.64</v>
      </c>
      <c r="I488" s="38" t="s">
        <v>44</v>
      </c>
      <c r="J488" s="38" t="s">
        <v>45</v>
      </c>
      <c r="K488" s="38" t="s">
        <v>2085</v>
      </c>
      <c r="L488" s="30" t="s">
        <v>47</v>
      </c>
      <c r="M488" s="38" t="s">
        <v>48</v>
      </c>
      <c r="N488" s="38" t="s">
        <v>48</v>
      </c>
      <c r="O488" s="31" t="s">
        <v>842</v>
      </c>
      <c r="P488" s="28" t="s">
        <v>843</v>
      </c>
      <c r="Q488" s="38" t="s">
        <v>844</v>
      </c>
      <c r="R488" s="38">
        <v>1</v>
      </c>
      <c r="S488" s="38" t="s">
        <v>99</v>
      </c>
      <c r="T488" s="38" t="s">
        <v>53</v>
      </c>
      <c r="U488" s="38" t="s">
        <v>54</v>
      </c>
      <c r="V488" s="38" t="s">
        <v>55</v>
      </c>
      <c r="Y488" s="38">
        <v>105.42</v>
      </c>
      <c r="Z488" s="38">
        <v>1</v>
      </c>
      <c r="AF488" s="38">
        <v>105.42</v>
      </c>
      <c r="AI488" s="38">
        <v>1</v>
      </c>
      <c r="AJ488" s="38">
        <v>4</v>
      </c>
      <c r="AK488" s="14">
        <f t="shared" si="1"/>
        <v>0.25</v>
      </c>
      <c r="AM488" s="9"/>
      <c r="AN488" s="9"/>
      <c r="AO488" s="28"/>
    </row>
    <row r="489" spans="1:41" ht="12.5" hidden="1">
      <c r="A489" s="28" t="s">
        <v>2086</v>
      </c>
      <c r="B489" s="37">
        <v>45657</v>
      </c>
      <c r="C489" s="29">
        <v>45672</v>
      </c>
      <c r="D489" s="38" t="s">
        <v>41</v>
      </c>
      <c r="E489" s="38" t="s">
        <v>2087</v>
      </c>
      <c r="G489" s="38" t="s">
        <v>43</v>
      </c>
      <c r="H489" s="38">
        <v>7.7</v>
      </c>
      <c r="I489" s="38" t="s">
        <v>44</v>
      </c>
      <c r="J489" s="38" t="s">
        <v>45</v>
      </c>
      <c r="K489" s="38" t="s">
        <v>2088</v>
      </c>
      <c r="L489" s="30" t="s">
        <v>58</v>
      </c>
      <c r="M489" s="38" t="s">
        <v>48</v>
      </c>
      <c r="N489" s="38" t="s">
        <v>48</v>
      </c>
      <c r="O489" s="31" t="s">
        <v>848</v>
      </c>
      <c r="P489" s="28" t="s">
        <v>849</v>
      </c>
      <c r="Q489" s="38" t="s">
        <v>850</v>
      </c>
      <c r="R489" s="38">
        <v>1</v>
      </c>
      <c r="S489" s="38" t="s">
        <v>75</v>
      </c>
      <c r="T489" s="38" t="s">
        <v>53</v>
      </c>
      <c r="U489" s="38" t="s">
        <v>54</v>
      </c>
      <c r="V489" s="38" t="s">
        <v>61</v>
      </c>
      <c r="Y489" s="38">
        <v>168.25</v>
      </c>
      <c r="Z489" s="38">
        <v>1</v>
      </c>
      <c r="AI489" s="38">
        <v>1</v>
      </c>
      <c r="AJ489" s="38">
        <v>0</v>
      </c>
      <c r="AK489" s="14" t="e">
        <f t="shared" si="1"/>
        <v>#DIV/0!</v>
      </c>
      <c r="AM489" s="9"/>
      <c r="AN489" s="9"/>
      <c r="AO489" s="28"/>
    </row>
    <row r="490" spans="1:41" ht="12.5" hidden="1">
      <c r="A490" s="28" t="s">
        <v>2089</v>
      </c>
      <c r="B490" s="37">
        <v>45653</v>
      </c>
      <c r="C490" s="29">
        <v>45663</v>
      </c>
      <c r="D490" s="38" t="s">
        <v>41</v>
      </c>
      <c r="E490" s="38" t="s">
        <v>2090</v>
      </c>
      <c r="G490" s="38" t="s">
        <v>43</v>
      </c>
      <c r="H490" s="38">
        <v>6.27</v>
      </c>
      <c r="I490" s="38" t="s">
        <v>44</v>
      </c>
      <c r="J490" s="38" t="s">
        <v>45</v>
      </c>
      <c r="K490" s="38" t="s">
        <v>2091</v>
      </c>
      <c r="L490" s="30" t="s">
        <v>58</v>
      </c>
      <c r="M490" s="38" t="s">
        <v>48</v>
      </c>
      <c r="N490" s="38" t="s">
        <v>48</v>
      </c>
      <c r="O490" s="31" t="s">
        <v>866</v>
      </c>
      <c r="P490" s="28" t="s">
        <v>867</v>
      </c>
      <c r="Q490" s="38" t="s">
        <v>868</v>
      </c>
      <c r="R490" s="38">
        <v>1</v>
      </c>
      <c r="S490" s="38" t="s">
        <v>68</v>
      </c>
      <c r="T490" s="38" t="s">
        <v>53</v>
      </c>
      <c r="U490" s="38" t="s">
        <v>54</v>
      </c>
      <c r="V490" s="38" t="s">
        <v>61</v>
      </c>
      <c r="Y490" s="38">
        <v>133.35</v>
      </c>
      <c r="Z490" s="38">
        <v>1</v>
      </c>
      <c r="AF490" s="38">
        <v>113.4</v>
      </c>
      <c r="AI490" s="38">
        <v>1</v>
      </c>
      <c r="AJ490" s="38">
        <v>1</v>
      </c>
      <c r="AK490" s="14">
        <f t="shared" si="1"/>
        <v>1</v>
      </c>
      <c r="AM490" s="9"/>
      <c r="AN490" s="9"/>
      <c r="AO490" s="28"/>
    </row>
    <row r="491" spans="1:41" ht="12.5" hidden="1">
      <c r="A491" s="28" t="s">
        <v>2092</v>
      </c>
      <c r="B491" s="37">
        <v>45639</v>
      </c>
      <c r="C491" s="29">
        <v>45669</v>
      </c>
      <c r="D491" s="38" t="s">
        <v>41</v>
      </c>
      <c r="E491" s="38" t="s">
        <v>2093</v>
      </c>
      <c r="G491" s="38" t="s">
        <v>43</v>
      </c>
      <c r="H491" s="38">
        <v>10.38</v>
      </c>
      <c r="I491" s="38" t="s">
        <v>44</v>
      </c>
      <c r="J491" s="38" t="s">
        <v>45</v>
      </c>
      <c r="K491" s="38" t="s">
        <v>2094</v>
      </c>
      <c r="L491" s="30" t="s">
        <v>58</v>
      </c>
      <c r="M491" s="38" t="s">
        <v>48</v>
      </c>
      <c r="N491" s="38" t="s">
        <v>48</v>
      </c>
      <c r="O491" s="31" t="s">
        <v>1659</v>
      </c>
      <c r="P491" s="28" t="s">
        <v>1660</v>
      </c>
      <c r="Q491" s="38" t="s">
        <v>1661</v>
      </c>
      <c r="R491" s="38">
        <v>1</v>
      </c>
      <c r="S491" s="38" t="s">
        <v>75</v>
      </c>
      <c r="T491" s="38" t="s">
        <v>53</v>
      </c>
      <c r="U491" s="38" t="s">
        <v>54</v>
      </c>
      <c r="V491" s="38" t="s">
        <v>55</v>
      </c>
      <c r="Y491" s="38">
        <v>67.83</v>
      </c>
      <c r="Z491" s="38">
        <v>1</v>
      </c>
      <c r="AF491" s="38">
        <v>57.45</v>
      </c>
      <c r="AI491" s="38">
        <v>3</v>
      </c>
      <c r="AJ491" s="38">
        <v>4</v>
      </c>
      <c r="AK491" s="14">
        <f t="shared" si="1"/>
        <v>0.75</v>
      </c>
      <c r="AM491" s="9"/>
      <c r="AN491" s="9"/>
      <c r="AO491" s="28"/>
    </row>
    <row r="492" spans="1:41" ht="12.5" hidden="1">
      <c r="A492" s="28" t="s">
        <v>2095</v>
      </c>
      <c r="B492" s="37">
        <v>45656</v>
      </c>
      <c r="C492" s="29">
        <v>45664</v>
      </c>
      <c r="D492" s="38" t="s">
        <v>41</v>
      </c>
      <c r="E492" s="38" t="s">
        <v>2096</v>
      </c>
      <c r="G492" s="38" t="s">
        <v>43</v>
      </c>
      <c r="H492" s="38">
        <v>10.38</v>
      </c>
      <c r="I492" s="38" t="s">
        <v>44</v>
      </c>
      <c r="J492" s="38" t="s">
        <v>45</v>
      </c>
      <c r="K492" s="38" t="s">
        <v>2097</v>
      </c>
      <c r="L492" s="30" t="s">
        <v>47</v>
      </c>
      <c r="M492" s="38" t="s">
        <v>48</v>
      </c>
      <c r="N492" s="38" t="s">
        <v>48</v>
      </c>
      <c r="O492" s="31" t="s">
        <v>1659</v>
      </c>
      <c r="P492" s="28" t="s">
        <v>1660</v>
      </c>
      <c r="Q492" s="38" t="s">
        <v>1661</v>
      </c>
      <c r="R492" s="38">
        <v>1</v>
      </c>
      <c r="S492" s="38" t="s">
        <v>99</v>
      </c>
      <c r="T492" s="38" t="s">
        <v>53</v>
      </c>
      <c r="U492" s="38" t="s">
        <v>54</v>
      </c>
      <c r="V492" s="38" t="s">
        <v>61</v>
      </c>
      <c r="Y492" s="38">
        <v>67.36</v>
      </c>
      <c r="Z492" s="38">
        <v>1</v>
      </c>
      <c r="AK492" s="14" t="e">
        <f t="shared" si="1"/>
        <v>#DIV/0!</v>
      </c>
      <c r="AM492" s="9"/>
      <c r="AN492" s="9"/>
      <c r="AO492" s="28"/>
    </row>
    <row r="493" spans="1:41" ht="12.5" hidden="1">
      <c r="A493" s="28" t="s">
        <v>2098</v>
      </c>
      <c r="B493" s="37">
        <v>45657</v>
      </c>
      <c r="C493" s="29">
        <v>45663</v>
      </c>
      <c r="D493" s="38" t="s">
        <v>41</v>
      </c>
      <c r="E493" s="38" t="s">
        <v>2099</v>
      </c>
      <c r="G493" s="38" t="s">
        <v>43</v>
      </c>
      <c r="H493" s="38">
        <v>10.38</v>
      </c>
      <c r="I493" s="38" t="s">
        <v>44</v>
      </c>
      <c r="J493" s="38" t="s">
        <v>45</v>
      </c>
      <c r="K493" s="38" t="s">
        <v>2100</v>
      </c>
      <c r="L493" s="30" t="s">
        <v>47</v>
      </c>
      <c r="M493" s="38" t="s">
        <v>48</v>
      </c>
      <c r="N493" s="38" t="s">
        <v>48</v>
      </c>
      <c r="O493" s="31" t="s">
        <v>1659</v>
      </c>
      <c r="P493" s="28" t="s">
        <v>1660</v>
      </c>
      <c r="Q493" s="38" t="s">
        <v>1661</v>
      </c>
      <c r="R493" s="38">
        <v>1</v>
      </c>
      <c r="S493" s="38" t="s">
        <v>421</v>
      </c>
      <c r="T493" s="38" t="s">
        <v>53</v>
      </c>
      <c r="U493" s="38" t="s">
        <v>54</v>
      </c>
      <c r="V493" s="38" t="s">
        <v>55</v>
      </c>
      <c r="Y493" s="38">
        <v>69.37</v>
      </c>
      <c r="Z493" s="38">
        <v>1</v>
      </c>
      <c r="AF493" s="38">
        <v>69.37</v>
      </c>
      <c r="AK493" s="14" t="e">
        <f t="shared" si="1"/>
        <v>#DIV/0!</v>
      </c>
      <c r="AM493" s="9"/>
      <c r="AN493" s="9"/>
      <c r="AO493" s="28"/>
    </row>
    <row r="494" spans="1:41" ht="12.5" hidden="1">
      <c r="A494" s="28" t="s">
        <v>2101</v>
      </c>
      <c r="B494" s="37">
        <v>45623</v>
      </c>
      <c r="C494" s="29">
        <v>45670</v>
      </c>
      <c r="D494" s="38" t="s">
        <v>41</v>
      </c>
      <c r="E494" s="38" t="s">
        <v>2102</v>
      </c>
      <c r="G494" s="38" t="s">
        <v>43</v>
      </c>
      <c r="H494" s="38">
        <v>18.010000000000002</v>
      </c>
      <c r="I494" s="38" t="s">
        <v>44</v>
      </c>
      <c r="J494" s="38" t="s">
        <v>45</v>
      </c>
      <c r="K494" s="38" t="s">
        <v>2103</v>
      </c>
      <c r="L494" s="30" t="s">
        <v>58</v>
      </c>
      <c r="M494" s="38" t="s">
        <v>48</v>
      </c>
      <c r="N494" s="38" t="s">
        <v>48</v>
      </c>
      <c r="O494" s="31" t="s">
        <v>2104</v>
      </c>
      <c r="P494" s="28" t="s">
        <v>2105</v>
      </c>
      <c r="Q494" s="38" t="s">
        <v>2106</v>
      </c>
      <c r="R494" s="38">
        <v>1</v>
      </c>
      <c r="S494" s="38" t="s">
        <v>75</v>
      </c>
      <c r="T494" s="38" t="s">
        <v>53</v>
      </c>
      <c r="U494" s="38" t="s">
        <v>54</v>
      </c>
      <c r="V494" s="38" t="s">
        <v>61</v>
      </c>
      <c r="Y494" s="38">
        <v>105.52</v>
      </c>
      <c r="Z494" s="38">
        <v>1</v>
      </c>
      <c r="AI494" s="38">
        <v>1</v>
      </c>
      <c r="AJ494" s="38">
        <v>0</v>
      </c>
      <c r="AK494" s="14" t="e">
        <f t="shared" si="1"/>
        <v>#DIV/0!</v>
      </c>
      <c r="AM494" s="9"/>
      <c r="AN494" s="9"/>
      <c r="AO494" s="28"/>
    </row>
    <row r="495" spans="1:41" ht="12.5" hidden="1">
      <c r="A495" s="28" t="s">
        <v>2107</v>
      </c>
      <c r="B495" s="37">
        <v>45638</v>
      </c>
      <c r="C495" s="29">
        <v>45666</v>
      </c>
      <c r="D495" s="38" t="s">
        <v>41</v>
      </c>
      <c r="E495" s="38" t="s">
        <v>2108</v>
      </c>
      <c r="G495" s="38" t="s">
        <v>43</v>
      </c>
      <c r="H495" s="38">
        <v>15.34</v>
      </c>
      <c r="I495" s="38" t="s">
        <v>44</v>
      </c>
      <c r="J495" s="38" t="s">
        <v>45</v>
      </c>
      <c r="K495" s="38" t="s">
        <v>2109</v>
      </c>
      <c r="L495" s="30" t="s">
        <v>58</v>
      </c>
      <c r="M495" s="38" t="s">
        <v>48</v>
      </c>
      <c r="N495" s="38" t="s">
        <v>48</v>
      </c>
      <c r="O495" s="31" t="s">
        <v>881</v>
      </c>
      <c r="P495" s="28" t="s">
        <v>882</v>
      </c>
      <c r="Q495" s="38" t="s">
        <v>883</v>
      </c>
      <c r="R495" s="38">
        <v>1</v>
      </c>
      <c r="S495" s="38" t="s">
        <v>68</v>
      </c>
      <c r="T495" s="38" t="s">
        <v>53</v>
      </c>
      <c r="U495" s="38" t="s">
        <v>54</v>
      </c>
      <c r="V495" s="38" t="s">
        <v>55</v>
      </c>
      <c r="Y495" s="38">
        <v>85.48</v>
      </c>
      <c r="Z495" s="38">
        <v>1</v>
      </c>
      <c r="AF495" s="38">
        <v>70.14</v>
      </c>
      <c r="AI495" s="38">
        <v>1</v>
      </c>
      <c r="AJ495" s="38">
        <v>1</v>
      </c>
      <c r="AK495" s="14">
        <f t="shared" si="1"/>
        <v>1</v>
      </c>
      <c r="AM495" s="9"/>
      <c r="AN495" s="9"/>
      <c r="AO495" s="28"/>
    </row>
    <row r="496" spans="1:41" ht="12.5" hidden="1">
      <c r="A496" s="28" t="s">
        <v>2110</v>
      </c>
      <c r="B496" s="39">
        <v>45662</v>
      </c>
      <c r="C496" s="29">
        <v>45665</v>
      </c>
      <c r="D496" s="38" t="s">
        <v>41</v>
      </c>
      <c r="E496" s="38" t="s">
        <v>2111</v>
      </c>
      <c r="G496" s="38" t="s">
        <v>43</v>
      </c>
      <c r="H496" s="38">
        <v>12.2</v>
      </c>
      <c r="I496" s="38" t="s">
        <v>44</v>
      </c>
      <c r="J496" s="38" t="s">
        <v>45</v>
      </c>
      <c r="K496" s="38" t="s">
        <v>2112</v>
      </c>
      <c r="L496" s="30" t="s">
        <v>47</v>
      </c>
      <c r="M496" s="38" t="s">
        <v>48</v>
      </c>
      <c r="N496" s="38" t="s">
        <v>48</v>
      </c>
      <c r="O496" s="31" t="s">
        <v>893</v>
      </c>
      <c r="P496" s="28" t="s">
        <v>894</v>
      </c>
      <c r="Q496" s="38" t="s">
        <v>895</v>
      </c>
      <c r="R496" s="38">
        <v>1</v>
      </c>
      <c r="S496" s="38" t="s">
        <v>82</v>
      </c>
      <c r="T496" s="38" t="s">
        <v>53</v>
      </c>
      <c r="U496" s="38" t="s">
        <v>54</v>
      </c>
      <c r="V496" s="38" t="s">
        <v>560</v>
      </c>
      <c r="Y496" s="38">
        <v>105.48</v>
      </c>
      <c r="Z496" s="38">
        <v>1</v>
      </c>
      <c r="AI496" s="38">
        <v>1</v>
      </c>
      <c r="AJ496" s="38">
        <v>2</v>
      </c>
      <c r="AK496" s="14">
        <f t="shared" si="1"/>
        <v>0.5</v>
      </c>
      <c r="AM496" s="9" t="s">
        <v>953</v>
      </c>
      <c r="AN496" s="9"/>
      <c r="AO496" s="28"/>
    </row>
    <row r="497" spans="1:41" ht="12.5" hidden="1">
      <c r="A497" s="28" t="s">
        <v>2113</v>
      </c>
      <c r="B497" s="39">
        <v>45661</v>
      </c>
      <c r="C497" s="29">
        <v>45667</v>
      </c>
      <c r="D497" s="38" t="s">
        <v>41</v>
      </c>
      <c r="E497" s="38" t="s">
        <v>2114</v>
      </c>
      <c r="G497" s="38" t="s">
        <v>43</v>
      </c>
      <c r="H497" s="38">
        <v>12.64</v>
      </c>
      <c r="I497" s="38" t="s">
        <v>44</v>
      </c>
      <c r="J497" s="38" t="s">
        <v>45</v>
      </c>
      <c r="K497" s="38" t="s">
        <v>2115</v>
      </c>
      <c r="L497" s="30" t="s">
        <v>58</v>
      </c>
      <c r="M497" s="38" t="s">
        <v>48</v>
      </c>
      <c r="N497" s="38" t="s">
        <v>48</v>
      </c>
      <c r="O497" s="31" t="s">
        <v>2116</v>
      </c>
      <c r="P497" s="28" t="s">
        <v>2117</v>
      </c>
      <c r="Q497" s="38" t="s">
        <v>2118</v>
      </c>
      <c r="R497" s="38">
        <v>1</v>
      </c>
      <c r="S497" s="38" t="s">
        <v>68</v>
      </c>
      <c r="T497" s="38" t="s">
        <v>53</v>
      </c>
      <c r="U497" s="38" t="s">
        <v>54</v>
      </c>
      <c r="V497" s="38" t="s">
        <v>55</v>
      </c>
      <c r="Y497" s="38">
        <v>77.3</v>
      </c>
      <c r="Z497" s="38">
        <v>1</v>
      </c>
      <c r="AF497" s="38">
        <v>64.66</v>
      </c>
      <c r="AI497" s="38">
        <v>1</v>
      </c>
      <c r="AJ497" s="38">
        <v>1</v>
      </c>
      <c r="AK497" s="14">
        <f t="shared" si="1"/>
        <v>1</v>
      </c>
      <c r="AM497" s="9"/>
      <c r="AN497" s="9"/>
      <c r="AO497" s="28"/>
    </row>
    <row r="498" spans="1:41" ht="12.5" hidden="1">
      <c r="A498" s="28"/>
      <c r="C498" s="29"/>
      <c r="L498" s="30"/>
      <c r="O498" s="31"/>
      <c r="P498" s="28"/>
      <c r="AK498" s="14" t="e">
        <f t="shared" si="1"/>
        <v>#DIV/0!</v>
      </c>
      <c r="AM498" s="9"/>
      <c r="AN498" s="9"/>
      <c r="AO498" s="28"/>
    </row>
    <row r="499" spans="1:41" ht="12.5" hidden="1">
      <c r="A499" s="28" t="s">
        <v>2119</v>
      </c>
      <c r="B499" s="37">
        <v>45667</v>
      </c>
      <c r="C499" s="29">
        <v>45682</v>
      </c>
      <c r="D499" s="38" t="s">
        <v>41</v>
      </c>
      <c r="E499" s="38" t="s">
        <v>2120</v>
      </c>
      <c r="G499" s="38" t="s">
        <v>43</v>
      </c>
      <c r="H499" s="38">
        <v>14.03</v>
      </c>
      <c r="I499" s="38" t="s">
        <v>44</v>
      </c>
      <c r="J499" s="38" t="s">
        <v>45</v>
      </c>
      <c r="K499" s="38" t="s">
        <v>2121</v>
      </c>
      <c r="L499" s="30" t="s">
        <v>58</v>
      </c>
      <c r="M499" s="38" t="s">
        <v>48</v>
      </c>
      <c r="N499" s="38" t="s">
        <v>48</v>
      </c>
      <c r="O499" s="31" t="s">
        <v>49</v>
      </c>
      <c r="P499" s="28" t="s">
        <v>50</v>
      </c>
      <c r="Q499" s="38" t="s">
        <v>51</v>
      </c>
      <c r="R499" s="38">
        <v>1</v>
      </c>
      <c r="S499" s="38" t="s">
        <v>75</v>
      </c>
      <c r="T499" s="38" t="s">
        <v>53</v>
      </c>
      <c r="U499" s="38" t="s">
        <v>54</v>
      </c>
      <c r="V499" s="38" t="s">
        <v>55</v>
      </c>
      <c r="Y499" s="38">
        <v>95.35</v>
      </c>
      <c r="Z499" s="38">
        <v>1</v>
      </c>
      <c r="AF499" s="38">
        <v>81.319999999999993</v>
      </c>
      <c r="AI499" s="38">
        <v>1</v>
      </c>
      <c r="AJ499" s="38">
        <v>3</v>
      </c>
      <c r="AK499" s="14">
        <f t="shared" si="1"/>
        <v>0.33333333333333331</v>
      </c>
      <c r="AM499" s="9"/>
      <c r="AN499" s="9"/>
      <c r="AO499" s="28"/>
    </row>
    <row r="500" spans="1:41" ht="12.5" hidden="1">
      <c r="A500" s="28" t="s">
        <v>2122</v>
      </c>
      <c r="B500" s="37">
        <v>45673</v>
      </c>
      <c r="C500" s="29">
        <v>45681</v>
      </c>
      <c r="D500" s="38" t="s">
        <v>41</v>
      </c>
      <c r="E500" s="38" t="s">
        <v>2123</v>
      </c>
      <c r="G500" s="38" t="s">
        <v>43</v>
      </c>
      <c r="H500" s="38">
        <v>11.1</v>
      </c>
      <c r="I500" s="38" t="s">
        <v>44</v>
      </c>
      <c r="J500" s="38" t="s">
        <v>45</v>
      </c>
      <c r="K500" s="38" t="s">
        <v>2124</v>
      </c>
      <c r="L500" s="30" t="s">
        <v>58</v>
      </c>
      <c r="M500" s="38" t="s">
        <v>48</v>
      </c>
      <c r="N500" s="38" t="s">
        <v>48</v>
      </c>
      <c r="O500" s="31" t="s">
        <v>1704</v>
      </c>
      <c r="P500" s="28" t="s">
        <v>1705</v>
      </c>
      <c r="Q500" s="38" t="s">
        <v>1706</v>
      </c>
      <c r="R500" s="38">
        <v>1</v>
      </c>
      <c r="S500" s="38" t="s">
        <v>68</v>
      </c>
      <c r="T500" s="38" t="s">
        <v>53</v>
      </c>
      <c r="U500" s="38" t="s">
        <v>54</v>
      </c>
      <c r="V500" s="38" t="s">
        <v>55</v>
      </c>
      <c r="Y500" s="38">
        <v>47.01</v>
      </c>
      <c r="Z500" s="38">
        <v>1</v>
      </c>
      <c r="AF500" s="38">
        <v>35.909999999999997</v>
      </c>
      <c r="AI500" s="38">
        <v>1</v>
      </c>
      <c r="AJ500" s="38">
        <v>4</v>
      </c>
      <c r="AK500" s="14">
        <f t="shared" si="1"/>
        <v>0.25</v>
      </c>
      <c r="AM500" s="9"/>
      <c r="AN500" s="9"/>
      <c r="AO500" s="28"/>
    </row>
    <row r="501" spans="1:41" ht="12.5" hidden="1">
      <c r="A501" s="28" t="s">
        <v>2125</v>
      </c>
      <c r="B501" s="37">
        <v>45652</v>
      </c>
      <c r="C501" s="29">
        <v>45673</v>
      </c>
      <c r="D501" s="38" t="s">
        <v>41</v>
      </c>
      <c r="E501" s="38" t="s">
        <v>2126</v>
      </c>
      <c r="G501" s="38" t="s">
        <v>43</v>
      </c>
      <c r="H501" s="38">
        <v>12.2</v>
      </c>
      <c r="I501" s="38" t="s">
        <v>44</v>
      </c>
      <c r="J501" s="38" t="s">
        <v>45</v>
      </c>
      <c r="K501" s="38" t="s">
        <v>2127</v>
      </c>
      <c r="L501" s="30" t="s">
        <v>58</v>
      </c>
      <c r="M501" s="38" t="s">
        <v>48</v>
      </c>
      <c r="N501" s="38" t="s">
        <v>48</v>
      </c>
      <c r="O501" s="31" t="s">
        <v>96</v>
      </c>
      <c r="P501" s="28" t="s">
        <v>97</v>
      </c>
      <c r="Q501" s="38" t="s">
        <v>98</v>
      </c>
      <c r="R501" s="38">
        <v>1</v>
      </c>
      <c r="S501" s="38" t="s">
        <v>75</v>
      </c>
      <c r="T501" s="38" t="s">
        <v>53</v>
      </c>
      <c r="U501" s="38" t="s">
        <v>54</v>
      </c>
      <c r="V501" s="38" t="s">
        <v>61</v>
      </c>
      <c r="Y501" s="38">
        <v>82.22</v>
      </c>
      <c r="Z501" s="38">
        <v>1</v>
      </c>
      <c r="AI501" s="38">
        <v>1</v>
      </c>
      <c r="AJ501" s="38">
        <v>7</v>
      </c>
      <c r="AK501" s="14">
        <f t="shared" si="1"/>
        <v>0.14285714285714285</v>
      </c>
      <c r="AM501" s="9"/>
      <c r="AN501" s="9"/>
      <c r="AO501" s="28"/>
    </row>
    <row r="502" spans="1:41" ht="12.5" hidden="1">
      <c r="A502" s="28" t="s">
        <v>2128</v>
      </c>
      <c r="B502" s="37">
        <v>45670</v>
      </c>
      <c r="C502" s="29">
        <v>45679</v>
      </c>
      <c r="D502" s="38" t="s">
        <v>41</v>
      </c>
      <c r="E502" s="38" t="s">
        <v>2129</v>
      </c>
      <c r="G502" s="38" t="s">
        <v>43</v>
      </c>
      <c r="H502" s="38">
        <v>14.44</v>
      </c>
      <c r="I502" s="38" t="s">
        <v>44</v>
      </c>
      <c r="J502" s="38" t="s">
        <v>45</v>
      </c>
      <c r="K502" s="38" t="s">
        <v>2130</v>
      </c>
      <c r="L502" s="30" t="s">
        <v>58</v>
      </c>
      <c r="M502" s="38" t="s">
        <v>48</v>
      </c>
      <c r="N502" s="38" t="s">
        <v>48</v>
      </c>
      <c r="O502" s="31" t="s">
        <v>109</v>
      </c>
      <c r="P502" s="28" t="s">
        <v>110</v>
      </c>
      <c r="Q502" s="38" t="s">
        <v>111</v>
      </c>
      <c r="R502" s="38">
        <v>1</v>
      </c>
      <c r="S502" s="38" t="s">
        <v>68</v>
      </c>
      <c r="T502" s="38" t="s">
        <v>53</v>
      </c>
      <c r="U502" s="38" t="s">
        <v>54</v>
      </c>
      <c r="V502" s="38" t="s">
        <v>55</v>
      </c>
      <c r="Y502" s="38">
        <v>107.67</v>
      </c>
      <c r="Z502" s="38">
        <v>1</v>
      </c>
      <c r="AF502" s="38">
        <v>93.23</v>
      </c>
      <c r="AI502" s="38">
        <v>1</v>
      </c>
      <c r="AJ502" s="38">
        <v>0</v>
      </c>
      <c r="AK502" s="14" t="e">
        <f t="shared" si="1"/>
        <v>#DIV/0!</v>
      </c>
      <c r="AM502" s="9"/>
      <c r="AN502" s="9"/>
      <c r="AO502" s="28"/>
    </row>
    <row r="503" spans="1:41" ht="12.5" hidden="1">
      <c r="A503" s="28" t="s">
        <v>2131</v>
      </c>
      <c r="B503" s="37">
        <v>45672</v>
      </c>
      <c r="C503" s="29">
        <v>45684</v>
      </c>
      <c r="D503" s="38" t="s">
        <v>41</v>
      </c>
      <c r="E503" s="38" t="s">
        <v>2132</v>
      </c>
      <c r="G503" s="38" t="s">
        <v>43</v>
      </c>
      <c r="H503" s="38">
        <v>10.02</v>
      </c>
      <c r="I503" s="38" t="s">
        <v>44</v>
      </c>
      <c r="J503" s="38" t="s">
        <v>45</v>
      </c>
      <c r="K503" s="38" t="s">
        <v>2133</v>
      </c>
      <c r="L503" s="30" t="s">
        <v>58</v>
      </c>
      <c r="M503" s="38" t="s">
        <v>48</v>
      </c>
      <c r="N503" s="38" t="s">
        <v>48</v>
      </c>
      <c r="O503" s="31" t="s">
        <v>115</v>
      </c>
      <c r="P503" s="28" t="s">
        <v>116</v>
      </c>
      <c r="Q503" s="38" t="s">
        <v>117</v>
      </c>
      <c r="R503" s="38">
        <v>1</v>
      </c>
      <c r="S503" s="38" t="s">
        <v>68</v>
      </c>
      <c r="T503" s="38" t="s">
        <v>53</v>
      </c>
      <c r="U503" s="38" t="s">
        <v>54</v>
      </c>
      <c r="V503" s="38" t="s">
        <v>55</v>
      </c>
      <c r="Y503" s="38">
        <v>51.8</v>
      </c>
      <c r="Z503" s="38">
        <v>1</v>
      </c>
      <c r="AF503" s="38">
        <v>41.78</v>
      </c>
      <c r="AI503" s="38">
        <v>3</v>
      </c>
      <c r="AJ503" s="38">
        <v>1</v>
      </c>
      <c r="AK503" s="14">
        <f t="shared" si="1"/>
        <v>3</v>
      </c>
      <c r="AM503" s="9"/>
      <c r="AN503" s="9"/>
      <c r="AO503" s="28"/>
    </row>
    <row r="504" spans="1:41" ht="12.5" hidden="1">
      <c r="A504" s="28" t="s">
        <v>2134</v>
      </c>
      <c r="B504" s="37">
        <v>45644</v>
      </c>
      <c r="C504" s="29">
        <v>45679</v>
      </c>
      <c r="D504" s="38" t="s">
        <v>41</v>
      </c>
      <c r="E504" s="38" t="s">
        <v>2135</v>
      </c>
      <c r="G504" s="38" t="s">
        <v>43</v>
      </c>
      <c r="H504" s="38">
        <v>10.02</v>
      </c>
      <c r="I504" s="38" t="s">
        <v>44</v>
      </c>
      <c r="J504" s="38" t="s">
        <v>45</v>
      </c>
      <c r="K504" s="38" t="s">
        <v>2136</v>
      </c>
      <c r="L504" s="30" t="s">
        <v>47</v>
      </c>
      <c r="M504" s="38" t="s">
        <v>48</v>
      </c>
      <c r="N504" s="38" t="s">
        <v>48</v>
      </c>
      <c r="O504" s="31" t="s">
        <v>115</v>
      </c>
      <c r="P504" s="28" t="s">
        <v>116</v>
      </c>
      <c r="Q504" s="38" t="s">
        <v>117</v>
      </c>
      <c r="R504" s="38">
        <v>1</v>
      </c>
      <c r="S504" s="38" t="s">
        <v>99</v>
      </c>
      <c r="T504" s="38" t="s">
        <v>53</v>
      </c>
      <c r="U504" s="38" t="s">
        <v>54</v>
      </c>
      <c r="V504" s="38" t="s">
        <v>61</v>
      </c>
      <c r="Y504" s="38">
        <v>53.21</v>
      </c>
      <c r="Z504" s="38">
        <v>1</v>
      </c>
      <c r="AK504" s="14" t="e">
        <f t="shared" si="1"/>
        <v>#DIV/0!</v>
      </c>
      <c r="AM504" s="9"/>
      <c r="AN504" s="9"/>
      <c r="AO504" s="28"/>
    </row>
    <row r="505" spans="1:41" ht="12.5" hidden="1">
      <c r="A505" s="28" t="s">
        <v>2137</v>
      </c>
      <c r="B505" s="37">
        <v>45669</v>
      </c>
      <c r="C505" s="29">
        <v>45673</v>
      </c>
      <c r="D505" s="38" t="s">
        <v>41</v>
      </c>
      <c r="E505" s="38" t="s">
        <v>2138</v>
      </c>
      <c r="G505" s="38" t="s">
        <v>43</v>
      </c>
      <c r="H505" s="38">
        <v>10.02</v>
      </c>
      <c r="I505" s="38" t="s">
        <v>44</v>
      </c>
      <c r="J505" s="38" t="s">
        <v>45</v>
      </c>
      <c r="K505" s="38" t="s">
        <v>2139</v>
      </c>
      <c r="L505" s="30" t="s">
        <v>58</v>
      </c>
      <c r="M505" s="38" t="s">
        <v>48</v>
      </c>
      <c r="N505" s="38" t="s">
        <v>48</v>
      </c>
      <c r="O505" s="31" t="s">
        <v>115</v>
      </c>
      <c r="P505" s="28" t="s">
        <v>116</v>
      </c>
      <c r="Q505" s="38" t="s">
        <v>117</v>
      </c>
      <c r="R505" s="38">
        <v>1</v>
      </c>
      <c r="S505" s="38" t="s">
        <v>75</v>
      </c>
      <c r="T505" s="38" t="s">
        <v>53</v>
      </c>
      <c r="U505" s="38" t="s">
        <v>54</v>
      </c>
      <c r="V505" s="38" t="s">
        <v>55</v>
      </c>
      <c r="Y505" s="38">
        <v>52.03</v>
      </c>
      <c r="Z505" s="38">
        <v>1</v>
      </c>
      <c r="AF505" s="38">
        <v>42.01</v>
      </c>
      <c r="AK505" s="14" t="e">
        <f t="shared" si="1"/>
        <v>#DIV/0!</v>
      </c>
      <c r="AM505" s="9"/>
      <c r="AN505" s="9"/>
      <c r="AO505" s="28"/>
    </row>
    <row r="506" spans="1:41" ht="12.5" hidden="1">
      <c r="A506" s="28" t="s">
        <v>2140</v>
      </c>
      <c r="B506" s="37">
        <v>45645</v>
      </c>
      <c r="C506" s="29">
        <v>45678</v>
      </c>
      <c r="D506" s="38" t="s">
        <v>41</v>
      </c>
      <c r="E506" s="38" t="s">
        <v>2141</v>
      </c>
      <c r="G506" s="38" t="s">
        <v>43</v>
      </c>
      <c r="H506" s="38">
        <v>11.74</v>
      </c>
      <c r="I506" s="38" t="s">
        <v>44</v>
      </c>
      <c r="J506" s="38" t="s">
        <v>45</v>
      </c>
      <c r="K506" s="38" t="s">
        <v>2142</v>
      </c>
      <c r="L506" s="30" t="s">
        <v>58</v>
      </c>
      <c r="M506" s="38" t="s">
        <v>48</v>
      </c>
      <c r="N506" s="38" t="s">
        <v>48</v>
      </c>
      <c r="O506" s="31" t="s">
        <v>160</v>
      </c>
      <c r="P506" s="28" t="s">
        <v>161</v>
      </c>
      <c r="Q506" s="38" t="s">
        <v>2143</v>
      </c>
      <c r="R506" s="38">
        <v>1</v>
      </c>
      <c r="S506" s="38" t="s">
        <v>68</v>
      </c>
      <c r="T506" s="38" t="s">
        <v>53</v>
      </c>
      <c r="U506" s="38" t="s">
        <v>54</v>
      </c>
      <c r="V506" s="38" t="s">
        <v>55</v>
      </c>
      <c r="Y506" s="38">
        <v>109.36</v>
      </c>
      <c r="Z506" s="38">
        <v>2</v>
      </c>
      <c r="AF506" s="38">
        <v>42.94</v>
      </c>
      <c r="AI506" s="38">
        <v>1</v>
      </c>
      <c r="AJ506" s="38">
        <v>1</v>
      </c>
      <c r="AK506" s="14">
        <f t="shared" si="1"/>
        <v>1</v>
      </c>
      <c r="AM506" s="9"/>
      <c r="AN506" s="9"/>
      <c r="AO506" s="28"/>
    </row>
    <row r="507" spans="1:41" ht="12.5" hidden="1">
      <c r="A507" s="28" t="s">
        <v>2144</v>
      </c>
      <c r="B507" s="37">
        <v>45673</v>
      </c>
      <c r="C507" s="29">
        <v>45687</v>
      </c>
      <c r="D507" s="38" t="s">
        <v>41</v>
      </c>
      <c r="E507" s="38" t="s">
        <v>2145</v>
      </c>
      <c r="G507" s="38" t="s">
        <v>43</v>
      </c>
      <c r="H507" s="38">
        <v>7.08</v>
      </c>
      <c r="I507" s="38" t="s">
        <v>44</v>
      </c>
      <c r="J507" s="38" t="s">
        <v>45</v>
      </c>
      <c r="K507" s="38" t="s">
        <v>2146</v>
      </c>
      <c r="L507" s="30" t="s">
        <v>58</v>
      </c>
      <c r="M507" s="38" t="s">
        <v>48</v>
      </c>
      <c r="N507" s="38" t="s">
        <v>48</v>
      </c>
      <c r="O507" s="31" t="s">
        <v>210</v>
      </c>
      <c r="P507" s="28" t="s">
        <v>211</v>
      </c>
      <c r="Q507" s="38" t="s">
        <v>212</v>
      </c>
      <c r="R507" s="38">
        <v>1</v>
      </c>
      <c r="S507" s="38" t="s">
        <v>75</v>
      </c>
      <c r="T507" s="38" t="s">
        <v>53</v>
      </c>
      <c r="U507" s="38" t="s">
        <v>54</v>
      </c>
      <c r="V507" s="38" t="s">
        <v>61</v>
      </c>
      <c r="Y507" s="38">
        <v>116.39</v>
      </c>
      <c r="Z507" s="38">
        <v>1</v>
      </c>
      <c r="AI507" s="38">
        <v>2</v>
      </c>
      <c r="AJ507" s="38">
        <v>2</v>
      </c>
      <c r="AK507" s="14">
        <f t="shared" si="1"/>
        <v>1</v>
      </c>
      <c r="AM507" s="9"/>
      <c r="AN507" s="9"/>
      <c r="AO507" s="28"/>
    </row>
    <row r="508" spans="1:41" ht="12.5" hidden="1">
      <c r="A508" s="28" t="s">
        <v>2147</v>
      </c>
      <c r="B508" s="39">
        <v>45661</v>
      </c>
      <c r="C508" s="29">
        <v>45673</v>
      </c>
      <c r="D508" s="38" t="s">
        <v>41</v>
      </c>
      <c r="E508" s="38" t="s">
        <v>2148</v>
      </c>
      <c r="G508" s="38" t="s">
        <v>43</v>
      </c>
      <c r="H508" s="38">
        <v>7.08</v>
      </c>
      <c r="I508" s="38" t="s">
        <v>44</v>
      </c>
      <c r="J508" s="38" t="s">
        <v>45</v>
      </c>
      <c r="K508" s="38" t="s">
        <v>2149</v>
      </c>
      <c r="L508" s="30" t="s">
        <v>47</v>
      </c>
      <c r="M508" s="38" t="s">
        <v>48</v>
      </c>
      <c r="N508" s="38" t="s">
        <v>48</v>
      </c>
      <c r="O508" s="31" t="s">
        <v>210</v>
      </c>
      <c r="P508" s="28" t="s">
        <v>211</v>
      </c>
      <c r="Q508" s="38" t="s">
        <v>212</v>
      </c>
      <c r="R508" s="38">
        <v>1</v>
      </c>
      <c r="S508" s="38" t="s">
        <v>99</v>
      </c>
      <c r="T508" s="38" t="s">
        <v>53</v>
      </c>
      <c r="U508" s="38" t="s">
        <v>54</v>
      </c>
      <c r="V508" s="38" t="s">
        <v>55</v>
      </c>
      <c r="Y508" s="38">
        <v>109.9</v>
      </c>
      <c r="Z508" s="38">
        <v>1</v>
      </c>
      <c r="AF508" s="38">
        <v>109.9</v>
      </c>
      <c r="AK508" s="14" t="e">
        <f t="shared" si="1"/>
        <v>#DIV/0!</v>
      </c>
      <c r="AM508" s="9"/>
      <c r="AN508" s="9"/>
      <c r="AO508" s="28"/>
    </row>
    <row r="509" spans="1:41" ht="12.5" hidden="1">
      <c r="A509" s="28" t="s">
        <v>2150</v>
      </c>
      <c r="B509" s="37">
        <v>45669</v>
      </c>
      <c r="C509" s="29">
        <v>45684</v>
      </c>
      <c r="D509" s="38" t="s">
        <v>41</v>
      </c>
      <c r="E509" s="38" t="s">
        <v>2151</v>
      </c>
      <c r="G509" s="38" t="s">
        <v>43</v>
      </c>
      <c r="H509" s="38">
        <v>13.56</v>
      </c>
      <c r="I509" s="38" t="s">
        <v>44</v>
      </c>
      <c r="J509" s="38" t="s">
        <v>45</v>
      </c>
      <c r="K509" s="38" t="s">
        <v>2152</v>
      </c>
      <c r="L509" s="30" t="s">
        <v>58</v>
      </c>
      <c r="M509" s="38" t="s">
        <v>48</v>
      </c>
      <c r="N509" s="38" t="s">
        <v>48</v>
      </c>
      <c r="O509" s="31" t="s">
        <v>219</v>
      </c>
      <c r="P509" s="28" t="s">
        <v>220</v>
      </c>
      <c r="Q509" s="38" t="s">
        <v>221</v>
      </c>
      <c r="R509" s="38">
        <v>1</v>
      </c>
      <c r="S509" s="38" t="s">
        <v>68</v>
      </c>
      <c r="T509" s="38" t="s">
        <v>53</v>
      </c>
      <c r="U509" s="38" t="s">
        <v>54</v>
      </c>
      <c r="V509" s="38" t="s">
        <v>55</v>
      </c>
      <c r="Y509" s="38">
        <v>79.569999999999993</v>
      </c>
      <c r="Z509" s="38">
        <v>1</v>
      </c>
      <c r="AF509" s="38">
        <v>66.010000000000005</v>
      </c>
      <c r="AI509" s="38">
        <v>3</v>
      </c>
      <c r="AJ509" s="38">
        <v>11</v>
      </c>
      <c r="AK509" s="14">
        <f t="shared" si="1"/>
        <v>0.27272727272727271</v>
      </c>
      <c r="AM509" s="9"/>
      <c r="AN509" s="9"/>
      <c r="AO509" s="28"/>
    </row>
    <row r="510" spans="1:41" ht="12.5" hidden="1">
      <c r="A510" s="28" t="s">
        <v>2153</v>
      </c>
      <c r="B510" s="37">
        <v>45640</v>
      </c>
      <c r="C510" s="29">
        <v>45676</v>
      </c>
      <c r="D510" s="38" t="s">
        <v>41</v>
      </c>
      <c r="E510" s="38" t="s">
        <v>2154</v>
      </c>
      <c r="G510" s="38" t="s">
        <v>43</v>
      </c>
      <c r="H510" s="38">
        <v>13.56</v>
      </c>
      <c r="I510" s="38" t="s">
        <v>44</v>
      </c>
      <c r="J510" s="38" t="s">
        <v>45</v>
      </c>
      <c r="K510" s="38" t="s">
        <v>2155</v>
      </c>
      <c r="L510" s="30" t="s">
        <v>47</v>
      </c>
      <c r="M510" s="38" t="s">
        <v>48</v>
      </c>
      <c r="N510" s="38" t="s">
        <v>48</v>
      </c>
      <c r="O510" s="31" t="s">
        <v>219</v>
      </c>
      <c r="P510" s="28" t="s">
        <v>220</v>
      </c>
      <c r="Q510" s="38" t="s">
        <v>221</v>
      </c>
      <c r="R510" s="38">
        <v>1</v>
      </c>
      <c r="S510" s="38" t="s">
        <v>99</v>
      </c>
      <c r="T510" s="38" t="s">
        <v>53</v>
      </c>
      <c r="U510" s="38" t="s">
        <v>54</v>
      </c>
      <c r="V510" s="38" t="s">
        <v>61</v>
      </c>
      <c r="Y510" s="38">
        <v>80.83</v>
      </c>
      <c r="Z510" s="38">
        <v>1</v>
      </c>
      <c r="AK510" s="14" t="e">
        <f t="shared" si="1"/>
        <v>#DIV/0!</v>
      </c>
      <c r="AM510" s="9"/>
      <c r="AN510" s="9"/>
      <c r="AO510" s="28"/>
    </row>
    <row r="511" spans="1:41" ht="12.5" hidden="1">
      <c r="A511" s="28" t="s">
        <v>2156</v>
      </c>
      <c r="B511" s="37">
        <v>45656</v>
      </c>
      <c r="C511" s="29">
        <v>45675</v>
      </c>
      <c r="D511" s="38" t="s">
        <v>41</v>
      </c>
      <c r="E511" s="38" t="s">
        <v>2157</v>
      </c>
      <c r="G511" s="38" t="s">
        <v>43</v>
      </c>
      <c r="H511" s="38">
        <v>13.56</v>
      </c>
      <c r="I511" s="38" t="s">
        <v>44</v>
      </c>
      <c r="J511" s="38" t="s">
        <v>45</v>
      </c>
      <c r="K511" s="38" t="s">
        <v>2158</v>
      </c>
      <c r="L511" s="30" t="s">
        <v>47</v>
      </c>
      <c r="M511" s="38" t="s">
        <v>48</v>
      </c>
      <c r="N511" s="38" t="s">
        <v>48</v>
      </c>
      <c r="O511" s="31" t="s">
        <v>219</v>
      </c>
      <c r="P511" s="28" t="s">
        <v>220</v>
      </c>
      <c r="Q511" s="38" t="s">
        <v>221</v>
      </c>
      <c r="R511" s="38">
        <v>1</v>
      </c>
      <c r="S511" s="38" t="s">
        <v>92</v>
      </c>
      <c r="T511" s="38" t="s">
        <v>53</v>
      </c>
      <c r="U511" s="38" t="s">
        <v>54</v>
      </c>
      <c r="V511" s="38" t="s">
        <v>55</v>
      </c>
      <c r="Y511" s="38">
        <v>82.2</v>
      </c>
      <c r="Z511" s="38">
        <v>1</v>
      </c>
      <c r="AF511" s="38">
        <v>82.2</v>
      </c>
      <c r="AK511" s="14" t="e">
        <f t="shared" si="1"/>
        <v>#DIV/0!</v>
      </c>
      <c r="AM511" s="9"/>
      <c r="AN511" s="9"/>
      <c r="AO511" s="28"/>
    </row>
    <row r="512" spans="1:41" ht="12.5" hidden="1">
      <c r="A512" s="28" t="s">
        <v>2159</v>
      </c>
      <c r="B512" s="37">
        <v>45653</v>
      </c>
      <c r="C512" s="29">
        <v>45678</v>
      </c>
      <c r="D512" s="38" t="s">
        <v>41</v>
      </c>
      <c r="E512" s="38" t="s">
        <v>2160</v>
      </c>
      <c r="G512" s="38" t="s">
        <v>43</v>
      </c>
      <c r="H512" s="38">
        <v>6.27</v>
      </c>
      <c r="I512" s="38" t="s">
        <v>44</v>
      </c>
      <c r="J512" s="38" t="s">
        <v>45</v>
      </c>
      <c r="K512" s="38" t="s">
        <v>2161</v>
      </c>
      <c r="L512" s="30" t="s">
        <v>47</v>
      </c>
      <c r="M512" s="38" t="s">
        <v>48</v>
      </c>
      <c r="N512" s="38" t="s">
        <v>48</v>
      </c>
      <c r="O512" s="31" t="s">
        <v>1803</v>
      </c>
      <c r="P512" s="28" t="s">
        <v>1804</v>
      </c>
      <c r="Q512" s="38" t="s">
        <v>1805</v>
      </c>
      <c r="R512" s="38">
        <v>1</v>
      </c>
      <c r="S512" s="38" t="s">
        <v>421</v>
      </c>
      <c r="T512" s="38" t="s">
        <v>53</v>
      </c>
      <c r="U512" s="38" t="s">
        <v>54</v>
      </c>
      <c r="V512" s="38" t="s">
        <v>61</v>
      </c>
      <c r="Y512" s="38">
        <v>28.67</v>
      </c>
      <c r="Z512" s="38">
        <v>1</v>
      </c>
      <c r="AI512" s="38">
        <v>1</v>
      </c>
      <c r="AJ512" s="38">
        <v>41</v>
      </c>
      <c r="AK512" s="14">
        <f t="shared" ref="AK512:AK766" si="2">AI512/AJ512*1</f>
        <v>2.4390243902439025E-2</v>
      </c>
      <c r="AM512" s="9"/>
      <c r="AN512" s="9"/>
      <c r="AO512" s="28"/>
    </row>
    <row r="513" spans="1:41" ht="12.5" hidden="1">
      <c r="A513" s="28" t="s">
        <v>2162</v>
      </c>
      <c r="B513" s="39">
        <v>45661</v>
      </c>
      <c r="C513" s="29">
        <v>45675</v>
      </c>
      <c r="D513" s="38" t="s">
        <v>41</v>
      </c>
      <c r="E513" s="38" t="s">
        <v>2163</v>
      </c>
      <c r="G513" s="38" t="s">
        <v>43</v>
      </c>
      <c r="H513" s="38">
        <v>13.56</v>
      </c>
      <c r="I513" s="38" t="s">
        <v>44</v>
      </c>
      <c r="J513" s="38" t="s">
        <v>45</v>
      </c>
      <c r="K513" s="38" t="s">
        <v>2164</v>
      </c>
      <c r="L513" s="30" t="s">
        <v>47</v>
      </c>
      <c r="M513" s="38" t="s">
        <v>48</v>
      </c>
      <c r="N513" s="38" t="s">
        <v>48</v>
      </c>
      <c r="O513" s="31" t="s">
        <v>1051</v>
      </c>
      <c r="P513" s="28" t="s">
        <v>1052</v>
      </c>
      <c r="Q513" s="38" t="s">
        <v>1053</v>
      </c>
      <c r="R513" s="38">
        <v>1</v>
      </c>
      <c r="S513" s="38" t="s">
        <v>156</v>
      </c>
      <c r="T513" s="38" t="s">
        <v>53</v>
      </c>
      <c r="U513" s="38" t="s">
        <v>54</v>
      </c>
      <c r="V513" s="38" t="s">
        <v>61</v>
      </c>
      <c r="Y513" s="38">
        <v>81.55</v>
      </c>
      <c r="Z513" s="38">
        <v>1</v>
      </c>
      <c r="AI513" s="38">
        <v>1</v>
      </c>
      <c r="AJ513" s="38">
        <v>1</v>
      </c>
      <c r="AK513" s="14">
        <f t="shared" si="2"/>
        <v>1</v>
      </c>
      <c r="AM513" s="9"/>
      <c r="AN513" s="9"/>
      <c r="AO513" s="28"/>
    </row>
    <row r="514" spans="1:41" ht="12.5" hidden="1">
      <c r="A514" s="28" t="s">
        <v>2165</v>
      </c>
      <c r="B514" s="37">
        <v>45671</v>
      </c>
      <c r="C514" s="29">
        <v>45688</v>
      </c>
      <c r="D514" s="38" t="s">
        <v>41</v>
      </c>
      <c r="E514" s="38" t="s">
        <v>2166</v>
      </c>
      <c r="G514" s="38" t="s">
        <v>43</v>
      </c>
      <c r="H514" s="38">
        <v>4.62</v>
      </c>
      <c r="I514" s="38" t="s">
        <v>44</v>
      </c>
      <c r="J514" s="38" t="s">
        <v>249</v>
      </c>
      <c r="K514" s="38" t="s">
        <v>2167</v>
      </c>
      <c r="L514" s="30" t="s">
        <v>58</v>
      </c>
      <c r="M514" s="38" t="s">
        <v>48</v>
      </c>
      <c r="N514" s="38" t="s">
        <v>48</v>
      </c>
      <c r="O514" s="31" t="s">
        <v>251</v>
      </c>
      <c r="P514" s="28" t="s">
        <v>252</v>
      </c>
      <c r="Q514" s="38" t="s">
        <v>253</v>
      </c>
      <c r="R514" s="38">
        <v>1</v>
      </c>
      <c r="S514" s="38" t="s">
        <v>68</v>
      </c>
      <c r="T514" s="38" t="s">
        <v>53</v>
      </c>
      <c r="U514" s="38" t="s">
        <v>54</v>
      </c>
      <c r="V514" s="38" t="s">
        <v>61</v>
      </c>
      <c r="Y514" s="38">
        <v>126.9</v>
      </c>
      <c r="Z514" s="38">
        <v>1</v>
      </c>
      <c r="AI514" s="38">
        <v>2</v>
      </c>
      <c r="AJ514" s="38">
        <v>6</v>
      </c>
      <c r="AK514" s="14">
        <f t="shared" si="2"/>
        <v>0.33333333333333331</v>
      </c>
      <c r="AM514" s="9"/>
      <c r="AN514" s="9"/>
      <c r="AO514" s="28"/>
    </row>
    <row r="515" spans="1:41" ht="12.5" hidden="1">
      <c r="A515" s="28" t="s">
        <v>2168</v>
      </c>
      <c r="B515" s="39">
        <v>45662</v>
      </c>
      <c r="C515" s="29">
        <v>45675</v>
      </c>
      <c r="D515" s="38" t="s">
        <v>41</v>
      </c>
      <c r="E515" s="38" t="s">
        <v>2169</v>
      </c>
      <c r="G515" s="38" t="s">
        <v>43</v>
      </c>
      <c r="H515" s="38">
        <v>4.43</v>
      </c>
      <c r="I515" s="38" t="s">
        <v>44</v>
      </c>
      <c r="J515" s="38" t="s">
        <v>249</v>
      </c>
      <c r="K515" s="38" t="s">
        <v>2170</v>
      </c>
      <c r="L515" s="30" t="s">
        <v>47</v>
      </c>
      <c r="M515" s="38" t="s">
        <v>48</v>
      </c>
      <c r="N515" s="38" t="s">
        <v>48</v>
      </c>
      <c r="O515" s="31" t="s">
        <v>251</v>
      </c>
      <c r="P515" s="28" t="s">
        <v>252</v>
      </c>
      <c r="Q515" s="38" t="s">
        <v>253</v>
      </c>
      <c r="R515" s="38">
        <v>1</v>
      </c>
      <c r="S515" s="38" t="s">
        <v>52</v>
      </c>
      <c r="T515" s="38" t="s">
        <v>53</v>
      </c>
      <c r="U515" s="38" t="s">
        <v>54</v>
      </c>
      <c r="V515" s="38" t="s">
        <v>55</v>
      </c>
      <c r="Y515" s="38">
        <v>131.54</v>
      </c>
      <c r="Z515" s="38">
        <v>1</v>
      </c>
      <c r="AF515" s="38">
        <v>131.54</v>
      </c>
      <c r="AK515" s="14" t="e">
        <f t="shared" si="2"/>
        <v>#DIV/0!</v>
      </c>
      <c r="AM515" s="9"/>
      <c r="AN515" s="9"/>
      <c r="AO515" s="28"/>
    </row>
    <row r="516" spans="1:41" ht="12.5" hidden="1">
      <c r="A516" s="28" t="s">
        <v>2171</v>
      </c>
      <c r="B516" s="37">
        <v>45657</v>
      </c>
      <c r="C516" s="29">
        <v>45679</v>
      </c>
      <c r="D516" s="38" t="s">
        <v>41</v>
      </c>
      <c r="E516" s="38" t="s">
        <v>2172</v>
      </c>
      <c r="G516" s="38" t="s">
        <v>43</v>
      </c>
      <c r="H516" s="38">
        <v>10.66</v>
      </c>
      <c r="I516" s="38" t="s">
        <v>44</v>
      </c>
      <c r="J516" s="38" t="s">
        <v>45</v>
      </c>
      <c r="K516" s="38" t="s">
        <v>2173</v>
      </c>
      <c r="L516" s="30" t="s">
        <v>58</v>
      </c>
      <c r="M516" s="38" t="s">
        <v>48</v>
      </c>
      <c r="N516" s="38" t="s">
        <v>48</v>
      </c>
      <c r="O516" s="31" t="s">
        <v>1066</v>
      </c>
      <c r="P516" s="28" t="s">
        <v>1067</v>
      </c>
      <c r="Q516" s="38" t="s">
        <v>1068</v>
      </c>
      <c r="R516" s="38">
        <v>1</v>
      </c>
      <c r="S516" s="38" t="s">
        <v>75</v>
      </c>
      <c r="T516" s="38" t="s">
        <v>53</v>
      </c>
      <c r="U516" s="38" t="s">
        <v>54</v>
      </c>
      <c r="V516" s="38" t="s">
        <v>61</v>
      </c>
      <c r="Y516" s="38">
        <v>72.36</v>
      </c>
      <c r="Z516" s="38">
        <v>1</v>
      </c>
      <c r="AI516" s="38">
        <v>1</v>
      </c>
      <c r="AJ516" s="38">
        <v>3</v>
      </c>
      <c r="AK516" s="14">
        <f t="shared" si="2"/>
        <v>0.33333333333333331</v>
      </c>
      <c r="AM516" s="9"/>
      <c r="AN516" s="9"/>
      <c r="AO516" s="28"/>
    </row>
    <row r="517" spans="1:41" ht="12.5" hidden="1">
      <c r="A517" s="28" t="s">
        <v>2174</v>
      </c>
      <c r="B517" s="37">
        <v>45673</v>
      </c>
      <c r="C517" s="29">
        <v>45686</v>
      </c>
      <c r="D517" s="38" t="s">
        <v>41</v>
      </c>
      <c r="G517" s="38" t="s">
        <v>137</v>
      </c>
      <c r="H517" s="38">
        <v>0</v>
      </c>
      <c r="L517" s="30" t="s">
        <v>58</v>
      </c>
      <c r="M517" s="38" t="s">
        <v>48</v>
      </c>
      <c r="N517" s="38" t="s">
        <v>48</v>
      </c>
      <c r="O517" s="31" t="s">
        <v>2175</v>
      </c>
      <c r="P517" s="28" t="s">
        <v>2176</v>
      </c>
      <c r="Q517" s="38" t="s">
        <v>2177</v>
      </c>
      <c r="R517" s="38">
        <v>1</v>
      </c>
      <c r="S517" s="38" t="s">
        <v>68</v>
      </c>
      <c r="T517" s="38" t="s">
        <v>53</v>
      </c>
      <c r="U517" s="38" t="s">
        <v>54</v>
      </c>
      <c r="V517" s="38" t="s">
        <v>141</v>
      </c>
      <c r="Y517" s="38">
        <v>48.38</v>
      </c>
      <c r="Z517" s="38">
        <v>1</v>
      </c>
      <c r="AF517" s="38">
        <v>48.38</v>
      </c>
      <c r="AI517" s="38">
        <v>1</v>
      </c>
      <c r="AJ517" s="38">
        <v>4</v>
      </c>
      <c r="AK517" s="14">
        <f t="shared" si="2"/>
        <v>0.25</v>
      </c>
      <c r="AM517" s="9"/>
      <c r="AN517" s="9"/>
      <c r="AO517" s="28"/>
    </row>
    <row r="518" spans="1:41" ht="12.5" hidden="1">
      <c r="A518" s="28" t="s">
        <v>2178</v>
      </c>
      <c r="B518" s="37">
        <v>45668</v>
      </c>
      <c r="C518" s="29">
        <v>45673</v>
      </c>
      <c r="D518" s="38" t="s">
        <v>41</v>
      </c>
      <c r="E518" s="38" t="s">
        <v>2179</v>
      </c>
      <c r="G518" s="38" t="s">
        <v>43</v>
      </c>
      <c r="H518" s="38">
        <v>7.49</v>
      </c>
      <c r="I518" s="38" t="s">
        <v>44</v>
      </c>
      <c r="J518" s="38" t="s">
        <v>45</v>
      </c>
      <c r="K518" s="38" t="s">
        <v>2180</v>
      </c>
      <c r="L518" s="30" t="s">
        <v>58</v>
      </c>
      <c r="M518" s="38" t="s">
        <v>48</v>
      </c>
      <c r="N518" s="38" t="s">
        <v>48</v>
      </c>
      <c r="O518" s="31" t="s">
        <v>2181</v>
      </c>
      <c r="P518" s="28" t="s">
        <v>2182</v>
      </c>
      <c r="Q518" s="38" t="s">
        <v>2183</v>
      </c>
      <c r="R518" s="38">
        <v>1</v>
      </c>
      <c r="S518" s="38" t="s">
        <v>68</v>
      </c>
      <c r="T518" s="38" t="s">
        <v>53</v>
      </c>
      <c r="U518" s="38" t="s">
        <v>54</v>
      </c>
      <c r="V518" s="38" t="s">
        <v>55</v>
      </c>
      <c r="Y518" s="38">
        <v>82.12</v>
      </c>
      <c r="Z518" s="38">
        <v>2</v>
      </c>
      <c r="AF518" s="38">
        <v>33.57</v>
      </c>
      <c r="AI518" s="38">
        <v>1</v>
      </c>
      <c r="AJ518" s="38">
        <v>0</v>
      </c>
      <c r="AK518" s="14" t="e">
        <f t="shared" si="2"/>
        <v>#DIV/0!</v>
      </c>
      <c r="AM518" s="9"/>
      <c r="AN518" s="9"/>
      <c r="AO518" s="28"/>
    </row>
    <row r="519" spans="1:41" ht="12.5" hidden="1">
      <c r="A519" s="28" t="s">
        <v>2184</v>
      </c>
      <c r="B519" s="39">
        <v>45603</v>
      </c>
      <c r="C519" s="29">
        <v>45674</v>
      </c>
      <c r="D519" s="38" t="s">
        <v>41</v>
      </c>
      <c r="G519" s="38" t="s">
        <v>137</v>
      </c>
      <c r="H519" s="38">
        <v>0</v>
      </c>
      <c r="L519" s="30" t="s">
        <v>47</v>
      </c>
      <c r="M519" s="38" t="s">
        <v>48</v>
      </c>
      <c r="N519" s="38" t="s">
        <v>48</v>
      </c>
      <c r="O519" s="31" t="s">
        <v>277</v>
      </c>
      <c r="P519" s="28" t="s">
        <v>278</v>
      </c>
      <c r="Q519" s="38" t="s">
        <v>279</v>
      </c>
      <c r="R519" s="38">
        <v>1</v>
      </c>
      <c r="S519" s="38" t="s">
        <v>92</v>
      </c>
      <c r="T519" s="38" t="s">
        <v>53</v>
      </c>
      <c r="U519" s="38" t="s">
        <v>54</v>
      </c>
      <c r="V519" s="38" t="s">
        <v>141</v>
      </c>
      <c r="Y519" s="38">
        <v>29.2</v>
      </c>
      <c r="Z519" s="38">
        <v>1</v>
      </c>
      <c r="AF519" s="38">
        <v>29.2</v>
      </c>
      <c r="AI519" s="38">
        <v>1</v>
      </c>
      <c r="AJ519" s="38">
        <v>1</v>
      </c>
      <c r="AK519" s="14">
        <f t="shared" si="2"/>
        <v>1</v>
      </c>
      <c r="AM519" s="9"/>
      <c r="AN519" s="9"/>
      <c r="AO519" s="28"/>
    </row>
    <row r="520" spans="1:41" ht="12.5" hidden="1">
      <c r="A520" s="28" t="s">
        <v>2185</v>
      </c>
      <c r="B520" s="39">
        <v>45666</v>
      </c>
      <c r="C520" s="29">
        <v>45677</v>
      </c>
      <c r="D520" s="38" t="s">
        <v>41</v>
      </c>
      <c r="G520" s="38" t="s">
        <v>137</v>
      </c>
      <c r="H520" s="38">
        <v>0</v>
      </c>
      <c r="L520" s="30" t="s">
        <v>58</v>
      </c>
      <c r="M520" s="38" t="s">
        <v>48</v>
      </c>
      <c r="N520" s="38" t="s">
        <v>48</v>
      </c>
      <c r="O520" s="31" t="s">
        <v>2186</v>
      </c>
      <c r="P520" s="28" t="s">
        <v>2187</v>
      </c>
      <c r="Q520" s="38" t="s">
        <v>2188</v>
      </c>
      <c r="R520" s="38">
        <v>1</v>
      </c>
      <c r="S520" s="38" t="s">
        <v>75</v>
      </c>
      <c r="T520" s="38" t="s">
        <v>53</v>
      </c>
      <c r="U520" s="38" t="s">
        <v>54</v>
      </c>
      <c r="V520" s="38" t="s">
        <v>141</v>
      </c>
      <c r="Y520" s="38">
        <v>75.400000000000006</v>
      </c>
      <c r="Z520" s="38">
        <v>1</v>
      </c>
      <c r="AF520" s="38">
        <v>75.400000000000006</v>
      </c>
      <c r="AI520" s="38">
        <v>1</v>
      </c>
      <c r="AJ520" s="38">
        <v>0</v>
      </c>
      <c r="AK520" s="14" t="e">
        <f t="shared" si="2"/>
        <v>#DIV/0!</v>
      </c>
      <c r="AM520" s="9"/>
      <c r="AN520" s="9"/>
      <c r="AO520" s="28"/>
    </row>
    <row r="521" spans="1:41" ht="12.5" hidden="1">
      <c r="A521" s="28" t="s">
        <v>2189</v>
      </c>
      <c r="B521" s="37">
        <v>45614</v>
      </c>
      <c r="C521" s="29">
        <v>45676</v>
      </c>
      <c r="D521" s="38" t="s">
        <v>41</v>
      </c>
      <c r="G521" s="38" t="s">
        <v>137</v>
      </c>
      <c r="H521" s="38">
        <v>0</v>
      </c>
      <c r="L521" s="30" t="s">
        <v>58</v>
      </c>
      <c r="M521" s="38" t="s">
        <v>48</v>
      </c>
      <c r="N521" s="38" t="s">
        <v>48</v>
      </c>
      <c r="O521" s="31" t="s">
        <v>303</v>
      </c>
      <c r="P521" s="28" t="s">
        <v>304</v>
      </c>
      <c r="Q521" s="38" t="s">
        <v>305</v>
      </c>
      <c r="R521" s="38">
        <v>1</v>
      </c>
      <c r="S521" s="38" t="s">
        <v>75</v>
      </c>
      <c r="T521" s="38" t="s">
        <v>53</v>
      </c>
      <c r="U521" s="38" t="s">
        <v>54</v>
      </c>
      <c r="V521" s="38" t="s">
        <v>141</v>
      </c>
      <c r="Y521" s="38">
        <v>36.74</v>
      </c>
      <c r="Z521" s="38">
        <v>1</v>
      </c>
      <c r="AF521" s="38">
        <v>36.74</v>
      </c>
      <c r="AI521" s="38">
        <v>1</v>
      </c>
      <c r="AJ521" s="38">
        <v>0</v>
      </c>
      <c r="AK521" s="14" t="e">
        <f t="shared" si="2"/>
        <v>#DIV/0!</v>
      </c>
      <c r="AM521" s="9"/>
      <c r="AN521" s="9"/>
      <c r="AO521" s="28"/>
    </row>
    <row r="522" spans="1:41" ht="12.5" hidden="1">
      <c r="A522" s="28" t="s">
        <v>2190</v>
      </c>
      <c r="B522" s="37">
        <v>45668</v>
      </c>
      <c r="C522" s="29">
        <v>45682</v>
      </c>
      <c r="D522" s="38" t="s">
        <v>41</v>
      </c>
      <c r="E522" s="38" t="s">
        <v>2191</v>
      </c>
      <c r="G522" s="38" t="s">
        <v>43</v>
      </c>
      <c r="H522" s="38">
        <v>11.1</v>
      </c>
      <c r="I522" s="38" t="s">
        <v>44</v>
      </c>
      <c r="J522" s="38" t="s">
        <v>45</v>
      </c>
      <c r="K522" s="38" t="s">
        <v>2192</v>
      </c>
      <c r="L522" s="30" t="s">
        <v>58</v>
      </c>
      <c r="M522" s="38" t="s">
        <v>48</v>
      </c>
      <c r="N522" s="38" t="s">
        <v>48</v>
      </c>
      <c r="O522" s="31" t="s">
        <v>2193</v>
      </c>
      <c r="P522" s="28" t="s">
        <v>2194</v>
      </c>
      <c r="Q522" s="38" t="s">
        <v>2195</v>
      </c>
      <c r="R522" s="38">
        <v>1</v>
      </c>
      <c r="S522" s="38" t="s">
        <v>75</v>
      </c>
      <c r="T522" s="38" t="s">
        <v>53</v>
      </c>
      <c r="U522" s="38" t="s">
        <v>54</v>
      </c>
      <c r="V522" s="38" t="s">
        <v>55</v>
      </c>
      <c r="Y522" s="38">
        <v>83.71</v>
      </c>
      <c r="Z522" s="38">
        <v>1</v>
      </c>
      <c r="AF522" s="38">
        <v>72.61</v>
      </c>
      <c r="AI522" s="38">
        <v>2</v>
      </c>
      <c r="AJ522" s="38">
        <v>6</v>
      </c>
      <c r="AK522" s="14">
        <f t="shared" si="2"/>
        <v>0.33333333333333331</v>
      </c>
      <c r="AM522" s="9"/>
      <c r="AN522" s="9"/>
      <c r="AO522" s="28"/>
    </row>
    <row r="523" spans="1:41" ht="12.5" hidden="1">
      <c r="A523" s="28" t="s">
        <v>2196</v>
      </c>
      <c r="B523" s="39">
        <v>45663</v>
      </c>
      <c r="C523" s="29">
        <v>45675</v>
      </c>
      <c r="D523" s="38" t="s">
        <v>41</v>
      </c>
      <c r="E523" s="38" t="s">
        <v>2197</v>
      </c>
      <c r="G523" s="38" t="s">
        <v>43</v>
      </c>
      <c r="H523" s="38">
        <v>11.1</v>
      </c>
      <c r="I523" s="38" t="s">
        <v>44</v>
      </c>
      <c r="J523" s="38" t="s">
        <v>45</v>
      </c>
      <c r="K523" s="38" t="s">
        <v>2198</v>
      </c>
      <c r="L523" s="30" t="s">
        <v>58</v>
      </c>
      <c r="M523" s="38" t="s">
        <v>48</v>
      </c>
      <c r="N523" s="38" t="s">
        <v>48</v>
      </c>
      <c r="O523" s="31" t="s">
        <v>2193</v>
      </c>
      <c r="P523" s="28" t="s">
        <v>2194</v>
      </c>
      <c r="Q523" s="38" t="s">
        <v>2195</v>
      </c>
      <c r="R523" s="38">
        <v>1</v>
      </c>
      <c r="S523" s="38" t="s">
        <v>75</v>
      </c>
      <c r="T523" s="38" t="s">
        <v>53</v>
      </c>
      <c r="U523" s="38" t="s">
        <v>54</v>
      </c>
      <c r="V523" s="38" t="s">
        <v>55</v>
      </c>
      <c r="Y523" s="38">
        <v>83.34</v>
      </c>
      <c r="Z523" s="38">
        <v>1</v>
      </c>
      <c r="AF523" s="38">
        <v>72.239999999999995</v>
      </c>
      <c r="AK523" s="14" t="e">
        <f t="shared" si="2"/>
        <v>#DIV/0!</v>
      </c>
      <c r="AM523" s="9"/>
      <c r="AN523" s="9"/>
      <c r="AO523" s="28"/>
    </row>
    <row r="524" spans="1:41" ht="12.5" hidden="1">
      <c r="A524" s="28" t="s">
        <v>2199</v>
      </c>
      <c r="B524" s="37">
        <v>45672</v>
      </c>
      <c r="C524" s="29">
        <v>45682</v>
      </c>
      <c r="D524" s="38" t="s">
        <v>41</v>
      </c>
      <c r="E524" s="38" t="s">
        <v>2200</v>
      </c>
      <c r="G524" s="38" t="s">
        <v>43</v>
      </c>
      <c r="H524" s="38">
        <v>10.66</v>
      </c>
      <c r="I524" s="38" t="s">
        <v>44</v>
      </c>
      <c r="J524" s="38" t="s">
        <v>45</v>
      </c>
      <c r="K524" s="38" t="s">
        <v>2201</v>
      </c>
      <c r="L524" s="30" t="s">
        <v>47</v>
      </c>
      <c r="M524" s="38" t="s">
        <v>48</v>
      </c>
      <c r="N524" s="38" t="s">
        <v>48</v>
      </c>
      <c r="O524" s="31" t="s">
        <v>1840</v>
      </c>
      <c r="P524" s="28" t="s">
        <v>1841</v>
      </c>
      <c r="Q524" s="38" t="s">
        <v>1842</v>
      </c>
      <c r="R524" s="38">
        <v>1</v>
      </c>
      <c r="S524" s="38" t="s">
        <v>92</v>
      </c>
      <c r="T524" s="38" t="s">
        <v>53</v>
      </c>
      <c r="U524" s="38" t="s">
        <v>54</v>
      </c>
      <c r="V524" s="38" t="s">
        <v>55</v>
      </c>
      <c r="Y524" s="38">
        <v>102.29</v>
      </c>
      <c r="Z524" s="38">
        <v>1</v>
      </c>
      <c r="AF524" s="38">
        <v>102.29</v>
      </c>
      <c r="AI524" s="38">
        <v>1</v>
      </c>
      <c r="AJ524" s="38">
        <v>2</v>
      </c>
      <c r="AK524" s="14">
        <f t="shared" si="2"/>
        <v>0.5</v>
      </c>
      <c r="AM524" s="9"/>
      <c r="AN524" s="9"/>
      <c r="AO524" s="28"/>
    </row>
    <row r="525" spans="1:41" ht="12.5" hidden="1">
      <c r="A525" s="28" t="s">
        <v>2202</v>
      </c>
      <c r="B525" s="37">
        <v>45648</v>
      </c>
      <c r="C525" s="29">
        <v>45674</v>
      </c>
      <c r="D525" s="38" t="s">
        <v>41</v>
      </c>
      <c r="E525" s="38" t="s">
        <v>2203</v>
      </c>
      <c r="G525" s="38" t="s">
        <v>43</v>
      </c>
      <c r="H525" s="38">
        <v>10.66</v>
      </c>
      <c r="I525" s="38" t="s">
        <v>44</v>
      </c>
      <c r="J525" s="38" t="s">
        <v>45</v>
      </c>
      <c r="K525" s="38" t="s">
        <v>2204</v>
      </c>
      <c r="L525" s="30" t="s">
        <v>58</v>
      </c>
      <c r="M525" s="38" t="s">
        <v>48</v>
      </c>
      <c r="N525" s="38" t="s">
        <v>48</v>
      </c>
      <c r="O525" s="31" t="s">
        <v>325</v>
      </c>
      <c r="P525" s="28" t="s">
        <v>326</v>
      </c>
      <c r="Q525" s="38" t="s">
        <v>327</v>
      </c>
      <c r="R525" s="38">
        <v>1</v>
      </c>
      <c r="S525" s="38" t="s">
        <v>68</v>
      </c>
      <c r="T525" s="38" t="s">
        <v>53</v>
      </c>
      <c r="U525" s="38" t="s">
        <v>54</v>
      </c>
      <c r="V525" s="38" t="s">
        <v>61</v>
      </c>
      <c r="Y525" s="38">
        <v>93.75</v>
      </c>
      <c r="Z525" s="38">
        <v>1</v>
      </c>
      <c r="AI525" s="38">
        <v>2</v>
      </c>
      <c r="AJ525" s="38">
        <v>1</v>
      </c>
      <c r="AK525" s="14">
        <f t="shared" si="2"/>
        <v>2</v>
      </c>
      <c r="AM525" s="9"/>
      <c r="AN525" s="9"/>
      <c r="AO525" s="28"/>
    </row>
    <row r="526" spans="1:41" ht="12.5" hidden="1">
      <c r="A526" s="28" t="s">
        <v>2205</v>
      </c>
      <c r="B526" s="37">
        <v>45654</v>
      </c>
      <c r="C526" s="29">
        <v>45673</v>
      </c>
      <c r="D526" s="38" t="s">
        <v>41</v>
      </c>
      <c r="E526" s="38" t="s">
        <v>2206</v>
      </c>
      <c r="G526" s="38" t="s">
        <v>43</v>
      </c>
      <c r="H526" s="38">
        <v>10.66</v>
      </c>
      <c r="I526" s="38" t="s">
        <v>44</v>
      </c>
      <c r="J526" s="38" t="s">
        <v>45</v>
      </c>
      <c r="K526" s="38" t="s">
        <v>2207</v>
      </c>
      <c r="L526" s="30" t="s">
        <v>47</v>
      </c>
      <c r="M526" s="38" t="s">
        <v>48</v>
      </c>
      <c r="N526" s="38" t="s">
        <v>48</v>
      </c>
      <c r="O526" s="31" t="s">
        <v>325</v>
      </c>
      <c r="P526" s="28" t="s">
        <v>326</v>
      </c>
      <c r="Q526" s="38" t="s">
        <v>327</v>
      </c>
      <c r="R526" s="38">
        <v>1</v>
      </c>
      <c r="S526" s="38" t="s">
        <v>52</v>
      </c>
      <c r="T526" s="38" t="s">
        <v>53</v>
      </c>
      <c r="U526" s="38" t="s">
        <v>54</v>
      </c>
      <c r="V526" s="38" t="s">
        <v>55</v>
      </c>
      <c r="Y526" s="38">
        <v>93.75</v>
      </c>
      <c r="Z526" s="38">
        <v>1</v>
      </c>
      <c r="AF526" s="38">
        <v>93.75</v>
      </c>
      <c r="AK526" s="14" t="e">
        <f t="shared" si="2"/>
        <v>#DIV/0!</v>
      </c>
      <c r="AM526" s="9"/>
      <c r="AN526" s="9"/>
      <c r="AO526" s="28"/>
    </row>
    <row r="527" spans="1:41" ht="12.5" hidden="1">
      <c r="A527" s="28" t="s">
        <v>2208</v>
      </c>
      <c r="B527" s="37">
        <v>45676</v>
      </c>
      <c r="C527" s="29">
        <v>45681</v>
      </c>
      <c r="D527" s="38" t="s">
        <v>41</v>
      </c>
      <c r="E527" s="38" t="s">
        <v>2209</v>
      </c>
      <c r="G527" s="38" t="s">
        <v>43</v>
      </c>
      <c r="H527" s="38">
        <v>10.66</v>
      </c>
      <c r="I527" s="38" t="s">
        <v>44</v>
      </c>
      <c r="J527" s="38" t="s">
        <v>45</v>
      </c>
      <c r="K527" s="38" t="s">
        <v>2210</v>
      </c>
      <c r="L527" s="30" t="s">
        <v>47</v>
      </c>
      <c r="M527" s="38" t="s">
        <v>48</v>
      </c>
      <c r="N527" s="38" t="s">
        <v>48</v>
      </c>
      <c r="O527" s="31" t="s">
        <v>331</v>
      </c>
      <c r="P527" s="28" t="s">
        <v>332</v>
      </c>
      <c r="Q527" s="38" t="s">
        <v>333</v>
      </c>
      <c r="R527" s="38">
        <v>1</v>
      </c>
      <c r="S527" s="38" t="s">
        <v>92</v>
      </c>
      <c r="T527" s="38" t="s">
        <v>53</v>
      </c>
      <c r="U527" s="38" t="s">
        <v>54</v>
      </c>
      <c r="V527" s="38" t="s">
        <v>55</v>
      </c>
      <c r="Y527" s="38">
        <v>82.05</v>
      </c>
      <c r="Z527" s="38">
        <v>1</v>
      </c>
      <c r="AF527" s="38">
        <v>82.05</v>
      </c>
      <c r="AI527" s="38">
        <v>2</v>
      </c>
      <c r="AJ527" s="38">
        <v>2</v>
      </c>
      <c r="AK527" s="14">
        <f t="shared" si="2"/>
        <v>1</v>
      </c>
      <c r="AM527" s="9"/>
      <c r="AN527" s="9"/>
      <c r="AO527" s="28"/>
    </row>
    <row r="528" spans="1:41" ht="12.5" hidden="1">
      <c r="A528" s="28" t="s">
        <v>2211</v>
      </c>
      <c r="B528" s="37">
        <v>45671</v>
      </c>
      <c r="C528" s="29">
        <v>45675</v>
      </c>
      <c r="D528" s="38" t="s">
        <v>41</v>
      </c>
      <c r="E528" s="38" t="s">
        <v>2212</v>
      </c>
      <c r="G528" s="38" t="s">
        <v>43</v>
      </c>
      <c r="H528" s="38">
        <v>10.66</v>
      </c>
      <c r="I528" s="38" t="s">
        <v>44</v>
      </c>
      <c r="J528" s="38" t="s">
        <v>45</v>
      </c>
      <c r="K528" s="38" t="s">
        <v>2213</v>
      </c>
      <c r="L528" s="30" t="s">
        <v>58</v>
      </c>
      <c r="M528" s="38" t="s">
        <v>48</v>
      </c>
      <c r="N528" s="38" t="s">
        <v>48</v>
      </c>
      <c r="O528" s="31" t="s">
        <v>331</v>
      </c>
      <c r="P528" s="28" t="s">
        <v>332</v>
      </c>
      <c r="Q528" s="38" t="s">
        <v>333</v>
      </c>
      <c r="R528" s="38">
        <v>1</v>
      </c>
      <c r="S528" s="38" t="s">
        <v>68</v>
      </c>
      <c r="T528" s="38" t="s">
        <v>53</v>
      </c>
      <c r="U528" s="38" t="s">
        <v>54</v>
      </c>
      <c r="V528" s="38" t="s">
        <v>61</v>
      </c>
      <c r="Y528" s="38">
        <v>79.849999999999994</v>
      </c>
      <c r="Z528" s="38">
        <v>1</v>
      </c>
      <c r="AK528" s="14" t="e">
        <f t="shared" si="2"/>
        <v>#DIV/0!</v>
      </c>
      <c r="AM528" s="9"/>
      <c r="AN528" s="9"/>
      <c r="AO528" s="28"/>
    </row>
    <row r="529" spans="1:41" ht="12.5" hidden="1">
      <c r="A529" s="28" t="s">
        <v>2214</v>
      </c>
      <c r="B529" s="37">
        <v>45670</v>
      </c>
      <c r="C529" s="29">
        <v>45688</v>
      </c>
      <c r="D529" s="38" t="s">
        <v>41</v>
      </c>
      <c r="E529" s="38" t="s">
        <v>2215</v>
      </c>
      <c r="G529" s="38" t="s">
        <v>43</v>
      </c>
      <c r="H529" s="38">
        <v>10.38</v>
      </c>
      <c r="I529" s="38" t="s">
        <v>44</v>
      </c>
      <c r="J529" s="38" t="s">
        <v>45</v>
      </c>
      <c r="K529" s="38" t="s">
        <v>2216</v>
      </c>
      <c r="L529" s="30" t="s">
        <v>58</v>
      </c>
      <c r="M529" s="38" t="s">
        <v>48</v>
      </c>
      <c r="N529" s="38" t="s">
        <v>48</v>
      </c>
      <c r="O529" s="31" t="s">
        <v>337</v>
      </c>
      <c r="P529" s="28" t="s">
        <v>338</v>
      </c>
      <c r="Q529" s="38" t="s">
        <v>1846</v>
      </c>
      <c r="R529" s="38">
        <v>1</v>
      </c>
      <c r="S529" s="38" t="s">
        <v>68</v>
      </c>
      <c r="T529" s="38" t="s">
        <v>53</v>
      </c>
      <c r="U529" s="38" t="s">
        <v>54</v>
      </c>
      <c r="V529" s="38" t="s">
        <v>61</v>
      </c>
      <c r="Y529" s="38">
        <v>73.31</v>
      </c>
      <c r="Z529" s="38">
        <v>1</v>
      </c>
      <c r="AI529" s="38">
        <v>3</v>
      </c>
      <c r="AJ529" s="38">
        <v>6</v>
      </c>
      <c r="AK529" s="14">
        <f t="shared" si="2"/>
        <v>0.5</v>
      </c>
      <c r="AM529" s="9"/>
      <c r="AN529" s="9"/>
      <c r="AO529" s="28"/>
    </row>
    <row r="530" spans="1:41" ht="12.5" hidden="1">
      <c r="A530" s="28" t="s">
        <v>2217</v>
      </c>
      <c r="B530" s="37">
        <v>45676</v>
      </c>
      <c r="C530" s="29">
        <v>45680</v>
      </c>
      <c r="D530" s="38" t="s">
        <v>41</v>
      </c>
      <c r="E530" s="38" t="s">
        <v>2218</v>
      </c>
      <c r="G530" s="38" t="s">
        <v>43</v>
      </c>
      <c r="H530" s="38">
        <v>10.38</v>
      </c>
      <c r="I530" s="38" t="s">
        <v>44</v>
      </c>
      <c r="J530" s="38" t="s">
        <v>45</v>
      </c>
      <c r="K530" s="38" t="s">
        <v>2219</v>
      </c>
      <c r="L530" s="30" t="s">
        <v>47</v>
      </c>
      <c r="M530" s="38" t="s">
        <v>48</v>
      </c>
      <c r="N530" s="38" t="s">
        <v>48</v>
      </c>
      <c r="O530" s="31" t="s">
        <v>337</v>
      </c>
      <c r="P530" s="28" t="s">
        <v>338</v>
      </c>
      <c r="Q530" s="38" t="s">
        <v>1846</v>
      </c>
      <c r="R530" s="38">
        <v>1</v>
      </c>
      <c r="S530" s="38" t="s">
        <v>92</v>
      </c>
      <c r="T530" s="38" t="s">
        <v>53</v>
      </c>
      <c r="U530" s="38" t="s">
        <v>54</v>
      </c>
      <c r="V530" s="38" t="s">
        <v>55</v>
      </c>
      <c r="Y530" s="38">
        <v>71.239999999999995</v>
      </c>
      <c r="Z530" s="38">
        <v>1</v>
      </c>
      <c r="AF530" s="38">
        <v>71.239999999999995</v>
      </c>
      <c r="AK530" s="14" t="e">
        <f t="shared" si="2"/>
        <v>#DIV/0!</v>
      </c>
      <c r="AM530" s="9"/>
      <c r="AN530" s="9"/>
      <c r="AO530" s="28"/>
    </row>
    <row r="531" spans="1:41" ht="12.5" hidden="1">
      <c r="A531" s="28" t="s">
        <v>2220</v>
      </c>
      <c r="B531" s="39">
        <v>45661</v>
      </c>
      <c r="C531" s="29">
        <v>45678</v>
      </c>
      <c r="D531" s="38" t="s">
        <v>41</v>
      </c>
      <c r="E531" s="38" t="s">
        <v>2221</v>
      </c>
      <c r="G531" s="38" t="s">
        <v>43</v>
      </c>
      <c r="H531" s="38">
        <v>10.38</v>
      </c>
      <c r="I531" s="38" t="s">
        <v>44</v>
      </c>
      <c r="J531" s="38" t="s">
        <v>45</v>
      </c>
      <c r="K531" s="38" t="s">
        <v>2222</v>
      </c>
      <c r="L531" s="30" t="s">
        <v>47</v>
      </c>
      <c r="M531" s="38" t="s">
        <v>48</v>
      </c>
      <c r="N531" s="38" t="s">
        <v>48</v>
      </c>
      <c r="O531" s="31" t="s">
        <v>337</v>
      </c>
      <c r="P531" s="28" t="s">
        <v>338</v>
      </c>
      <c r="Q531" s="38" t="s">
        <v>1846</v>
      </c>
      <c r="R531" s="38">
        <v>1</v>
      </c>
      <c r="S531" s="38" t="s">
        <v>92</v>
      </c>
      <c r="T531" s="38" t="s">
        <v>53</v>
      </c>
      <c r="U531" s="38" t="s">
        <v>54</v>
      </c>
      <c r="V531" s="38" t="s">
        <v>61</v>
      </c>
      <c r="Y531" s="38">
        <v>71.64</v>
      </c>
      <c r="Z531" s="38">
        <v>1</v>
      </c>
      <c r="AK531" s="14" t="e">
        <f t="shared" si="2"/>
        <v>#DIV/0!</v>
      </c>
      <c r="AM531" s="9"/>
      <c r="AN531" s="9"/>
      <c r="AO531" s="28"/>
    </row>
    <row r="532" spans="1:41" ht="12.5" hidden="1">
      <c r="A532" s="28" t="s">
        <v>2223</v>
      </c>
      <c r="B532" s="39">
        <v>45661</v>
      </c>
      <c r="C532" s="29">
        <v>45676</v>
      </c>
      <c r="D532" s="38" t="s">
        <v>41</v>
      </c>
      <c r="E532" s="38" t="s">
        <v>2224</v>
      </c>
      <c r="G532" s="38" t="s">
        <v>43</v>
      </c>
      <c r="H532" s="38">
        <v>10.66</v>
      </c>
      <c r="I532" s="38" t="s">
        <v>44</v>
      </c>
      <c r="J532" s="38" t="s">
        <v>45</v>
      </c>
      <c r="K532" s="38" t="s">
        <v>2225</v>
      </c>
      <c r="L532" s="30" t="s">
        <v>58</v>
      </c>
      <c r="M532" s="38" t="s">
        <v>48</v>
      </c>
      <c r="N532" s="38" t="s">
        <v>48</v>
      </c>
      <c r="O532" s="31" t="s">
        <v>396</v>
      </c>
      <c r="P532" s="28" t="s">
        <v>397</v>
      </c>
      <c r="Q532" s="38" t="s">
        <v>402</v>
      </c>
      <c r="R532" s="38">
        <v>1</v>
      </c>
      <c r="S532" s="38" t="s">
        <v>75</v>
      </c>
      <c r="T532" s="38" t="s">
        <v>53</v>
      </c>
      <c r="U532" s="38" t="s">
        <v>54</v>
      </c>
      <c r="V532" s="38" t="s">
        <v>61</v>
      </c>
      <c r="Y532" s="38">
        <v>63.53</v>
      </c>
      <c r="Z532" s="38">
        <v>1</v>
      </c>
      <c r="AI532" s="38">
        <v>1</v>
      </c>
      <c r="AJ532" s="38">
        <v>1</v>
      </c>
      <c r="AK532" s="14">
        <f t="shared" si="2"/>
        <v>1</v>
      </c>
      <c r="AM532" s="9"/>
      <c r="AN532" s="9"/>
      <c r="AO532" s="28"/>
    </row>
    <row r="533" spans="1:41" ht="12.5" hidden="1">
      <c r="A533" s="28" t="s">
        <v>1194</v>
      </c>
      <c r="B533" s="37">
        <v>45623</v>
      </c>
      <c r="C533" s="29">
        <v>45678</v>
      </c>
      <c r="D533" s="38" t="s">
        <v>41</v>
      </c>
      <c r="E533" s="38" t="s">
        <v>2226</v>
      </c>
      <c r="G533" s="38" t="s">
        <v>137</v>
      </c>
      <c r="H533" s="38">
        <v>0</v>
      </c>
      <c r="L533" s="30" t="s">
        <v>47</v>
      </c>
      <c r="M533" s="38" t="s">
        <v>48</v>
      </c>
      <c r="N533" s="38" t="s">
        <v>48</v>
      </c>
      <c r="O533" s="31" t="s">
        <v>1196</v>
      </c>
      <c r="P533" s="28" t="s">
        <v>1197</v>
      </c>
      <c r="Q533" s="38" t="s">
        <v>1198</v>
      </c>
      <c r="R533" s="38">
        <v>1</v>
      </c>
      <c r="S533" s="38" t="s">
        <v>52</v>
      </c>
      <c r="T533" s="38" t="s">
        <v>53</v>
      </c>
      <c r="U533" s="38" t="s">
        <v>54</v>
      </c>
      <c r="V533" s="38" t="s">
        <v>61</v>
      </c>
      <c r="Y533" s="38">
        <v>148.9</v>
      </c>
      <c r="Z533" s="38">
        <v>1</v>
      </c>
      <c r="AF533" s="38">
        <v>108.95</v>
      </c>
      <c r="AI533" s="38">
        <v>1</v>
      </c>
      <c r="AJ533" s="38">
        <v>0</v>
      </c>
      <c r="AK533" s="14" t="e">
        <f t="shared" si="2"/>
        <v>#DIV/0!</v>
      </c>
      <c r="AM533" s="9"/>
      <c r="AN533" s="9"/>
      <c r="AO533" s="28"/>
    </row>
    <row r="534" spans="1:41" ht="12.5" hidden="1">
      <c r="A534" s="28" t="s">
        <v>2227</v>
      </c>
      <c r="B534" s="39">
        <v>45661</v>
      </c>
      <c r="C534" s="29">
        <v>45677</v>
      </c>
      <c r="D534" s="38" t="s">
        <v>41</v>
      </c>
      <c r="E534" s="38" t="s">
        <v>2228</v>
      </c>
      <c r="G534" s="38" t="s">
        <v>43</v>
      </c>
      <c r="H534" s="38">
        <v>7.08</v>
      </c>
      <c r="I534" s="38" t="s">
        <v>44</v>
      </c>
      <c r="J534" s="38" t="s">
        <v>45</v>
      </c>
      <c r="K534" s="38" t="s">
        <v>2229</v>
      </c>
      <c r="L534" s="30" t="s">
        <v>47</v>
      </c>
      <c r="M534" s="38" t="s">
        <v>48</v>
      </c>
      <c r="N534" s="38" t="s">
        <v>48</v>
      </c>
      <c r="O534" s="31" t="s">
        <v>2230</v>
      </c>
      <c r="P534" s="28" t="s">
        <v>2231</v>
      </c>
      <c r="Q534" s="38" t="s">
        <v>2232</v>
      </c>
      <c r="R534" s="38">
        <v>1</v>
      </c>
      <c r="S534" s="38" t="s">
        <v>99</v>
      </c>
      <c r="T534" s="38" t="s">
        <v>53</v>
      </c>
      <c r="U534" s="38" t="s">
        <v>54</v>
      </c>
      <c r="V534" s="38" t="s">
        <v>55</v>
      </c>
      <c r="Y534" s="38">
        <v>84.87</v>
      </c>
      <c r="Z534" s="38">
        <v>1</v>
      </c>
      <c r="AF534" s="38">
        <v>84.87</v>
      </c>
      <c r="AI534" s="38">
        <v>1</v>
      </c>
      <c r="AJ534" s="38">
        <v>0</v>
      </c>
      <c r="AK534" s="14" t="e">
        <f t="shared" si="2"/>
        <v>#DIV/0!</v>
      </c>
      <c r="AM534" s="9"/>
      <c r="AN534" s="9"/>
      <c r="AO534" s="28"/>
    </row>
    <row r="535" spans="1:41" ht="12.5" hidden="1">
      <c r="A535" s="28" t="s">
        <v>2233</v>
      </c>
      <c r="B535" s="37">
        <v>45672</v>
      </c>
      <c r="C535" s="29">
        <v>45675</v>
      </c>
      <c r="D535" s="38" t="s">
        <v>41</v>
      </c>
      <c r="E535" s="38" t="s">
        <v>2234</v>
      </c>
      <c r="G535" s="38" t="s">
        <v>43</v>
      </c>
      <c r="H535" s="38">
        <v>12.64</v>
      </c>
      <c r="I535" s="38" t="s">
        <v>44</v>
      </c>
      <c r="J535" s="38" t="s">
        <v>45</v>
      </c>
      <c r="K535" s="38" t="s">
        <v>2235</v>
      </c>
      <c r="L535" s="30" t="s">
        <v>47</v>
      </c>
      <c r="M535" s="38" t="s">
        <v>48</v>
      </c>
      <c r="N535" s="38" t="s">
        <v>48</v>
      </c>
      <c r="O535" s="31" t="s">
        <v>2236</v>
      </c>
      <c r="P535" s="28" t="s">
        <v>2237</v>
      </c>
      <c r="Q535" s="38" t="s">
        <v>2238</v>
      </c>
      <c r="R535" s="38">
        <v>1</v>
      </c>
      <c r="S535" s="38" t="s">
        <v>82</v>
      </c>
      <c r="T535" s="38" t="s">
        <v>53</v>
      </c>
      <c r="U535" s="38" t="s">
        <v>54</v>
      </c>
      <c r="V535" s="38" t="s">
        <v>61</v>
      </c>
      <c r="Y535" s="38">
        <v>84.13</v>
      </c>
      <c r="Z535" s="38">
        <v>1</v>
      </c>
      <c r="AI535" s="38">
        <v>1</v>
      </c>
      <c r="AJ535" s="38">
        <v>4</v>
      </c>
      <c r="AK535" s="14">
        <f t="shared" si="2"/>
        <v>0.25</v>
      </c>
      <c r="AM535" s="9"/>
      <c r="AN535" s="9"/>
      <c r="AO535" s="28"/>
    </row>
    <row r="536" spans="1:41" ht="12.5" hidden="1">
      <c r="A536" s="28" t="s">
        <v>2239</v>
      </c>
      <c r="B536" s="39">
        <v>45661</v>
      </c>
      <c r="C536" s="29">
        <v>45673</v>
      </c>
      <c r="D536" s="38" t="s">
        <v>41</v>
      </c>
      <c r="E536" s="38" t="s">
        <v>2240</v>
      </c>
      <c r="G536" s="38" t="s">
        <v>43</v>
      </c>
      <c r="H536" s="38">
        <v>17.45</v>
      </c>
      <c r="I536" s="38" t="s">
        <v>44</v>
      </c>
      <c r="J536" s="38" t="s">
        <v>45</v>
      </c>
      <c r="K536" s="38" t="s">
        <v>2241</v>
      </c>
      <c r="L536" s="30" t="s">
        <v>47</v>
      </c>
      <c r="M536" s="38" t="s">
        <v>48</v>
      </c>
      <c r="N536" s="38" t="s">
        <v>48</v>
      </c>
      <c r="O536" s="31" t="s">
        <v>431</v>
      </c>
      <c r="P536" s="28" t="s">
        <v>432</v>
      </c>
      <c r="Q536" s="38" t="s">
        <v>2242</v>
      </c>
      <c r="R536" s="38">
        <v>1</v>
      </c>
      <c r="S536" s="38" t="s">
        <v>52</v>
      </c>
      <c r="T536" s="38" t="s">
        <v>53</v>
      </c>
      <c r="U536" s="38" t="s">
        <v>54</v>
      </c>
      <c r="V536" s="38" t="s">
        <v>61</v>
      </c>
      <c r="Y536" s="38">
        <v>124.42</v>
      </c>
      <c r="Z536" s="38">
        <v>1</v>
      </c>
      <c r="AI536" s="38">
        <v>1</v>
      </c>
      <c r="AJ536" s="38">
        <v>1</v>
      </c>
      <c r="AK536" s="14">
        <f t="shared" si="2"/>
        <v>1</v>
      </c>
      <c r="AM536" s="9"/>
      <c r="AN536" s="9"/>
      <c r="AO536" s="28"/>
    </row>
    <row r="537" spans="1:41" ht="12.5" hidden="1">
      <c r="A537" s="28" t="s">
        <v>2243</v>
      </c>
      <c r="B537" s="39">
        <v>45661</v>
      </c>
      <c r="C537" s="29">
        <v>45686</v>
      </c>
      <c r="D537" s="38" t="s">
        <v>41</v>
      </c>
      <c r="E537" s="38" t="s">
        <v>2244</v>
      </c>
      <c r="G537" s="38" t="s">
        <v>43</v>
      </c>
      <c r="H537" s="38">
        <v>17.45</v>
      </c>
      <c r="I537" s="38" t="s">
        <v>44</v>
      </c>
      <c r="J537" s="38" t="s">
        <v>45</v>
      </c>
      <c r="K537" s="38" t="s">
        <v>2245</v>
      </c>
      <c r="L537" s="30" t="s">
        <v>58</v>
      </c>
      <c r="M537" s="38" t="s">
        <v>48</v>
      </c>
      <c r="N537" s="38" t="s">
        <v>48</v>
      </c>
      <c r="O537" s="31" t="s">
        <v>437</v>
      </c>
      <c r="P537" s="28" t="s">
        <v>438</v>
      </c>
      <c r="Q537" s="38" t="s">
        <v>2246</v>
      </c>
      <c r="R537" s="38">
        <v>1</v>
      </c>
      <c r="S537" s="38" t="s">
        <v>59</v>
      </c>
      <c r="T537" s="38" t="s">
        <v>53</v>
      </c>
      <c r="U537" s="38" t="s">
        <v>60</v>
      </c>
      <c r="V537" s="38" t="s">
        <v>55</v>
      </c>
      <c r="Y537" s="38">
        <v>122.98</v>
      </c>
      <c r="Z537" s="38">
        <v>1</v>
      </c>
      <c r="AF537" s="38">
        <v>105.53</v>
      </c>
      <c r="AI537" s="38">
        <v>3</v>
      </c>
      <c r="AJ537" s="38">
        <v>3</v>
      </c>
      <c r="AK537" s="14">
        <f t="shared" si="2"/>
        <v>1</v>
      </c>
      <c r="AM537" s="9"/>
      <c r="AN537" s="9"/>
      <c r="AO537" s="28"/>
    </row>
    <row r="538" spans="1:41" ht="12.5" hidden="1">
      <c r="A538" s="28" t="s">
        <v>2247</v>
      </c>
      <c r="B538" s="37">
        <v>45674</v>
      </c>
      <c r="C538" s="29">
        <v>45685</v>
      </c>
      <c r="D538" s="38" t="s">
        <v>41</v>
      </c>
      <c r="E538" s="38" t="s">
        <v>2248</v>
      </c>
      <c r="G538" s="38" t="s">
        <v>43</v>
      </c>
      <c r="H538" s="38">
        <v>17.45</v>
      </c>
      <c r="I538" s="38" t="s">
        <v>44</v>
      </c>
      <c r="J538" s="38" t="s">
        <v>45</v>
      </c>
      <c r="K538" s="38" t="s">
        <v>2249</v>
      </c>
      <c r="L538" s="30" t="s">
        <v>58</v>
      </c>
      <c r="M538" s="38" t="s">
        <v>48</v>
      </c>
      <c r="N538" s="38" t="s">
        <v>48</v>
      </c>
      <c r="O538" s="31" t="s">
        <v>437</v>
      </c>
      <c r="P538" s="28" t="s">
        <v>438</v>
      </c>
      <c r="Q538" s="38" t="s">
        <v>2246</v>
      </c>
      <c r="R538" s="38">
        <v>1</v>
      </c>
      <c r="S538" s="38" t="s">
        <v>68</v>
      </c>
      <c r="T538" s="38" t="s">
        <v>53</v>
      </c>
      <c r="U538" s="38" t="s">
        <v>54</v>
      </c>
      <c r="V538" s="38" t="s">
        <v>61</v>
      </c>
      <c r="Y538" s="38">
        <v>123</v>
      </c>
      <c r="Z538" s="38">
        <v>1</v>
      </c>
      <c r="AK538" s="14" t="e">
        <f t="shared" si="2"/>
        <v>#DIV/0!</v>
      </c>
      <c r="AM538" s="9"/>
      <c r="AN538" s="9"/>
      <c r="AO538" s="28"/>
    </row>
    <row r="539" spans="1:41" ht="12.5" hidden="1">
      <c r="A539" s="28" t="s">
        <v>2250</v>
      </c>
      <c r="B539" s="37">
        <v>45668</v>
      </c>
      <c r="C539" s="29">
        <v>45673</v>
      </c>
      <c r="D539" s="38" t="s">
        <v>41</v>
      </c>
      <c r="E539" s="38" t="s">
        <v>2251</v>
      </c>
      <c r="G539" s="38" t="s">
        <v>43</v>
      </c>
      <c r="H539" s="38">
        <v>17.45</v>
      </c>
      <c r="I539" s="38" t="s">
        <v>44</v>
      </c>
      <c r="J539" s="38" t="s">
        <v>45</v>
      </c>
      <c r="K539" s="38" t="s">
        <v>2252</v>
      </c>
      <c r="L539" s="30" t="s">
        <v>47</v>
      </c>
      <c r="M539" s="38" t="s">
        <v>48</v>
      </c>
      <c r="N539" s="38" t="s">
        <v>48</v>
      </c>
      <c r="O539" s="31" t="s">
        <v>437</v>
      </c>
      <c r="P539" s="28" t="s">
        <v>438</v>
      </c>
      <c r="Q539" s="38" t="s">
        <v>2246</v>
      </c>
      <c r="R539" s="38">
        <v>1</v>
      </c>
      <c r="S539" s="38" t="s">
        <v>92</v>
      </c>
      <c r="T539" s="38" t="s">
        <v>53</v>
      </c>
      <c r="U539" s="38" t="s">
        <v>54</v>
      </c>
      <c r="V539" s="38" t="s">
        <v>61</v>
      </c>
      <c r="Y539" s="38">
        <v>124.09</v>
      </c>
      <c r="Z539" s="38">
        <v>1</v>
      </c>
      <c r="AK539" s="14" t="e">
        <f t="shared" si="2"/>
        <v>#DIV/0!</v>
      </c>
      <c r="AM539" s="9"/>
      <c r="AN539" s="9"/>
      <c r="AO539" s="28"/>
    </row>
    <row r="540" spans="1:41" ht="12.5" hidden="1">
      <c r="A540" s="28" t="s">
        <v>2253</v>
      </c>
      <c r="B540" s="39">
        <v>45660</v>
      </c>
      <c r="C540" s="29">
        <v>45687</v>
      </c>
      <c r="D540" s="38" t="s">
        <v>41</v>
      </c>
      <c r="E540" s="38" t="s">
        <v>2254</v>
      </c>
      <c r="G540" s="38" t="s">
        <v>43</v>
      </c>
      <c r="H540" s="38">
        <v>11.5</v>
      </c>
      <c r="I540" s="38" t="s">
        <v>44</v>
      </c>
      <c r="J540" s="38" t="s">
        <v>45</v>
      </c>
      <c r="K540" s="38" t="s">
        <v>2255</v>
      </c>
      <c r="L540" s="30" t="s">
        <v>58</v>
      </c>
      <c r="M540" s="38" t="s">
        <v>48</v>
      </c>
      <c r="N540" s="38" t="s">
        <v>48</v>
      </c>
      <c r="O540" s="31" t="s">
        <v>443</v>
      </c>
      <c r="P540" s="28" t="s">
        <v>444</v>
      </c>
      <c r="Q540" s="38" t="s">
        <v>445</v>
      </c>
      <c r="R540" s="38">
        <v>1</v>
      </c>
      <c r="S540" s="38" t="s">
        <v>68</v>
      </c>
      <c r="T540" s="38" t="s">
        <v>53</v>
      </c>
      <c r="U540" s="38" t="s">
        <v>54</v>
      </c>
      <c r="V540" s="38" t="s">
        <v>55</v>
      </c>
      <c r="Y540" s="38">
        <v>120.77</v>
      </c>
      <c r="Z540" s="38">
        <v>1</v>
      </c>
      <c r="AF540" s="38">
        <v>109.27</v>
      </c>
      <c r="AI540" s="38">
        <v>2</v>
      </c>
      <c r="AJ540" s="38">
        <v>1</v>
      </c>
      <c r="AK540" s="14">
        <f t="shared" si="2"/>
        <v>2</v>
      </c>
      <c r="AM540" s="9"/>
      <c r="AN540" s="9"/>
      <c r="AO540" s="28"/>
    </row>
    <row r="541" spans="1:41" ht="12.5" hidden="1">
      <c r="A541" s="28" t="s">
        <v>2256</v>
      </c>
      <c r="B541" s="37">
        <v>45667</v>
      </c>
      <c r="C541" s="29">
        <v>45680</v>
      </c>
      <c r="D541" s="38" t="s">
        <v>41</v>
      </c>
      <c r="E541" s="38" t="s">
        <v>2257</v>
      </c>
      <c r="G541" s="38" t="s">
        <v>43</v>
      </c>
      <c r="H541" s="38">
        <v>11.5</v>
      </c>
      <c r="I541" s="38" t="s">
        <v>44</v>
      </c>
      <c r="J541" s="38" t="s">
        <v>45</v>
      </c>
      <c r="K541" s="38" t="s">
        <v>2258</v>
      </c>
      <c r="L541" s="30" t="s">
        <v>47</v>
      </c>
      <c r="M541" s="38" t="s">
        <v>48</v>
      </c>
      <c r="N541" s="38" t="s">
        <v>48</v>
      </c>
      <c r="O541" s="31" t="s">
        <v>443</v>
      </c>
      <c r="P541" s="28" t="s">
        <v>444</v>
      </c>
      <c r="Q541" s="38" t="s">
        <v>445</v>
      </c>
      <c r="R541" s="38">
        <v>1</v>
      </c>
      <c r="S541" s="38" t="s">
        <v>99</v>
      </c>
      <c r="T541" s="38" t="s">
        <v>53</v>
      </c>
      <c r="U541" s="38" t="s">
        <v>54</v>
      </c>
      <c r="V541" s="38" t="s">
        <v>55</v>
      </c>
      <c r="Y541" s="38">
        <v>113.93</v>
      </c>
      <c r="Z541" s="38">
        <v>1</v>
      </c>
      <c r="AF541" s="38">
        <v>113.93</v>
      </c>
      <c r="AK541" s="14" t="e">
        <f t="shared" si="2"/>
        <v>#DIV/0!</v>
      </c>
      <c r="AM541" s="9"/>
      <c r="AN541" s="9"/>
      <c r="AO541" s="28"/>
    </row>
    <row r="542" spans="1:41" ht="12.5" hidden="1">
      <c r="A542" s="28" t="s">
        <v>2259</v>
      </c>
      <c r="B542" s="37">
        <v>45649</v>
      </c>
      <c r="C542" s="29">
        <v>45677</v>
      </c>
      <c r="D542" s="38" t="s">
        <v>41</v>
      </c>
      <c r="E542" s="38" t="s">
        <v>2260</v>
      </c>
      <c r="G542" s="38" t="s">
        <v>43</v>
      </c>
      <c r="H542" s="38">
        <v>10.38</v>
      </c>
      <c r="I542" s="38" t="s">
        <v>44</v>
      </c>
      <c r="J542" s="38" t="s">
        <v>45</v>
      </c>
      <c r="K542" s="38" t="s">
        <v>2261</v>
      </c>
      <c r="L542" s="30" t="s">
        <v>47</v>
      </c>
      <c r="M542" s="38" t="s">
        <v>48</v>
      </c>
      <c r="N542" s="38" t="s">
        <v>48</v>
      </c>
      <c r="O542" s="31" t="s">
        <v>463</v>
      </c>
      <c r="P542" s="28" t="s">
        <v>464</v>
      </c>
      <c r="Q542" s="38" t="s">
        <v>465</v>
      </c>
      <c r="R542" s="38">
        <v>1</v>
      </c>
      <c r="S542" s="38" t="s">
        <v>82</v>
      </c>
      <c r="T542" s="38" t="s">
        <v>53</v>
      </c>
      <c r="U542" s="38" t="s">
        <v>54</v>
      </c>
      <c r="V542" s="38" t="s">
        <v>560</v>
      </c>
      <c r="Y542" s="38">
        <v>76.930000000000007</v>
      </c>
      <c r="Z542" s="38">
        <v>1</v>
      </c>
      <c r="AI542" s="38">
        <v>1</v>
      </c>
      <c r="AJ542" s="38">
        <v>3</v>
      </c>
      <c r="AK542" s="14">
        <f t="shared" si="2"/>
        <v>0.33333333333333331</v>
      </c>
      <c r="AM542" s="9" t="s">
        <v>953</v>
      </c>
      <c r="AN542" s="9"/>
      <c r="AO542" s="28"/>
    </row>
    <row r="543" spans="1:41" ht="12.5" hidden="1">
      <c r="A543" s="28" t="s">
        <v>2262</v>
      </c>
      <c r="B543" s="37">
        <v>45652</v>
      </c>
      <c r="C543" s="29">
        <v>45681</v>
      </c>
      <c r="D543" s="38" t="s">
        <v>41</v>
      </c>
      <c r="E543" s="38" t="s">
        <v>2263</v>
      </c>
      <c r="G543" s="38" t="s">
        <v>43</v>
      </c>
      <c r="H543" s="38">
        <v>66.42</v>
      </c>
      <c r="I543" s="38" t="s">
        <v>44</v>
      </c>
      <c r="J543" s="38" t="s">
        <v>45</v>
      </c>
      <c r="K543" s="38" t="s">
        <v>2264</v>
      </c>
      <c r="L543" s="30" t="s">
        <v>47</v>
      </c>
      <c r="M543" s="38" t="s">
        <v>48</v>
      </c>
      <c r="N543" s="38" t="s">
        <v>48</v>
      </c>
      <c r="O543" s="31" t="s">
        <v>511</v>
      </c>
      <c r="P543" s="28" t="s">
        <v>512</v>
      </c>
      <c r="Q543" s="38" t="s">
        <v>513</v>
      </c>
      <c r="R543" s="38">
        <v>1</v>
      </c>
      <c r="S543" s="38" t="s">
        <v>99</v>
      </c>
      <c r="T543" s="38" t="s">
        <v>53</v>
      </c>
      <c r="U543" s="38" t="s">
        <v>54</v>
      </c>
      <c r="V543" s="38" t="s">
        <v>55</v>
      </c>
      <c r="Y543" s="38">
        <v>69.930000000000007</v>
      </c>
      <c r="Z543" s="38">
        <v>1</v>
      </c>
      <c r="AF543" s="38">
        <v>69.930000000000007</v>
      </c>
      <c r="AI543" s="38">
        <v>1</v>
      </c>
      <c r="AJ543" s="38">
        <v>2</v>
      </c>
      <c r="AK543" s="14">
        <f t="shared" si="2"/>
        <v>0.5</v>
      </c>
      <c r="AM543" s="9" t="s">
        <v>953</v>
      </c>
      <c r="AN543" s="9" t="s">
        <v>1168</v>
      </c>
      <c r="AO543" s="28"/>
    </row>
    <row r="544" spans="1:41" ht="12.5" hidden="1">
      <c r="A544" s="28" t="s">
        <v>2265</v>
      </c>
      <c r="B544" s="37">
        <v>45657</v>
      </c>
      <c r="C544" s="29">
        <v>45675</v>
      </c>
      <c r="D544" s="38" t="s">
        <v>41</v>
      </c>
      <c r="G544" s="38" t="s">
        <v>137</v>
      </c>
      <c r="H544" s="38">
        <v>0</v>
      </c>
      <c r="L544" s="30" t="s">
        <v>58</v>
      </c>
      <c r="M544" s="38" t="s">
        <v>48</v>
      </c>
      <c r="N544" s="38" t="s">
        <v>48</v>
      </c>
      <c r="O544" s="31" t="s">
        <v>2266</v>
      </c>
      <c r="P544" s="28" t="s">
        <v>2267</v>
      </c>
      <c r="Q544" s="38" t="s">
        <v>2268</v>
      </c>
      <c r="R544" s="38">
        <v>1</v>
      </c>
      <c r="S544" s="38" t="s">
        <v>75</v>
      </c>
      <c r="T544" s="38" t="s">
        <v>53</v>
      </c>
      <c r="U544" s="38" t="s">
        <v>54</v>
      </c>
      <c r="V544" s="38" t="s">
        <v>141</v>
      </c>
      <c r="Y544" s="38">
        <v>43.02</v>
      </c>
      <c r="Z544" s="38">
        <v>1</v>
      </c>
      <c r="AF544" s="38">
        <v>43.02</v>
      </c>
      <c r="AI544" s="38">
        <v>1</v>
      </c>
      <c r="AJ544" s="38">
        <v>0</v>
      </c>
      <c r="AK544" s="14" t="e">
        <f t="shared" si="2"/>
        <v>#DIV/0!</v>
      </c>
      <c r="AM544" s="9"/>
      <c r="AN544" s="9"/>
      <c r="AO544" s="28"/>
    </row>
    <row r="545" spans="1:41" ht="12.5" hidden="1">
      <c r="A545" s="28" t="s">
        <v>2269</v>
      </c>
      <c r="B545" s="39">
        <v>45663</v>
      </c>
      <c r="C545" s="29">
        <v>45673</v>
      </c>
      <c r="D545" s="38" t="s">
        <v>41</v>
      </c>
      <c r="E545" s="38" t="s">
        <v>2270</v>
      </c>
      <c r="G545" s="38" t="s">
        <v>137</v>
      </c>
      <c r="H545" s="38">
        <v>0</v>
      </c>
      <c r="L545" s="30" t="s">
        <v>47</v>
      </c>
      <c r="M545" s="38" t="s">
        <v>48</v>
      </c>
      <c r="N545" s="38" t="s">
        <v>48</v>
      </c>
      <c r="O545" s="31" t="s">
        <v>2271</v>
      </c>
      <c r="P545" s="28" t="s">
        <v>2272</v>
      </c>
      <c r="Q545" s="38" t="s">
        <v>2273</v>
      </c>
      <c r="R545" s="38">
        <v>1</v>
      </c>
      <c r="S545" s="38" t="s">
        <v>99</v>
      </c>
      <c r="T545" s="38" t="s">
        <v>53</v>
      </c>
      <c r="U545" s="38" t="s">
        <v>54</v>
      </c>
      <c r="V545" s="38" t="s">
        <v>61</v>
      </c>
      <c r="Y545" s="38">
        <v>152.43</v>
      </c>
      <c r="Z545" s="38">
        <v>1</v>
      </c>
      <c r="AI545" s="38">
        <v>1</v>
      </c>
      <c r="AJ545" s="38">
        <v>0</v>
      </c>
      <c r="AK545" s="14" t="e">
        <f t="shared" si="2"/>
        <v>#DIV/0!</v>
      </c>
      <c r="AM545" s="9"/>
      <c r="AN545" s="9"/>
      <c r="AO545" s="28"/>
    </row>
    <row r="546" spans="1:41" ht="12.5" hidden="1">
      <c r="A546" s="28" t="s">
        <v>2274</v>
      </c>
      <c r="B546" s="37">
        <v>45638</v>
      </c>
      <c r="C546" s="29">
        <v>45676</v>
      </c>
      <c r="D546" s="38" t="s">
        <v>41</v>
      </c>
      <c r="E546" s="38" t="s">
        <v>2275</v>
      </c>
      <c r="G546" s="38" t="s">
        <v>43</v>
      </c>
      <c r="H546" s="38">
        <v>11.5</v>
      </c>
      <c r="I546" s="38" t="s">
        <v>44</v>
      </c>
      <c r="J546" s="38" t="s">
        <v>45</v>
      </c>
      <c r="K546" s="38" t="s">
        <v>2276</v>
      </c>
      <c r="L546" s="30" t="s">
        <v>47</v>
      </c>
      <c r="M546" s="38" t="s">
        <v>48</v>
      </c>
      <c r="N546" s="38" t="s">
        <v>48</v>
      </c>
      <c r="O546" s="31" t="s">
        <v>2277</v>
      </c>
      <c r="P546" s="28" t="s">
        <v>2278</v>
      </c>
      <c r="Q546" s="38" t="s">
        <v>2279</v>
      </c>
      <c r="R546" s="38">
        <v>1</v>
      </c>
      <c r="S546" s="38" t="s">
        <v>92</v>
      </c>
      <c r="T546" s="38" t="s">
        <v>53</v>
      </c>
      <c r="U546" s="38" t="s">
        <v>54</v>
      </c>
      <c r="V546" s="38" t="s">
        <v>240</v>
      </c>
      <c r="Y546" s="38">
        <v>90.81</v>
      </c>
      <c r="Z546" s="38">
        <v>1</v>
      </c>
      <c r="AF546" s="38">
        <v>90.81</v>
      </c>
      <c r="AI546" s="38">
        <v>1</v>
      </c>
      <c r="AJ546" s="38">
        <v>0</v>
      </c>
      <c r="AK546" s="14" t="e">
        <f t="shared" si="2"/>
        <v>#DIV/0!</v>
      </c>
      <c r="AM546" s="9"/>
      <c r="AN546" s="9"/>
      <c r="AO546" s="28"/>
    </row>
    <row r="547" spans="1:41" ht="12.5" hidden="1">
      <c r="A547" s="28" t="s">
        <v>2280</v>
      </c>
      <c r="B547" s="39">
        <v>45661</v>
      </c>
      <c r="C547" s="29">
        <v>45684</v>
      </c>
      <c r="D547" s="38" t="s">
        <v>41</v>
      </c>
      <c r="G547" s="38" t="s">
        <v>137</v>
      </c>
      <c r="H547" s="38">
        <v>0</v>
      </c>
      <c r="L547" s="30" t="s">
        <v>47</v>
      </c>
      <c r="M547" s="38" t="s">
        <v>48</v>
      </c>
      <c r="N547" s="38" t="s">
        <v>48</v>
      </c>
      <c r="O547" s="31" t="s">
        <v>1296</v>
      </c>
      <c r="P547" s="28" t="s">
        <v>1297</v>
      </c>
      <c r="Q547" s="38" t="s">
        <v>1298</v>
      </c>
      <c r="R547" s="38">
        <v>1</v>
      </c>
      <c r="S547" s="38" t="s">
        <v>92</v>
      </c>
      <c r="T547" s="38" t="s">
        <v>53</v>
      </c>
      <c r="U547" s="38" t="s">
        <v>54</v>
      </c>
      <c r="V547" s="38" t="s">
        <v>141</v>
      </c>
      <c r="Y547" s="38">
        <v>37.85</v>
      </c>
      <c r="Z547" s="38">
        <v>1</v>
      </c>
      <c r="AF547" s="38">
        <v>37.85</v>
      </c>
      <c r="AI547" s="38">
        <v>1</v>
      </c>
      <c r="AJ547" s="38">
        <v>2</v>
      </c>
      <c r="AK547" s="14">
        <f t="shared" si="2"/>
        <v>0.5</v>
      </c>
      <c r="AM547" s="9"/>
      <c r="AN547" s="9"/>
      <c r="AO547" s="28"/>
    </row>
    <row r="548" spans="1:41" ht="12.5" hidden="1">
      <c r="A548" s="28" t="s">
        <v>2281</v>
      </c>
      <c r="B548" s="39">
        <v>45634</v>
      </c>
      <c r="C548" s="29">
        <v>45688</v>
      </c>
      <c r="D548" s="38" t="s">
        <v>41</v>
      </c>
      <c r="E548" s="38" t="s">
        <v>2282</v>
      </c>
      <c r="G548" s="38" t="s">
        <v>43</v>
      </c>
      <c r="H548" s="38">
        <v>15.34</v>
      </c>
      <c r="I548" s="38" t="s">
        <v>44</v>
      </c>
      <c r="J548" s="38" t="s">
        <v>45</v>
      </c>
      <c r="K548" s="38" t="s">
        <v>2283</v>
      </c>
      <c r="L548" s="30" t="s">
        <v>58</v>
      </c>
      <c r="M548" s="38" t="s">
        <v>48</v>
      </c>
      <c r="N548" s="38" t="s">
        <v>48</v>
      </c>
      <c r="O548" s="40" t="s">
        <v>557</v>
      </c>
      <c r="P548" s="28" t="s">
        <v>558</v>
      </c>
      <c r="Q548" s="38" t="s">
        <v>559</v>
      </c>
      <c r="R548" s="38">
        <v>1</v>
      </c>
      <c r="S548" s="38" t="s">
        <v>68</v>
      </c>
      <c r="T548" s="38" t="s">
        <v>53</v>
      </c>
      <c r="U548" s="38" t="s">
        <v>54</v>
      </c>
      <c r="V548" s="38" t="s">
        <v>55</v>
      </c>
      <c r="Y548" s="38">
        <v>99.29</v>
      </c>
      <c r="Z548" s="38">
        <v>1</v>
      </c>
      <c r="AF548" s="38">
        <v>83.95</v>
      </c>
      <c r="AI548" s="38">
        <v>2</v>
      </c>
      <c r="AJ548" s="38">
        <v>0</v>
      </c>
      <c r="AK548" s="14" t="e">
        <f t="shared" si="2"/>
        <v>#DIV/0!</v>
      </c>
      <c r="AM548" s="9"/>
      <c r="AN548" s="9"/>
      <c r="AO548" s="28"/>
    </row>
    <row r="549" spans="1:41" ht="12.5" hidden="1">
      <c r="A549" s="28" t="s">
        <v>2284</v>
      </c>
      <c r="B549" s="37">
        <v>45651</v>
      </c>
      <c r="C549" s="29">
        <v>45682</v>
      </c>
      <c r="D549" s="38" t="s">
        <v>41</v>
      </c>
      <c r="E549" s="38" t="s">
        <v>2285</v>
      </c>
      <c r="G549" s="38" t="s">
        <v>43</v>
      </c>
      <c r="H549" s="38">
        <v>15.34</v>
      </c>
      <c r="I549" s="38" t="s">
        <v>44</v>
      </c>
      <c r="J549" s="38" t="s">
        <v>45</v>
      </c>
      <c r="K549" s="38" t="s">
        <v>2286</v>
      </c>
      <c r="L549" s="30" t="s">
        <v>47</v>
      </c>
      <c r="M549" s="38" t="s">
        <v>48</v>
      </c>
      <c r="N549" s="38" t="s">
        <v>48</v>
      </c>
      <c r="O549" s="40" t="s">
        <v>557</v>
      </c>
      <c r="P549" s="28" t="s">
        <v>558</v>
      </c>
      <c r="Q549" s="38" t="s">
        <v>559</v>
      </c>
      <c r="R549" s="38">
        <v>1</v>
      </c>
      <c r="S549" s="38" t="s">
        <v>52</v>
      </c>
      <c r="T549" s="38" t="s">
        <v>53</v>
      </c>
      <c r="U549" s="38" t="s">
        <v>54</v>
      </c>
      <c r="V549" s="38" t="s">
        <v>55</v>
      </c>
      <c r="Y549" s="38">
        <v>100.9</v>
      </c>
      <c r="Z549" s="38">
        <v>1</v>
      </c>
      <c r="AF549" s="38">
        <v>100.9</v>
      </c>
      <c r="AK549" s="14" t="e">
        <f t="shared" si="2"/>
        <v>#DIV/0!</v>
      </c>
      <c r="AM549" s="9"/>
      <c r="AN549" s="9"/>
      <c r="AO549" s="28"/>
    </row>
    <row r="550" spans="1:41" ht="12.5" hidden="1">
      <c r="A550" s="28" t="s">
        <v>2287</v>
      </c>
      <c r="B550" s="37">
        <v>45677</v>
      </c>
      <c r="C550" s="29">
        <v>45680</v>
      </c>
      <c r="D550" s="38" t="s">
        <v>41</v>
      </c>
      <c r="E550" s="38" t="s">
        <v>2288</v>
      </c>
      <c r="G550" s="38" t="s">
        <v>43</v>
      </c>
      <c r="H550" s="38">
        <v>12.64</v>
      </c>
      <c r="I550" s="38" t="s">
        <v>44</v>
      </c>
      <c r="J550" s="38" t="s">
        <v>45</v>
      </c>
      <c r="K550" s="38" t="s">
        <v>2289</v>
      </c>
      <c r="L550" s="30" t="s">
        <v>58</v>
      </c>
      <c r="M550" s="38" t="s">
        <v>48</v>
      </c>
      <c r="N550" s="38" t="s">
        <v>48</v>
      </c>
      <c r="O550" s="31" t="s">
        <v>2290</v>
      </c>
      <c r="P550" s="28" t="s">
        <v>2291</v>
      </c>
      <c r="Q550" s="38" t="s">
        <v>2292</v>
      </c>
      <c r="R550" s="38">
        <v>1</v>
      </c>
      <c r="S550" s="38" t="s">
        <v>68</v>
      </c>
      <c r="T550" s="38" t="s">
        <v>53</v>
      </c>
      <c r="U550" s="38" t="s">
        <v>54</v>
      </c>
      <c r="V550" s="38" t="s">
        <v>55</v>
      </c>
      <c r="Y550" s="38">
        <v>122.81</v>
      </c>
      <c r="Z550" s="38">
        <v>1</v>
      </c>
      <c r="AF550" s="38">
        <v>110.17</v>
      </c>
      <c r="AI550" s="38">
        <v>1</v>
      </c>
      <c r="AJ550" s="38">
        <v>1</v>
      </c>
      <c r="AK550" s="14">
        <f t="shared" si="2"/>
        <v>1</v>
      </c>
      <c r="AM550" s="9"/>
      <c r="AN550" s="9"/>
      <c r="AO550" s="28"/>
    </row>
    <row r="551" spans="1:41" ht="12.5" hidden="1">
      <c r="A551" s="28" t="s">
        <v>2293</v>
      </c>
      <c r="B551" s="37">
        <v>45651</v>
      </c>
      <c r="C551" s="29">
        <v>45674</v>
      </c>
      <c r="D551" s="38" t="s">
        <v>41</v>
      </c>
      <c r="E551" s="38" t="s">
        <v>2294</v>
      </c>
      <c r="G551" s="38" t="s">
        <v>43</v>
      </c>
      <c r="H551" s="38">
        <v>14.44</v>
      </c>
      <c r="I551" s="38" t="s">
        <v>44</v>
      </c>
      <c r="J551" s="38" t="s">
        <v>45</v>
      </c>
      <c r="K551" s="38" t="s">
        <v>2295</v>
      </c>
      <c r="L551" s="30" t="s">
        <v>47</v>
      </c>
      <c r="M551" s="38" t="s">
        <v>48</v>
      </c>
      <c r="N551" s="38" t="s">
        <v>48</v>
      </c>
      <c r="O551" s="31" t="s">
        <v>2296</v>
      </c>
      <c r="P551" s="28" t="s">
        <v>2297</v>
      </c>
      <c r="Q551" s="38" t="s">
        <v>2298</v>
      </c>
      <c r="R551" s="38">
        <v>1</v>
      </c>
      <c r="S551" s="38" t="s">
        <v>52</v>
      </c>
      <c r="T551" s="38" t="s">
        <v>53</v>
      </c>
      <c r="U551" s="38" t="s">
        <v>54</v>
      </c>
      <c r="V551" s="38" t="s">
        <v>61</v>
      </c>
      <c r="Y551" s="38">
        <v>108.09</v>
      </c>
      <c r="Z551" s="38">
        <v>1</v>
      </c>
      <c r="AI551" s="38">
        <v>1</v>
      </c>
      <c r="AJ551" s="38">
        <v>1</v>
      </c>
      <c r="AK551" s="14">
        <f t="shared" si="2"/>
        <v>1</v>
      </c>
      <c r="AM551" s="9"/>
      <c r="AN551" s="9"/>
      <c r="AO551" s="28"/>
    </row>
    <row r="552" spans="1:41" ht="12.5" hidden="1">
      <c r="A552" s="28" t="s">
        <v>2299</v>
      </c>
      <c r="B552" s="39">
        <v>45665</v>
      </c>
      <c r="C552" s="29">
        <v>45678</v>
      </c>
      <c r="D552" s="38" t="s">
        <v>41</v>
      </c>
      <c r="E552" s="38" t="s">
        <v>2300</v>
      </c>
      <c r="G552" s="38" t="s">
        <v>43</v>
      </c>
      <c r="H552" s="38">
        <v>7.7</v>
      </c>
      <c r="I552" s="38" t="s">
        <v>44</v>
      </c>
      <c r="J552" s="38" t="s">
        <v>45</v>
      </c>
      <c r="K552" s="38" t="s">
        <v>2301</v>
      </c>
      <c r="L552" s="30" t="s">
        <v>47</v>
      </c>
      <c r="M552" s="38" t="s">
        <v>48</v>
      </c>
      <c r="N552" s="38" t="s">
        <v>48</v>
      </c>
      <c r="O552" s="31" t="s">
        <v>2302</v>
      </c>
      <c r="P552" s="28" t="s">
        <v>2303</v>
      </c>
      <c r="Q552" s="38" t="s">
        <v>2304</v>
      </c>
      <c r="R552" s="38">
        <v>1</v>
      </c>
      <c r="S552" s="38" t="s">
        <v>82</v>
      </c>
      <c r="T552" s="38" t="s">
        <v>53</v>
      </c>
      <c r="U552" s="38" t="s">
        <v>54</v>
      </c>
      <c r="V552" s="38" t="s">
        <v>55</v>
      </c>
      <c r="Y552" s="38">
        <v>117.93</v>
      </c>
      <c r="Z552" s="38">
        <v>1</v>
      </c>
      <c r="AF552" s="38">
        <v>117.93</v>
      </c>
      <c r="AI552" s="38">
        <v>1</v>
      </c>
      <c r="AJ552" s="38">
        <v>1</v>
      </c>
      <c r="AK552" s="14">
        <f t="shared" si="2"/>
        <v>1</v>
      </c>
      <c r="AM552" s="9"/>
      <c r="AN552" s="9"/>
      <c r="AO552" s="28"/>
    </row>
    <row r="553" spans="1:41" ht="12.5" hidden="1">
      <c r="A553" s="28" t="s">
        <v>2305</v>
      </c>
      <c r="B553" s="39">
        <v>45632</v>
      </c>
      <c r="C553" s="29">
        <v>45686</v>
      </c>
      <c r="D553" s="38" t="s">
        <v>41</v>
      </c>
      <c r="E553" s="38" t="s">
        <v>2306</v>
      </c>
      <c r="G553" s="38" t="s">
        <v>43</v>
      </c>
      <c r="H553" s="38">
        <v>14.44</v>
      </c>
      <c r="I553" s="38" t="s">
        <v>44</v>
      </c>
      <c r="J553" s="38" t="s">
        <v>45</v>
      </c>
      <c r="K553" s="38" t="s">
        <v>2307</v>
      </c>
      <c r="L553" s="30" t="s">
        <v>58</v>
      </c>
      <c r="M553" s="38" t="s">
        <v>48</v>
      </c>
      <c r="N553" s="38" t="s">
        <v>48</v>
      </c>
      <c r="O553" s="31" t="s">
        <v>617</v>
      </c>
      <c r="P553" s="28" t="s">
        <v>618</v>
      </c>
      <c r="Q553" s="38" t="s">
        <v>619</v>
      </c>
      <c r="R553" s="38">
        <v>1</v>
      </c>
      <c r="S553" s="38" t="s">
        <v>68</v>
      </c>
      <c r="T553" s="38" t="s">
        <v>53</v>
      </c>
      <c r="U553" s="38" t="s">
        <v>54</v>
      </c>
      <c r="V553" s="38" t="s">
        <v>61</v>
      </c>
      <c r="Y553" s="38">
        <v>99.29</v>
      </c>
      <c r="Z553" s="38">
        <v>1</v>
      </c>
      <c r="AI553" s="38">
        <v>2</v>
      </c>
      <c r="AJ553" s="38">
        <v>1</v>
      </c>
      <c r="AK553" s="14">
        <f t="shared" si="2"/>
        <v>2</v>
      </c>
      <c r="AM553" s="9"/>
      <c r="AN553" s="9"/>
      <c r="AO553" s="28"/>
    </row>
    <row r="554" spans="1:41" ht="12.5" hidden="1">
      <c r="A554" s="28" t="s">
        <v>2308</v>
      </c>
      <c r="B554" s="37">
        <v>45672</v>
      </c>
      <c r="C554" s="29">
        <v>45681</v>
      </c>
      <c r="D554" s="38" t="s">
        <v>41</v>
      </c>
      <c r="E554" s="38" t="s">
        <v>2309</v>
      </c>
      <c r="G554" s="38" t="s">
        <v>43</v>
      </c>
      <c r="H554" s="38">
        <v>14.44</v>
      </c>
      <c r="I554" s="38" t="s">
        <v>44</v>
      </c>
      <c r="J554" s="38" t="s">
        <v>45</v>
      </c>
      <c r="K554" s="38" t="s">
        <v>2310</v>
      </c>
      <c r="L554" s="30" t="s">
        <v>58</v>
      </c>
      <c r="M554" s="38" t="s">
        <v>48</v>
      </c>
      <c r="N554" s="38" t="s">
        <v>48</v>
      </c>
      <c r="O554" s="31" t="s">
        <v>617</v>
      </c>
      <c r="P554" s="28" t="s">
        <v>618</v>
      </c>
      <c r="Q554" s="38" t="s">
        <v>619</v>
      </c>
      <c r="R554" s="38">
        <v>1</v>
      </c>
      <c r="S554" s="38" t="s">
        <v>68</v>
      </c>
      <c r="T554" s="38" t="s">
        <v>53</v>
      </c>
      <c r="U554" s="38" t="s">
        <v>54</v>
      </c>
      <c r="V554" s="38" t="s">
        <v>55</v>
      </c>
      <c r="Y554" s="38">
        <v>96.25</v>
      </c>
      <c r="Z554" s="38">
        <v>1</v>
      </c>
      <c r="AF554" s="38">
        <v>81.81</v>
      </c>
      <c r="AK554" s="14" t="e">
        <f t="shared" si="2"/>
        <v>#DIV/0!</v>
      </c>
      <c r="AM554" s="9"/>
      <c r="AN554" s="9"/>
      <c r="AO554" s="28"/>
    </row>
    <row r="555" spans="1:41" ht="12.5" hidden="1">
      <c r="A555" s="28" t="s">
        <v>2311</v>
      </c>
      <c r="B555" s="37">
        <v>45673</v>
      </c>
      <c r="C555" s="29">
        <v>45682</v>
      </c>
      <c r="D555" s="38" t="s">
        <v>41</v>
      </c>
      <c r="E555" s="38" t="s">
        <v>2312</v>
      </c>
      <c r="G555" s="38" t="s">
        <v>43</v>
      </c>
      <c r="H555" s="38">
        <v>11.74</v>
      </c>
      <c r="I555" s="38" t="s">
        <v>44</v>
      </c>
      <c r="J555" s="38" t="s">
        <v>45</v>
      </c>
      <c r="K555" s="38" t="s">
        <v>2313</v>
      </c>
      <c r="L555" s="30" t="s">
        <v>58</v>
      </c>
      <c r="M555" s="38" t="s">
        <v>48</v>
      </c>
      <c r="N555" s="38" t="s">
        <v>48</v>
      </c>
      <c r="O555" s="31" t="s">
        <v>1422</v>
      </c>
      <c r="P555" s="28" t="s">
        <v>1423</v>
      </c>
      <c r="Q555" s="38" t="s">
        <v>1424</v>
      </c>
      <c r="R555" s="38">
        <v>1</v>
      </c>
      <c r="S555" s="38" t="s">
        <v>75</v>
      </c>
      <c r="T555" s="38" t="s">
        <v>53</v>
      </c>
      <c r="U555" s="38" t="s">
        <v>54</v>
      </c>
      <c r="V555" s="38" t="s">
        <v>61</v>
      </c>
      <c r="Y555" s="38">
        <v>86.27</v>
      </c>
      <c r="Z555" s="38">
        <v>1</v>
      </c>
      <c r="AI555" s="38">
        <v>1</v>
      </c>
      <c r="AJ555" s="38">
        <v>4</v>
      </c>
      <c r="AK555" s="14">
        <f t="shared" si="2"/>
        <v>0.25</v>
      </c>
      <c r="AM555" s="9"/>
      <c r="AN555" s="9"/>
      <c r="AO555" s="28"/>
    </row>
    <row r="556" spans="1:41" ht="12.5" hidden="1">
      <c r="A556" s="28" t="s">
        <v>2314</v>
      </c>
      <c r="B556" s="37">
        <v>45674</v>
      </c>
      <c r="C556" s="29">
        <v>45686</v>
      </c>
      <c r="D556" s="38" t="s">
        <v>41</v>
      </c>
      <c r="E556" s="38" t="s">
        <v>2315</v>
      </c>
      <c r="G556" s="38" t="s">
        <v>43</v>
      </c>
      <c r="H556" s="38">
        <v>13.56</v>
      </c>
      <c r="I556" s="38" t="s">
        <v>44</v>
      </c>
      <c r="J556" s="38" t="s">
        <v>45</v>
      </c>
      <c r="K556" s="38" t="s">
        <v>2316</v>
      </c>
      <c r="L556" s="30" t="s">
        <v>47</v>
      </c>
      <c r="M556" s="38" t="s">
        <v>48</v>
      </c>
      <c r="N556" s="38" t="s">
        <v>48</v>
      </c>
      <c r="O556" s="31" t="s">
        <v>632</v>
      </c>
      <c r="P556" s="28" t="s">
        <v>633</v>
      </c>
      <c r="Q556" s="38" t="s">
        <v>634</v>
      </c>
      <c r="R556" s="38">
        <v>1</v>
      </c>
      <c r="S556" s="38" t="s">
        <v>92</v>
      </c>
      <c r="T556" s="38" t="s">
        <v>53</v>
      </c>
      <c r="U556" s="38" t="s">
        <v>54</v>
      </c>
      <c r="V556" s="38" t="s">
        <v>560</v>
      </c>
      <c r="Y556" s="38">
        <v>74.56</v>
      </c>
      <c r="Z556" s="38">
        <v>1</v>
      </c>
      <c r="AI556" s="38">
        <v>1</v>
      </c>
      <c r="AJ556" s="38">
        <v>4</v>
      </c>
      <c r="AK556" s="14">
        <f t="shared" si="2"/>
        <v>0.25</v>
      </c>
      <c r="AM556" s="9"/>
      <c r="AN556" s="9"/>
      <c r="AO556" s="28"/>
    </row>
    <row r="557" spans="1:41" ht="12.5" hidden="1">
      <c r="A557" s="28" t="s">
        <v>2317</v>
      </c>
      <c r="B557" s="37">
        <v>45655</v>
      </c>
      <c r="C557" s="29">
        <v>45682</v>
      </c>
      <c r="D557" s="38" t="s">
        <v>41</v>
      </c>
      <c r="E557" s="38" t="s">
        <v>2318</v>
      </c>
      <c r="G557" s="38" t="s">
        <v>43</v>
      </c>
      <c r="H557" s="38">
        <v>10.02</v>
      </c>
      <c r="I557" s="38" t="s">
        <v>44</v>
      </c>
      <c r="J557" s="38" t="s">
        <v>45</v>
      </c>
      <c r="K557" s="38" t="s">
        <v>2319</v>
      </c>
      <c r="L557" s="30" t="s">
        <v>58</v>
      </c>
      <c r="M557" s="38" t="s">
        <v>48</v>
      </c>
      <c r="N557" s="38" t="s">
        <v>48</v>
      </c>
      <c r="O557" s="31" t="s">
        <v>2320</v>
      </c>
      <c r="P557" s="28" t="s">
        <v>2321</v>
      </c>
      <c r="Q557" s="38" t="s">
        <v>2322</v>
      </c>
      <c r="R557" s="38">
        <v>1</v>
      </c>
      <c r="S557" s="38" t="s">
        <v>75</v>
      </c>
      <c r="T557" s="38" t="s">
        <v>53</v>
      </c>
      <c r="U557" s="38" t="s">
        <v>54</v>
      </c>
      <c r="V557" s="38" t="s">
        <v>61</v>
      </c>
      <c r="Y557" s="38">
        <v>108.18</v>
      </c>
      <c r="Z557" s="38">
        <v>1</v>
      </c>
      <c r="AI557" s="38">
        <v>1</v>
      </c>
      <c r="AJ557" s="38">
        <v>0</v>
      </c>
      <c r="AK557" s="14" t="e">
        <f t="shared" si="2"/>
        <v>#DIV/0!</v>
      </c>
      <c r="AM557" s="9"/>
      <c r="AN557" s="9"/>
      <c r="AO557" s="28"/>
    </row>
    <row r="558" spans="1:41" ht="12.5" hidden="1">
      <c r="A558" s="28" t="s">
        <v>2323</v>
      </c>
      <c r="B558" s="37">
        <v>45639</v>
      </c>
      <c r="C558" s="29">
        <v>45684</v>
      </c>
      <c r="D558" s="38" t="s">
        <v>41</v>
      </c>
      <c r="E558" s="38" t="s">
        <v>2324</v>
      </c>
      <c r="G558" s="38" t="s">
        <v>43</v>
      </c>
      <c r="H558" s="38">
        <v>14.44</v>
      </c>
      <c r="I558" s="38" t="s">
        <v>44</v>
      </c>
      <c r="J558" s="38" t="s">
        <v>45</v>
      </c>
      <c r="K558" s="38" t="s">
        <v>2325</v>
      </c>
      <c r="L558" s="30" t="s">
        <v>58</v>
      </c>
      <c r="M558" s="38" t="s">
        <v>48</v>
      </c>
      <c r="N558" s="38" t="s">
        <v>48</v>
      </c>
      <c r="O558" s="31" t="s">
        <v>713</v>
      </c>
      <c r="P558" s="28" t="s">
        <v>714</v>
      </c>
      <c r="Q558" s="38" t="s">
        <v>715</v>
      </c>
      <c r="R558" s="38">
        <v>1</v>
      </c>
      <c r="S558" s="38" t="s">
        <v>75</v>
      </c>
      <c r="T558" s="38" t="s">
        <v>53</v>
      </c>
      <c r="U558" s="38" t="s">
        <v>54</v>
      </c>
      <c r="V558" s="38" t="s">
        <v>61</v>
      </c>
      <c r="Z558" s="38">
        <v>1</v>
      </c>
      <c r="AI558" s="38">
        <v>2</v>
      </c>
      <c r="AJ558" s="38">
        <v>0</v>
      </c>
      <c r="AK558" s="14" t="e">
        <f t="shared" si="2"/>
        <v>#DIV/0!</v>
      </c>
      <c r="AM558" s="9"/>
      <c r="AN558" s="9"/>
      <c r="AO558" s="28"/>
    </row>
    <row r="559" spans="1:41" ht="12.5" hidden="1">
      <c r="A559" s="28" t="s">
        <v>2326</v>
      </c>
      <c r="B559" s="37">
        <v>45669</v>
      </c>
      <c r="C559" s="29">
        <v>45675</v>
      </c>
      <c r="D559" s="38" t="s">
        <v>41</v>
      </c>
      <c r="E559" s="38" t="s">
        <v>2327</v>
      </c>
      <c r="G559" s="38" t="s">
        <v>43</v>
      </c>
      <c r="H559" s="38">
        <v>14.03</v>
      </c>
      <c r="I559" s="38" t="s">
        <v>44</v>
      </c>
      <c r="J559" s="38" t="s">
        <v>45</v>
      </c>
      <c r="K559" s="38" t="s">
        <v>2328</v>
      </c>
      <c r="L559" s="30" t="s">
        <v>47</v>
      </c>
      <c r="M559" s="38" t="s">
        <v>48</v>
      </c>
      <c r="N559" s="38" t="s">
        <v>48</v>
      </c>
      <c r="O559" s="31" t="s">
        <v>713</v>
      </c>
      <c r="P559" s="28" t="s">
        <v>714</v>
      </c>
      <c r="Q559" s="38" t="s">
        <v>715</v>
      </c>
      <c r="R559" s="38">
        <v>1</v>
      </c>
      <c r="S559" s="38" t="s">
        <v>421</v>
      </c>
      <c r="T559" s="38" t="s">
        <v>53</v>
      </c>
      <c r="U559" s="38" t="s">
        <v>54</v>
      </c>
      <c r="V559" s="38" t="s">
        <v>61</v>
      </c>
      <c r="Y559" s="38">
        <v>79.89</v>
      </c>
      <c r="Z559" s="38">
        <v>1</v>
      </c>
      <c r="AK559" s="14" t="e">
        <f t="shared" si="2"/>
        <v>#DIV/0!</v>
      </c>
      <c r="AM559" s="9" t="s">
        <v>953</v>
      </c>
      <c r="AN559" s="9"/>
      <c r="AO559" s="28"/>
    </row>
    <row r="560" spans="1:41" ht="12.5" hidden="1">
      <c r="A560" s="28" t="s">
        <v>2329</v>
      </c>
      <c r="B560" s="37">
        <v>45654</v>
      </c>
      <c r="C560" s="29">
        <v>45679</v>
      </c>
      <c r="D560" s="38" t="s">
        <v>41</v>
      </c>
      <c r="E560" s="38" t="s">
        <v>2330</v>
      </c>
      <c r="G560" s="38" t="s">
        <v>43</v>
      </c>
      <c r="H560" s="38">
        <v>12.64</v>
      </c>
      <c r="I560" s="38" t="s">
        <v>44</v>
      </c>
      <c r="J560" s="38" t="s">
        <v>45</v>
      </c>
      <c r="K560" s="38" t="s">
        <v>2331</v>
      </c>
      <c r="L560" s="30" t="s">
        <v>58</v>
      </c>
      <c r="M560" s="38" t="s">
        <v>48</v>
      </c>
      <c r="N560" s="38" t="s">
        <v>48</v>
      </c>
      <c r="O560" s="31" t="s">
        <v>1512</v>
      </c>
      <c r="P560" s="28" t="s">
        <v>1513</v>
      </c>
      <c r="Q560" s="38" t="s">
        <v>1514</v>
      </c>
      <c r="R560" s="38">
        <v>1</v>
      </c>
      <c r="S560" s="38" t="s">
        <v>68</v>
      </c>
      <c r="T560" s="38" t="s">
        <v>53</v>
      </c>
      <c r="U560" s="38" t="s">
        <v>54</v>
      </c>
      <c r="V560" s="38" t="s">
        <v>61</v>
      </c>
      <c r="Z560" s="38">
        <v>1</v>
      </c>
      <c r="AI560" s="38">
        <v>1</v>
      </c>
      <c r="AJ560" s="38">
        <v>0</v>
      </c>
      <c r="AK560" s="14" t="e">
        <f t="shared" si="2"/>
        <v>#DIV/0!</v>
      </c>
      <c r="AM560" s="9"/>
      <c r="AN560" s="9"/>
      <c r="AO560" s="28"/>
    </row>
    <row r="561" spans="1:60" ht="12.5" hidden="1">
      <c r="A561" s="28" t="s">
        <v>2332</v>
      </c>
      <c r="B561" s="39">
        <v>45631</v>
      </c>
      <c r="C561" s="29">
        <v>45675</v>
      </c>
      <c r="D561" s="38" t="s">
        <v>41</v>
      </c>
      <c r="E561" s="38" t="s">
        <v>2333</v>
      </c>
      <c r="G561" s="38" t="s">
        <v>43</v>
      </c>
      <c r="H561" s="38">
        <v>12.2</v>
      </c>
      <c r="I561" s="38" t="s">
        <v>44</v>
      </c>
      <c r="J561" s="38" t="s">
        <v>45</v>
      </c>
      <c r="K561" s="38" t="s">
        <v>2334</v>
      </c>
      <c r="L561" s="30" t="s">
        <v>47</v>
      </c>
      <c r="M561" s="38" t="s">
        <v>48</v>
      </c>
      <c r="N561" s="38" t="s">
        <v>48</v>
      </c>
      <c r="O561" s="31" t="s">
        <v>749</v>
      </c>
      <c r="P561" s="28" t="s">
        <v>750</v>
      </c>
      <c r="Q561" s="38" t="s">
        <v>751</v>
      </c>
      <c r="R561" s="38">
        <v>1</v>
      </c>
      <c r="S561" s="38" t="s">
        <v>99</v>
      </c>
      <c r="T561" s="38" t="s">
        <v>53</v>
      </c>
      <c r="U561" s="38" t="s">
        <v>54</v>
      </c>
      <c r="V561" s="38" t="s">
        <v>55</v>
      </c>
      <c r="Y561" s="38">
        <v>100.93</v>
      </c>
      <c r="Z561" s="38">
        <v>1</v>
      </c>
      <c r="AF561" s="38">
        <v>100.93</v>
      </c>
      <c r="AI561" s="38">
        <v>1</v>
      </c>
      <c r="AJ561" s="38">
        <v>1</v>
      </c>
      <c r="AK561" s="14">
        <f t="shared" si="2"/>
        <v>1</v>
      </c>
      <c r="AM561" s="9"/>
      <c r="AN561" s="9"/>
      <c r="AO561" s="28"/>
    </row>
    <row r="562" spans="1:60" ht="12.5" hidden="1">
      <c r="A562" s="28" t="s">
        <v>2335</v>
      </c>
      <c r="B562" s="37">
        <v>45648</v>
      </c>
      <c r="C562" s="29">
        <v>45679</v>
      </c>
      <c r="D562" s="38" t="s">
        <v>41</v>
      </c>
      <c r="E562" s="38" t="s">
        <v>2336</v>
      </c>
      <c r="G562" s="38" t="s">
        <v>43</v>
      </c>
      <c r="H562" s="38">
        <v>10.66</v>
      </c>
      <c r="I562" s="38" t="s">
        <v>44</v>
      </c>
      <c r="J562" s="38" t="s">
        <v>45</v>
      </c>
      <c r="K562" s="38" t="s">
        <v>2337</v>
      </c>
      <c r="L562" s="30" t="s">
        <v>47</v>
      </c>
      <c r="M562" s="38" t="s">
        <v>48</v>
      </c>
      <c r="N562" s="38" t="s">
        <v>48</v>
      </c>
      <c r="O562" s="31" t="s">
        <v>2338</v>
      </c>
      <c r="P562" s="28" t="s">
        <v>2339</v>
      </c>
      <c r="Q562" s="38" t="s">
        <v>2340</v>
      </c>
      <c r="R562" s="38">
        <v>1</v>
      </c>
      <c r="S562" s="38" t="s">
        <v>52</v>
      </c>
      <c r="T562" s="38" t="s">
        <v>53</v>
      </c>
      <c r="U562" s="38" t="s">
        <v>54</v>
      </c>
      <c r="V562" s="38" t="s">
        <v>55</v>
      </c>
      <c r="Y562" s="38">
        <v>101.24</v>
      </c>
      <c r="Z562" s="38">
        <v>1</v>
      </c>
      <c r="AF562" s="38">
        <v>101.24</v>
      </c>
      <c r="AI562" s="38">
        <v>1</v>
      </c>
      <c r="AJ562" s="38">
        <v>0</v>
      </c>
      <c r="AK562" s="14" t="e">
        <f t="shared" si="2"/>
        <v>#DIV/0!</v>
      </c>
      <c r="AM562" s="9"/>
      <c r="AN562" s="9"/>
      <c r="AO562" s="28"/>
    </row>
    <row r="563" spans="1:60" ht="12.5" hidden="1">
      <c r="A563" s="28" t="s">
        <v>2341</v>
      </c>
      <c r="B563" s="37">
        <v>45668</v>
      </c>
      <c r="C563" s="29">
        <v>45674</v>
      </c>
      <c r="D563" s="38" t="s">
        <v>41</v>
      </c>
      <c r="E563" s="38" t="s">
        <v>2342</v>
      </c>
      <c r="G563" s="38" t="s">
        <v>43</v>
      </c>
      <c r="H563" s="38">
        <v>16.809999999999999</v>
      </c>
      <c r="I563" s="38" t="s">
        <v>44</v>
      </c>
      <c r="J563" s="38" t="s">
        <v>45</v>
      </c>
      <c r="K563" s="38" t="s">
        <v>2343</v>
      </c>
      <c r="L563" s="30" t="s">
        <v>58</v>
      </c>
      <c r="M563" s="38" t="s">
        <v>48</v>
      </c>
      <c r="N563" s="38" t="s">
        <v>48</v>
      </c>
      <c r="O563" s="31" t="s">
        <v>2344</v>
      </c>
      <c r="P563" s="28" t="s">
        <v>2345</v>
      </c>
      <c r="Q563" s="38" t="s">
        <v>2346</v>
      </c>
      <c r="R563" s="38">
        <v>1</v>
      </c>
      <c r="S563" s="38" t="s">
        <v>75</v>
      </c>
      <c r="T563" s="38" t="s">
        <v>53</v>
      </c>
      <c r="U563" s="38" t="s">
        <v>54</v>
      </c>
      <c r="V563" s="38" t="s">
        <v>55</v>
      </c>
      <c r="Y563" s="38">
        <v>122.05</v>
      </c>
      <c r="Z563" s="38">
        <v>1</v>
      </c>
      <c r="AF563" s="38">
        <v>105.24</v>
      </c>
      <c r="AI563" s="38">
        <v>1</v>
      </c>
      <c r="AJ563" s="38">
        <v>0</v>
      </c>
      <c r="AK563" s="14" t="e">
        <f t="shared" si="2"/>
        <v>#DIV/0!</v>
      </c>
      <c r="AM563" s="9"/>
      <c r="AN563" s="9"/>
      <c r="AO563" s="28"/>
    </row>
    <row r="564" spans="1:60" ht="12.5" hidden="1">
      <c r="A564" s="28" t="s">
        <v>2347</v>
      </c>
      <c r="B564" s="39">
        <v>45634</v>
      </c>
      <c r="C564" s="29">
        <v>45682</v>
      </c>
      <c r="D564" s="38" t="s">
        <v>41</v>
      </c>
      <c r="E564" s="38" t="s">
        <v>2348</v>
      </c>
      <c r="G564" s="38" t="s">
        <v>43</v>
      </c>
      <c r="H564" s="38">
        <v>12.2</v>
      </c>
      <c r="I564" s="38" t="s">
        <v>44</v>
      </c>
      <c r="J564" s="38" t="s">
        <v>45</v>
      </c>
      <c r="K564" s="38" t="s">
        <v>2349</v>
      </c>
      <c r="L564" s="30" t="s">
        <v>58</v>
      </c>
      <c r="M564" s="38" t="s">
        <v>48</v>
      </c>
      <c r="N564" s="38" t="s">
        <v>48</v>
      </c>
      <c r="O564" s="31" t="s">
        <v>1546</v>
      </c>
      <c r="P564" s="28" t="s">
        <v>1547</v>
      </c>
      <c r="Q564" s="38" t="s">
        <v>1548</v>
      </c>
      <c r="R564" s="38">
        <v>1</v>
      </c>
      <c r="S564" s="38" t="s">
        <v>75</v>
      </c>
      <c r="T564" s="38" t="s">
        <v>53</v>
      </c>
      <c r="U564" s="38" t="s">
        <v>54</v>
      </c>
      <c r="V564" s="38" t="s">
        <v>55</v>
      </c>
      <c r="Y564" s="38">
        <v>122.98</v>
      </c>
      <c r="Z564" s="38">
        <v>1</v>
      </c>
      <c r="AF564" s="38">
        <v>110.78</v>
      </c>
      <c r="AI564" s="38">
        <v>1</v>
      </c>
      <c r="AJ564" s="38">
        <v>0</v>
      </c>
      <c r="AK564" s="14" t="e">
        <f t="shared" si="2"/>
        <v>#DIV/0!</v>
      </c>
      <c r="AM564" s="9"/>
      <c r="AN564" s="9"/>
      <c r="AO564" s="28"/>
    </row>
    <row r="565" spans="1:60" ht="12.5" hidden="1">
      <c r="A565" s="28" t="s">
        <v>2350</v>
      </c>
      <c r="B565" s="39">
        <v>45658</v>
      </c>
      <c r="C565" s="29">
        <v>45674</v>
      </c>
      <c r="D565" s="38" t="s">
        <v>41</v>
      </c>
      <c r="E565" s="38" t="s">
        <v>2351</v>
      </c>
      <c r="G565" s="38" t="s">
        <v>137</v>
      </c>
      <c r="H565" s="38">
        <v>0</v>
      </c>
      <c r="L565" s="30" t="s">
        <v>58</v>
      </c>
      <c r="M565" s="38" t="s">
        <v>48</v>
      </c>
      <c r="N565" s="38" t="s">
        <v>48</v>
      </c>
      <c r="O565" s="31" t="s">
        <v>2352</v>
      </c>
      <c r="P565" s="28" t="s">
        <v>2353</v>
      </c>
      <c r="Q565" s="38" t="s">
        <v>2354</v>
      </c>
      <c r="R565" s="38">
        <v>1</v>
      </c>
      <c r="S565" s="38" t="s">
        <v>68</v>
      </c>
      <c r="T565" s="38" t="s">
        <v>53</v>
      </c>
      <c r="U565" s="38" t="s">
        <v>54</v>
      </c>
      <c r="V565" s="38" t="s">
        <v>61</v>
      </c>
      <c r="Y565" s="38">
        <v>129.69</v>
      </c>
      <c r="Z565" s="38">
        <v>1</v>
      </c>
      <c r="AI565" s="38">
        <v>1</v>
      </c>
      <c r="AJ565" s="38">
        <v>0</v>
      </c>
      <c r="AK565" s="14" t="e">
        <f t="shared" si="2"/>
        <v>#DIV/0!</v>
      </c>
      <c r="AM565" s="9" t="s">
        <v>953</v>
      </c>
      <c r="AN565" s="9"/>
      <c r="AO565" s="28"/>
    </row>
    <row r="566" spans="1:60" ht="12.5" hidden="1">
      <c r="A566" s="28" t="s">
        <v>2355</v>
      </c>
      <c r="B566" s="37">
        <v>45656</v>
      </c>
      <c r="C566" s="29">
        <v>45677</v>
      </c>
      <c r="D566" s="38" t="s">
        <v>41</v>
      </c>
      <c r="E566" s="38" t="s">
        <v>2356</v>
      </c>
      <c r="G566" s="38" t="s">
        <v>43</v>
      </c>
      <c r="H566" s="38">
        <v>11.5</v>
      </c>
      <c r="I566" s="38" t="s">
        <v>44</v>
      </c>
      <c r="J566" s="38" t="s">
        <v>45</v>
      </c>
      <c r="K566" s="38" t="s">
        <v>2357</v>
      </c>
      <c r="L566" s="30" t="s">
        <v>47</v>
      </c>
      <c r="M566" s="38" t="s">
        <v>48</v>
      </c>
      <c r="N566" s="38" t="s">
        <v>48</v>
      </c>
      <c r="O566" s="31" t="s">
        <v>2358</v>
      </c>
      <c r="P566" s="28" t="s">
        <v>2359</v>
      </c>
      <c r="Q566" s="38" t="s">
        <v>2360</v>
      </c>
      <c r="R566" s="38">
        <v>1</v>
      </c>
      <c r="S566" s="38" t="s">
        <v>82</v>
      </c>
      <c r="T566" s="38" t="s">
        <v>53</v>
      </c>
      <c r="U566" s="38" t="s">
        <v>54</v>
      </c>
      <c r="V566" s="38" t="s">
        <v>61</v>
      </c>
      <c r="Y566" s="38">
        <v>103.61</v>
      </c>
      <c r="Z566" s="38">
        <v>1</v>
      </c>
      <c r="AI566" s="38">
        <v>1</v>
      </c>
      <c r="AJ566" s="38">
        <v>0</v>
      </c>
      <c r="AK566" s="14" t="e">
        <f t="shared" si="2"/>
        <v>#DIV/0!</v>
      </c>
      <c r="AM566" s="9"/>
      <c r="AN566" s="9"/>
      <c r="AO566" s="28"/>
    </row>
    <row r="567" spans="1:60" ht="12.5" hidden="1">
      <c r="A567" s="28" t="s">
        <v>2361</v>
      </c>
      <c r="B567" s="37">
        <v>45673</v>
      </c>
      <c r="C567" s="29">
        <v>45683</v>
      </c>
      <c r="D567" s="38" t="s">
        <v>41</v>
      </c>
      <c r="E567" s="38" t="s">
        <v>2362</v>
      </c>
      <c r="G567" s="38" t="s">
        <v>43</v>
      </c>
      <c r="H567" s="38">
        <v>14.95</v>
      </c>
      <c r="I567" s="38" t="s">
        <v>44</v>
      </c>
      <c r="J567" s="38" t="s">
        <v>45</v>
      </c>
      <c r="K567" s="38" t="s">
        <v>2363</v>
      </c>
      <c r="L567" s="30" t="s">
        <v>47</v>
      </c>
      <c r="M567" s="38" t="s">
        <v>48</v>
      </c>
      <c r="N567" s="38" t="s">
        <v>48</v>
      </c>
      <c r="O567" s="31" t="s">
        <v>2364</v>
      </c>
      <c r="P567" s="28" t="s">
        <v>2365</v>
      </c>
      <c r="Q567" s="38" t="s">
        <v>2366</v>
      </c>
      <c r="R567" s="38">
        <v>1</v>
      </c>
      <c r="S567" s="38" t="s">
        <v>99</v>
      </c>
      <c r="T567" s="38" t="s">
        <v>53</v>
      </c>
      <c r="U567" s="38" t="s">
        <v>54</v>
      </c>
      <c r="V567" s="38" t="s">
        <v>61</v>
      </c>
      <c r="Y567" s="38">
        <v>105.66</v>
      </c>
      <c r="Z567" s="38">
        <v>1</v>
      </c>
      <c r="AI567" s="38">
        <v>1</v>
      </c>
      <c r="AJ567" s="38">
        <v>1</v>
      </c>
      <c r="AK567" s="14">
        <f t="shared" si="2"/>
        <v>1</v>
      </c>
      <c r="AM567" s="9"/>
      <c r="AN567" s="9"/>
      <c r="AO567" s="28"/>
    </row>
    <row r="568" spans="1:60" ht="12.5" hidden="1">
      <c r="A568" s="28" t="s">
        <v>2367</v>
      </c>
      <c r="B568" s="37">
        <v>45669</v>
      </c>
      <c r="C568" s="29">
        <v>45685</v>
      </c>
      <c r="D568" s="38" t="s">
        <v>41</v>
      </c>
      <c r="E568" s="38" t="s">
        <v>2368</v>
      </c>
      <c r="G568" s="38" t="s">
        <v>43</v>
      </c>
      <c r="H568" s="38">
        <v>20.11</v>
      </c>
      <c r="I568" s="38" t="s">
        <v>44</v>
      </c>
      <c r="J568" s="38" t="s">
        <v>45</v>
      </c>
      <c r="K568" s="38" t="s">
        <v>2369</v>
      </c>
      <c r="L568" s="30" t="s">
        <v>58</v>
      </c>
      <c r="M568" s="38" t="s">
        <v>48</v>
      </c>
      <c r="N568" s="38" t="s">
        <v>48</v>
      </c>
      <c r="O568" s="31" t="s">
        <v>2080</v>
      </c>
      <c r="P568" s="28" t="s">
        <v>2081</v>
      </c>
      <c r="Q568" s="38" t="s">
        <v>2082</v>
      </c>
      <c r="R568" s="38">
        <v>1</v>
      </c>
      <c r="S568" s="38" t="s">
        <v>68</v>
      </c>
      <c r="T568" s="38" t="s">
        <v>53</v>
      </c>
      <c r="U568" s="38" t="s">
        <v>54</v>
      </c>
      <c r="V568" s="38" t="s">
        <v>55</v>
      </c>
      <c r="Y568" s="38">
        <v>121.17</v>
      </c>
      <c r="Z568" s="38">
        <v>1</v>
      </c>
      <c r="AF568" s="38">
        <v>101.06</v>
      </c>
      <c r="AI568" s="38">
        <v>1</v>
      </c>
      <c r="AJ568" s="38">
        <v>0</v>
      </c>
      <c r="AK568" s="14" t="e">
        <f t="shared" si="2"/>
        <v>#DIV/0!</v>
      </c>
      <c r="AM568" s="9"/>
      <c r="AN568" s="9"/>
      <c r="AO568" s="28"/>
    </row>
    <row r="569" spans="1:60" ht="12.5" hidden="1">
      <c r="A569" s="28" t="s">
        <v>2370</v>
      </c>
      <c r="B569" s="37">
        <v>45667</v>
      </c>
      <c r="C569" s="29">
        <v>45674</v>
      </c>
      <c r="D569" s="38" t="s">
        <v>41</v>
      </c>
      <c r="E569" s="38" t="s">
        <v>2371</v>
      </c>
      <c r="G569" s="38" t="s">
        <v>43</v>
      </c>
      <c r="H569" s="38">
        <v>12.64</v>
      </c>
      <c r="I569" s="38" t="s">
        <v>44</v>
      </c>
      <c r="J569" s="38" t="s">
        <v>45</v>
      </c>
      <c r="K569" s="38" t="s">
        <v>2372</v>
      </c>
      <c r="L569" s="30" t="s">
        <v>47</v>
      </c>
      <c r="M569" s="38" t="s">
        <v>48</v>
      </c>
      <c r="N569" s="38" t="s">
        <v>48</v>
      </c>
      <c r="O569" s="31" t="s">
        <v>842</v>
      </c>
      <c r="P569" s="28" t="s">
        <v>843</v>
      </c>
      <c r="Q569" s="38" t="s">
        <v>844</v>
      </c>
      <c r="R569" s="38">
        <v>1</v>
      </c>
      <c r="S569" s="38" t="s">
        <v>99</v>
      </c>
      <c r="T569" s="38" t="s">
        <v>53</v>
      </c>
      <c r="U569" s="38" t="s">
        <v>54</v>
      </c>
      <c r="V569" s="38" t="s">
        <v>55</v>
      </c>
      <c r="Y569" s="38">
        <v>102.99</v>
      </c>
      <c r="Z569" s="38">
        <v>1</v>
      </c>
      <c r="AF569" s="38">
        <v>102.99</v>
      </c>
      <c r="AI569" s="38">
        <v>1</v>
      </c>
      <c r="AJ569" s="38">
        <v>2</v>
      </c>
      <c r="AK569" s="14">
        <f t="shared" si="2"/>
        <v>0.5</v>
      </c>
      <c r="AM569" s="9"/>
      <c r="AN569" s="9"/>
      <c r="AO569" s="28"/>
    </row>
    <row r="570" spans="1:60" ht="12.5" hidden="1">
      <c r="A570" s="28" t="s">
        <v>2373</v>
      </c>
      <c r="B570" s="37">
        <v>45672</v>
      </c>
      <c r="C570" s="29">
        <v>45680</v>
      </c>
      <c r="D570" s="38" t="s">
        <v>41</v>
      </c>
      <c r="E570" s="38" t="s">
        <v>2374</v>
      </c>
      <c r="G570" s="38" t="s">
        <v>43</v>
      </c>
      <c r="H570" s="38">
        <v>6.27</v>
      </c>
      <c r="I570" s="38" t="s">
        <v>44</v>
      </c>
      <c r="J570" s="38" t="s">
        <v>45</v>
      </c>
      <c r="K570" s="38" t="s">
        <v>2375</v>
      </c>
      <c r="L570" s="30" t="s">
        <v>47</v>
      </c>
      <c r="M570" s="38" t="s">
        <v>48</v>
      </c>
      <c r="N570" s="38" t="s">
        <v>48</v>
      </c>
      <c r="O570" s="31" t="s">
        <v>866</v>
      </c>
      <c r="P570" s="28" t="s">
        <v>867</v>
      </c>
      <c r="Q570" s="38" t="s">
        <v>868</v>
      </c>
      <c r="R570" s="38">
        <v>1</v>
      </c>
      <c r="S570" s="38" t="s">
        <v>92</v>
      </c>
      <c r="T570" s="38" t="s">
        <v>53</v>
      </c>
      <c r="U570" s="38" t="s">
        <v>54</v>
      </c>
      <c r="V570" s="38" t="s">
        <v>61</v>
      </c>
      <c r="Y570" s="38">
        <v>120.63</v>
      </c>
      <c r="Z570" s="38">
        <v>1</v>
      </c>
      <c r="AI570" s="38">
        <v>1</v>
      </c>
      <c r="AJ570" s="38">
        <v>1</v>
      </c>
      <c r="AK570" s="14">
        <f t="shared" si="2"/>
        <v>1</v>
      </c>
      <c r="AM570" s="9"/>
      <c r="AN570" s="9"/>
      <c r="AO570" s="28"/>
    </row>
    <row r="571" spans="1:60" ht="12.5" hidden="1">
      <c r="A571" s="28" t="s">
        <v>2376</v>
      </c>
      <c r="B571" s="37">
        <v>45657</v>
      </c>
      <c r="C571" s="29">
        <v>45675</v>
      </c>
      <c r="D571" s="38" t="s">
        <v>41</v>
      </c>
      <c r="E571" s="38" t="s">
        <v>2377</v>
      </c>
      <c r="G571" s="38" t="s">
        <v>43</v>
      </c>
      <c r="H571" s="38">
        <v>71.17</v>
      </c>
      <c r="I571" s="38" t="s">
        <v>44</v>
      </c>
      <c r="J571" s="38" t="s">
        <v>45</v>
      </c>
      <c r="K571" s="38" t="s">
        <v>2378</v>
      </c>
      <c r="L571" s="30" t="s">
        <v>58</v>
      </c>
      <c r="M571" s="38" t="s">
        <v>48</v>
      </c>
      <c r="N571" s="38" t="s">
        <v>48</v>
      </c>
      <c r="O571" s="31" t="s">
        <v>1638</v>
      </c>
      <c r="P571" s="28" t="s">
        <v>1639</v>
      </c>
      <c r="Q571" s="38" t="s">
        <v>1640</v>
      </c>
      <c r="R571" s="38">
        <v>1</v>
      </c>
      <c r="S571" s="38" t="s">
        <v>75</v>
      </c>
      <c r="T571" s="38" t="s">
        <v>53</v>
      </c>
      <c r="U571" s="38" t="s">
        <v>54</v>
      </c>
      <c r="V571" s="38" t="s">
        <v>61</v>
      </c>
      <c r="Y571" s="38">
        <v>109.15</v>
      </c>
      <c r="Z571" s="38">
        <v>1</v>
      </c>
      <c r="AI571" s="38">
        <v>1</v>
      </c>
      <c r="AJ571" s="38">
        <v>0</v>
      </c>
      <c r="AK571" s="14" t="e">
        <f t="shared" si="2"/>
        <v>#DIV/0!</v>
      </c>
      <c r="AM571" s="9"/>
      <c r="AN571" s="9"/>
      <c r="AO571" s="28"/>
    </row>
    <row r="572" spans="1:60" ht="12.5" hidden="1">
      <c r="A572" s="28" t="s">
        <v>2379</v>
      </c>
      <c r="B572" s="37">
        <v>45674</v>
      </c>
      <c r="C572" s="29">
        <v>45681</v>
      </c>
      <c r="D572" s="38" t="s">
        <v>41</v>
      </c>
      <c r="E572" s="38" t="s">
        <v>2380</v>
      </c>
      <c r="G572" s="38" t="s">
        <v>43</v>
      </c>
      <c r="H572" s="38">
        <v>16.440000000000001</v>
      </c>
      <c r="I572" s="38" t="s">
        <v>44</v>
      </c>
      <c r="J572" s="38" t="s">
        <v>45</v>
      </c>
      <c r="K572" s="38" t="s">
        <v>2381</v>
      </c>
      <c r="L572" s="30" t="s">
        <v>58</v>
      </c>
      <c r="M572" s="38" t="s">
        <v>48</v>
      </c>
      <c r="N572" s="38" t="s">
        <v>48</v>
      </c>
      <c r="O572" s="31" t="s">
        <v>1650</v>
      </c>
      <c r="P572" s="28" t="s">
        <v>1651</v>
      </c>
      <c r="Q572" s="38" t="s">
        <v>1652</v>
      </c>
      <c r="R572" s="38">
        <v>1</v>
      </c>
      <c r="S572" s="38" t="s">
        <v>68</v>
      </c>
      <c r="T572" s="38" t="s">
        <v>53</v>
      </c>
      <c r="U572" s="38" t="s">
        <v>54</v>
      </c>
      <c r="V572" s="38" t="s">
        <v>61</v>
      </c>
      <c r="Y572" s="38">
        <v>101.1</v>
      </c>
      <c r="Z572" s="38">
        <v>1</v>
      </c>
      <c r="AI572" s="38">
        <v>1</v>
      </c>
      <c r="AJ572" s="38">
        <v>2</v>
      </c>
      <c r="AK572" s="14">
        <f t="shared" si="2"/>
        <v>0.5</v>
      </c>
      <c r="AM572" s="9"/>
      <c r="AN572" s="9"/>
      <c r="AO572" s="28"/>
    </row>
    <row r="573" spans="1:60" ht="12.5" hidden="1">
      <c r="A573" s="28" t="s">
        <v>2382</v>
      </c>
      <c r="B573" s="37">
        <v>45672</v>
      </c>
      <c r="C573" s="29">
        <v>45681</v>
      </c>
      <c r="D573" s="38" t="s">
        <v>41</v>
      </c>
      <c r="E573" s="38" t="s">
        <v>2383</v>
      </c>
      <c r="G573" s="38" t="s">
        <v>43</v>
      </c>
      <c r="H573" s="38">
        <v>11.74</v>
      </c>
      <c r="I573" s="38" t="s">
        <v>44</v>
      </c>
      <c r="J573" s="38" t="s">
        <v>45</v>
      </c>
      <c r="K573" s="38" t="s">
        <v>2384</v>
      </c>
      <c r="L573" s="30" t="s">
        <v>58</v>
      </c>
      <c r="M573" s="38" t="s">
        <v>48</v>
      </c>
      <c r="N573" s="38" t="s">
        <v>48</v>
      </c>
      <c r="O573" s="31" t="s">
        <v>2385</v>
      </c>
      <c r="P573" s="28" t="s">
        <v>2386</v>
      </c>
      <c r="Q573" s="38" t="s">
        <v>2387</v>
      </c>
      <c r="R573" s="38">
        <v>1</v>
      </c>
      <c r="S573" s="38" t="s">
        <v>75</v>
      </c>
      <c r="T573" s="38" t="s">
        <v>53</v>
      </c>
      <c r="U573" s="38" t="s">
        <v>54</v>
      </c>
      <c r="V573" s="38" t="s">
        <v>55</v>
      </c>
      <c r="Y573" s="38">
        <v>71.37</v>
      </c>
      <c r="Z573" s="38">
        <v>1</v>
      </c>
      <c r="AF573" s="38">
        <v>59.63</v>
      </c>
      <c r="AI573" s="38">
        <v>1</v>
      </c>
      <c r="AJ573" s="38">
        <v>2</v>
      </c>
      <c r="AK573" s="14">
        <f t="shared" si="2"/>
        <v>0.5</v>
      </c>
      <c r="AM573" s="9"/>
      <c r="AN573" s="9"/>
      <c r="AO573" s="28"/>
    </row>
    <row r="574" spans="1:60" ht="12.5" hidden="1">
      <c r="A574" s="32"/>
      <c r="B574" s="33"/>
      <c r="C574" s="34"/>
      <c r="D574" s="33"/>
      <c r="E574" s="33"/>
      <c r="F574" s="33"/>
      <c r="G574" s="33"/>
      <c r="H574" s="33"/>
      <c r="I574" s="33"/>
      <c r="J574" s="33"/>
      <c r="K574" s="33"/>
      <c r="L574" s="35"/>
      <c r="M574" s="33"/>
      <c r="N574" s="33"/>
      <c r="O574" s="35"/>
      <c r="P574" s="32"/>
      <c r="Q574" s="33"/>
      <c r="R574" s="33"/>
      <c r="S574" s="33"/>
      <c r="T574" s="33"/>
      <c r="U574" s="33"/>
      <c r="V574" s="33"/>
      <c r="W574" s="33"/>
      <c r="X574" s="33"/>
      <c r="Y574" s="33"/>
      <c r="Z574" s="33"/>
      <c r="AA574" s="33"/>
      <c r="AB574" s="33"/>
      <c r="AC574" s="33"/>
      <c r="AD574" s="33"/>
      <c r="AE574" s="33"/>
      <c r="AF574" s="33"/>
      <c r="AG574" s="33"/>
      <c r="AH574" s="33"/>
      <c r="AI574" s="33"/>
      <c r="AJ574" s="33"/>
      <c r="AK574" s="36" t="e">
        <f t="shared" si="2"/>
        <v>#DIV/0!</v>
      </c>
      <c r="AL574" s="33"/>
      <c r="AM574" s="25"/>
      <c r="AN574" s="25"/>
      <c r="AO574" s="32"/>
      <c r="AP574" s="33"/>
      <c r="AQ574" s="33"/>
      <c r="AR574" s="33"/>
      <c r="AS574" s="33"/>
      <c r="AT574" s="33"/>
      <c r="AU574" s="33"/>
      <c r="AV574" s="33"/>
      <c r="AW574" s="33"/>
      <c r="AX574" s="33"/>
      <c r="AY574" s="33"/>
      <c r="AZ574" s="33"/>
      <c r="BA574" s="33"/>
      <c r="BB574" s="33"/>
      <c r="BC574" s="33"/>
      <c r="BD574" s="33"/>
      <c r="BE574" s="33"/>
      <c r="BF574" s="33"/>
      <c r="BG574" s="33"/>
      <c r="BH574" s="33"/>
    </row>
    <row r="575" spans="1:60" ht="12.5" hidden="1">
      <c r="A575" s="28"/>
      <c r="C575" s="29"/>
      <c r="L575" s="30"/>
      <c r="O575" s="31"/>
      <c r="P575" s="28"/>
      <c r="AK575" s="14" t="e">
        <f t="shared" si="2"/>
        <v>#DIV/0!</v>
      </c>
      <c r="AM575" s="9"/>
      <c r="AN575" s="9"/>
      <c r="AO575" s="28"/>
    </row>
    <row r="576" spans="1:60" ht="12.5" hidden="1">
      <c r="A576" s="28" t="s">
        <v>2388</v>
      </c>
      <c r="B576" s="39">
        <v>45664</v>
      </c>
      <c r="C576" s="29">
        <v>45691</v>
      </c>
      <c r="D576" s="38" t="s">
        <v>41</v>
      </c>
      <c r="E576" s="38" t="s">
        <v>2389</v>
      </c>
      <c r="G576" s="38" t="s">
        <v>43</v>
      </c>
      <c r="H576" s="38">
        <v>14.03</v>
      </c>
      <c r="I576" s="38" t="s">
        <v>44</v>
      </c>
      <c r="J576" s="38" t="s">
        <v>45</v>
      </c>
      <c r="K576" s="38" t="s">
        <v>2390</v>
      </c>
      <c r="L576" s="30" t="s">
        <v>47</v>
      </c>
      <c r="M576" s="38" t="s">
        <v>48</v>
      </c>
      <c r="N576" s="38" t="s">
        <v>48</v>
      </c>
      <c r="O576" s="31" t="s">
        <v>49</v>
      </c>
      <c r="P576" s="28" t="s">
        <v>50</v>
      </c>
      <c r="Q576" s="38" t="s">
        <v>51</v>
      </c>
      <c r="R576" s="38">
        <v>1</v>
      </c>
      <c r="S576" s="38" t="s">
        <v>92</v>
      </c>
      <c r="T576" s="38" t="s">
        <v>53</v>
      </c>
      <c r="U576" s="38" t="s">
        <v>54</v>
      </c>
      <c r="V576" s="38" t="s">
        <v>55</v>
      </c>
      <c r="Y576" s="38">
        <v>94.94</v>
      </c>
      <c r="Z576" s="38">
        <v>1</v>
      </c>
      <c r="AF576" s="38">
        <v>94.94</v>
      </c>
      <c r="AI576" s="38">
        <v>2</v>
      </c>
      <c r="AJ576" s="38">
        <v>7</v>
      </c>
      <c r="AK576" s="14">
        <f t="shared" si="2"/>
        <v>0.2857142857142857</v>
      </c>
      <c r="AM576" s="9"/>
      <c r="AN576" s="9"/>
      <c r="AO576" s="28"/>
    </row>
    <row r="577" spans="1:41" ht="12.5" hidden="1">
      <c r="A577" s="28" t="s">
        <v>2391</v>
      </c>
      <c r="B577" s="37">
        <v>45705</v>
      </c>
      <c r="C577" s="29">
        <v>45711</v>
      </c>
      <c r="D577" s="38" t="s">
        <v>41</v>
      </c>
      <c r="E577" s="38" t="s">
        <v>2392</v>
      </c>
      <c r="G577" s="38" t="s">
        <v>43</v>
      </c>
      <c r="H577" s="38">
        <v>14.03</v>
      </c>
      <c r="I577" s="38" t="s">
        <v>44</v>
      </c>
      <c r="J577" s="38" t="s">
        <v>45</v>
      </c>
      <c r="K577" s="38" t="s">
        <v>2393</v>
      </c>
      <c r="L577" s="30" t="s">
        <v>58</v>
      </c>
      <c r="M577" s="38" t="s">
        <v>48</v>
      </c>
      <c r="N577" s="38" t="s">
        <v>48</v>
      </c>
      <c r="O577" s="31" t="s">
        <v>49</v>
      </c>
      <c r="P577" s="28" t="s">
        <v>50</v>
      </c>
      <c r="Q577" s="38" t="s">
        <v>51</v>
      </c>
      <c r="R577" s="38">
        <v>1</v>
      </c>
      <c r="S577" s="38" t="s">
        <v>75</v>
      </c>
      <c r="T577" s="38" t="s">
        <v>53</v>
      </c>
      <c r="U577" s="38" t="s">
        <v>54</v>
      </c>
      <c r="V577" s="38" t="s">
        <v>55</v>
      </c>
      <c r="Y577" s="38">
        <v>97.1</v>
      </c>
      <c r="Z577" s="38">
        <v>1</v>
      </c>
      <c r="AF577" s="38">
        <v>83.07</v>
      </c>
      <c r="AK577" s="14" t="e">
        <f t="shared" si="2"/>
        <v>#DIV/0!</v>
      </c>
      <c r="AM577" s="9"/>
      <c r="AN577" s="9"/>
      <c r="AO577" s="28"/>
    </row>
    <row r="578" spans="1:41" ht="12.5" hidden="1">
      <c r="A578" s="28" t="s">
        <v>2394</v>
      </c>
      <c r="B578" s="37">
        <v>45684</v>
      </c>
      <c r="C578" s="29">
        <v>45691</v>
      </c>
      <c r="D578" s="38" t="s">
        <v>41</v>
      </c>
      <c r="G578" s="38" t="s">
        <v>137</v>
      </c>
      <c r="H578" s="38">
        <v>0</v>
      </c>
      <c r="L578" s="30" t="s">
        <v>47</v>
      </c>
      <c r="M578" s="38" t="s">
        <v>48</v>
      </c>
      <c r="N578" s="38" t="s">
        <v>48</v>
      </c>
      <c r="O578" s="31" t="s">
        <v>2395</v>
      </c>
      <c r="P578" s="28" t="s">
        <v>2396</v>
      </c>
      <c r="Q578" s="38" t="s">
        <v>2397</v>
      </c>
      <c r="R578" s="38">
        <v>1</v>
      </c>
      <c r="S578" s="38" t="s">
        <v>99</v>
      </c>
      <c r="T578" s="38" t="s">
        <v>53</v>
      </c>
      <c r="U578" s="38" t="s">
        <v>54</v>
      </c>
      <c r="V578" s="38" t="s">
        <v>141</v>
      </c>
      <c r="Y578" s="38">
        <v>38.11</v>
      </c>
      <c r="Z578" s="38">
        <v>1</v>
      </c>
      <c r="AF578" s="38">
        <v>38.11</v>
      </c>
      <c r="AI578" s="41">
        <v>2</v>
      </c>
      <c r="AJ578" s="41">
        <v>3</v>
      </c>
      <c r="AK578" s="14">
        <f t="shared" si="2"/>
        <v>0.66666666666666663</v>
      </c>
      <c r="AM578" s="9"/>
      <c r="AN578" s="9"/>
      <c r="AO578" s="28"/>
    </row>
    <row r="579" spans="1:41" ht="12.5" hidden="1">
      <c r="A579" s="28" t="s">
        <v>2398</v>
      </c>
      <c r="B579" s="37">
        <v>45686</v>
      </c>
      <c r="C579" s="29">
        <v>45712</v>
      </c>
      <c r="D579" s="38" t="s">
        <v>41</v>
      </c>
      <c r="G579" s="38" t="s">
        <v>137</v>
      </c>
      <c r="H579" s="38">
        <v>0</v>
      </c>
      <c r="L579" s="30" t="s">
        <v>47</v>
      </c>
      <c r="M579" s="38" t="s">
        <v>48</v>
      </c>
      <c r="N579" s="38" t="s">
        <v>48</v>
      </c>
      <c r="O579" s="31" t="s">
        <v>2395</v>
      </c>
      <c r="P579" s="28" t="s">
        <v>2396</v>
      </c>
      <c r="Q579" s="38" t="s">
        <v>2397</v>
      </c>
      <c r="R579" s="38">
        <v>1</v>
      </c>
      <c r="S579" s="38" t="s">
        <v>99</v>
      </c>
      <c r="T579" s="38" t="s">
        <v>53</v>
      </c>
      <c r="U579" s="38" t="s">
        <v>54</v>
      </c>
      <c r="V579" s="38" t="s">
        <v>141</v>
      </c>
      <c r="Y579" s="38">
        <v>38.74</v>
      </c>
      <c r="Z579" s="38">
        <v>1</v>
      </c>
      <c r="AF579" s="38">
        <v>38.74</v>
      </c>
      <c r="AK579" s="14" t="e">
        <f t="shared" si="2"/>
        <v>#DIV/0!</v>
      </c>
      <c r="AM579" s="9"/>
      <c r="AN579" s="9"/>
      <c r="AO579" s="28"/>
    </row>
    <row r="580" spans="1:41" ht="12.5" hidden="1">
      <c r="A580" s="28" t="s">
        <v>2399</v>
      </c>
      <c r="B580" s="37">
        <v>45704</v>
      </c>
      <c r="C580" s="29">
        <v>45705</v>
      </c>
      <c r="D580" s="38" t="s">
        <v>41</v>
      </c>
      <c r="E580" s="38" t="s">
        <v>2400</v>
      </c>
      <c r="G580" s="38" t="s">
        <v>43</v>
      </c>
      <c r="H580" s="38">
        <v>11.1</v>
      </c>
      <c r="I580" s="38" t="s">
        <v>44</v>
      </c>
      <c r="J580" s="38" t="s">
        <v>45</v>
      </c>
      <c r="K580" s="38" t="s">
        <v>2401</v>
      </c>
      <c r="L580" s="30" t="s">
        <v>58</v>
      </c>
      <c r="M580" s="38" t="s">
        <v>48</v>
      </c>
      <c r="N580" s="38" t="s">
        <v>48</v>
      </c>
      <c r="O580" s="31" t="s">
        <v>72</v>
      </c>
      <c r="P580" s="28" t="s">
        <v>73</v>
      </c>
      <c r="Q580" s="38" t="s">
        <v>74</v>
      </c>
      <c r="R580" s="38">
        <v>1</v>
      </c>
      <c r="S580" s="38" t="s">
        <v>75</v>
      </c>
      <c r="T580" s="38" t="s">
        <v>53</v>
      </c>
      <c r="U580" s="38" t="s">
        <v>54</v>
      </c>
      <c r="V580" s="38" t="s">
        <v>61</v>
      </c>
      <c r="Y580" s="38">
        <v>53.42</v>
      </c>
      <c r="Z580" s="38">
        <v>1</v>
      </c>
      <c r="AI580" s="38">
        <v>1</v>
      </c>
      <c r="AJ580" s="38">
        <v>8</v>
      </c>
      <c r="AK580" s="14">
        <f t="shared" si="2"/>
        <v>0.125</v>
      </c>
      <c r="AM580" s="9"/>
      <c r="AN580" s="9"/>
      <c r="AO580" s="28"/>
    </row>
    <row r="581" spans="1:41" ht="12.5" hidden="1">
      <c r="A581" s="28" t="s">
        <v>2402</v>
      </c>
      <c r="B581" s="37">
        <v>45707</v>
      </c>
      <c r="C581" s="29">
        <v>45715</v>
      </c>
      <c r="D581" s="38" t="s">
        <v>41</v>
      </c>
      <c r="E581" s="38" t="s">
        <v>2403</v>
      </c>
      <c r="G581" s="38" t="s">
        <v>43</v>
      </c>
      <c r="H581" s="38">
        <v>11.1</v>
      </c>
      <c r="I581" s="38" t="s">
        <v>44</v>
      </c>
      <c r="J581" s="38" t="s">
        <v>45</v>
      </c>
      <c r="K581" s="38" t="s">
        <v>2404</v>
      </c>
      <c r="L581" s="30" t="s">
        <v>47</v>
      </c>
      <c r="M581" s="38" t="s">
        <v>48</v>
      </c>
      <c r="N581" s="38" t="s">
        <v>48</v>
      </c>
      <c r="O581" s="31" t="s">
        <v>79</v>
      </c>
      <c r="P581" s="28" t="s">
        <v>80</v>
      </c>
      <c r="Q581" s="38" t="s">
        <v>81</v>
      </c>
      <c r="R581" s="38">
        <v>1</v>
      </c>
      <c r="S581" s="38" t="s">
        <v>99</v>
      </c>
      <c r="T581" s="38" t="s">
        <v>53</v>
      </c>
      <c r="U581" s="38" t="s">
        <v>54</v>
      </c>
      <c r="V581" s="38" t="s">
        <v>55</v>
      </c>
      <c r="Y581" s="38">
        <v>53.42</v>
      </c>
      <c r="Z581" s="38">
        <v>1</v>
      </c>
      <c r="AF581" s="38">
        <v>53.42</v>
      </c>
      <c r="AI581" s="38">
        <v>1</v>
      </c>
      <c r="AJ581" s="38">
        <v>19</v>
      </c>
      <c r="AK581" s="14">
        <f t="shared" si="2"/>
        <v>5.2631578947368418E-2</v>
      </c>
      <c r="AM581" s="9"/>
      <c r="AN581" s="9"/>
      <c r="AO581" s="28"/>
    </row>
    <row r="582" spans="1:41" ht="12.5" hidden="1">
      <c r="A582" s="28" t="s">
        <v>2405</v>
      </c>
      <c r="B582" s="39">
        <v>45661</v>
      </c>
      <c r="C582" s="29">
        <v>45695</v>
      </c>
      <c r="D582" s="38" t="s">
        <v>41</v>
      </c>
      <c r="E582" s="38" t="s">
        <v>2406</v>
      </c>
      <c r="G582" s="38" t="s">
        <v>43</v>
      </c>
      <c r="H582" s="38">
        <v>12.2</v>
      </c>
      <c r="I582" s="38" t="s">
        <v>44</v>
      </c>
      <c r="J582" s="38" t="s">
        <v>45</v>
      </c>
      <c r="K582" s="38" t="s">
        <v>2407</v>
      </c>
      <c r="L582" s="30" t="s">
        <v>47</v>
      </c>
      <c r="M582" s="38" t="s">
        <v>48</v>
      </c>
      <c r="N582" s="38" t="s">
        <v>48</v>
      </c>
      <c r="O582" s="31" t="s">
        <v>96</v>
      </c>
      <c r="P582" s="28" t="s">
        <v>97</v>
      </c>
      <c r="Q582" s="38" t="s">
        <v>98</v>
      </c>
      <c r="R582" s="38">
        <v>1</v>
      </c>
      <c r="S582" s="38" t="s">
        <v>99</v>
      </c>
      <c r="T582" s="38" t="s">
        <v>53</v>
      </c>
      <c r="U582" s="38" t="s">
        <v>54</v>
      </c>
      <c r="V582" s="38" t="s">
        <v>61</v>
      </c>
      <c r="Y582" s="38">
        <v>72.150000000000006</v>
      </c>
      <c r="Z582" s="38">
        <v>1</v>
      </c>
      <c r="AI582" s="41">
        <v>3</v>
      </c>
      <c r="AJ582" s="41">
        <v>3</v>
      </c>
      <c r="AK582" s="14">
        <f t="shared" si="2"/>
        <v>1</v>
      </c>
      <c r="AM582" s="9"/>
      <c r="AN582" s="9"/>
      <c r="AO582" s="28"/>
    </row>
    <row r="583" spans="1:41" ht="12.5" hidden="1">
      <c r="A583" s="28" t="s">
        <v>2408</v>
      </c>
      <c r="B583" s="37">
        <v>45655</v>
      </c>
      <c r="C583" s="29">
        <v>45692</v>
      </c>
      <c r="D583" s="38" t="s">
        <v>41</v>
      </c>
      <c r="E583" s="38" t="s">
        <v>2409</v>
      </c>
      <c r="G583" s="38" t="s">
        <v>43</v>
      </c>
      <c r="H583" s="38">
        <v>12.2</v>
      </c>
      <c r="I583" s="38" t="s">
        <v>44</v>
      </c>
      <c r="J583" s="38" t="s">
        <v>45</v>
      </c>
      <c r="K583" s="38" t="s">
        <v>2410</v>
      </c>
      <c r="L583" s="30" t="s">
        <v>47</v>
      </c>
      <c r="M583" s="38" t="s">
        <v>48</v>
      </c>
      <c r="N583" s="38" t="s">
        <v>48</v>
      </c>
      <c r="O583" s="31" t="s">
        <v>96</v>
      </c>
      <c r="P583" s="28" t="s">
        <v>97</v>
      </c>
      <c r="Q583" s="38" t="s">
        <v>98</v>
      </c>
      <c r="R583" s="38">
        <v>1</v>
      </c>
      <c r="S583" s="38" t="s">
        <v>421</v>
      </c>
      <c r="T583" s="38" t="s">
        <v>53</v>
      </c>
      <c r="U583" s="38" t="s">
        <v>54</v>
      </c>
      <c r="V583" s="38" t="s">
        <v>55</v>
      </c>
      <c r="Y583" s="38">
        <v>79.16</v>
      </c>
      <c r="Z583" s="38">
        <v>1</v>
      </c>
      <c r="AA583" s="38" t="s">
        <v>2411</v>
      </c>
      <c r="AB583" s="38" t="s">
        <v>2412</v>
      </c>
      <c r="AC583" s="38" t="s">
        <v>2413</v>
      </c>
      <c r="AD583" s="37">
        <v>45701</v>
      </c>
      <c r="AF583" s="38">
        <v>79.16</v>
      </c>
      <c r="AK583" s="14" t="e">
        <f t="shared" si="2"/>
        <v>#DIV/0!</v>
      </c>
      <c r="AM583" s="9"/>
      <c r="AN583" s="9"/>
      <c r="AO583" s="28"/>
    </row>
    <row r="584" spans="1:41" ht="12.5" hidden="1">
      <c r="A584" s="28" t="s">
        <v>2414</v>
      </c>
      <c r="B584" s="37">
        <v>45700</v>
      </c>
      <c r="C584" s="29">
        <v>45704</v>
      </c>
      <c r="D584" s="38" t="s">
        <v>41</v>
      </c>
      <c r="E584" s="38" t="s">
        <v>2415</v>
      </c>
      <c r="G584" s="38" t="s">
        <v>43</v>
      </c>
      <c r="H584" s="38">
        <v>12.2</v>
      </c>
      <c r="I584" s="38" t="s">
        <v>44</v>
      </c>
      <c r="J584" s="38" t="s">
        <v>45</v>
      </c>
      <c r="K584" s="38" t="s">
        <v>2416</v>
      </c>
      <c r="L584" s="30" t="s">
        <v>47</v>
      </c>
      <c r="M584" s="38" t="s">
        <v>48</v>
      </c>
      <c r="N584" s="38" t="s">
        <v>48</v>
      </c>
      <c r="O584" s="31" t="s">
        <v>96</v>
      </c>
      <c r="P584" s="28" t="s">
        <v>97</v>
      </c>
      <c r="Q584" s="38" t="s">
        <v>98</v>
      </c>
      <c r="R584" s="38">
        <v>1</v>
      </c>
      <c r="S584" s="38" t="s">
        <v>99</v>
      </c>
      <c r="T584" s="38" t="s">
        <v>53</v>
      </c>
      <c r="U584" s="38" t="s">
        <v>54</v>
      </c>
      <c r="V584" s="38" t="s">
        <v>55</v>
      </c>
      <c r="Y584" s="38">
        <v>84.32</v>
      </c>
      <c r="Z584" s="38">
        <v>1</v>
      </c>
      <c r="AF584" s="38">
        <v>84.32</v>
      </c>
      <c r="AK584" s="14" t="e">
        <f t="shared" si="2"/>
        <v>#DIV/0!</v>
      </c>
      <c r="AM584" s="9"/>
      <c r="AN584" s="9"/>
      <c r="AO584" s="28"/>
    </row>
    <row r="585" spans="1:41" ht="12.5" hidden="1">
      <c r="A585" s="28" t="s">
        <v>2417</v>
      </c>
      <c r="B585" s="39">
        <v>45695</v>
      </c>
      <c r="C585" s="29">
        <v>45701</v>
      </c>
      <c r="D585" s="38" t="s">
        <v>41</v>
      </c>
      <c r="E585" s="38" t="s">
        <v>2418</v>
      </c>
      <c r="G585" s="38" t="s">
        <v>43</v>
      </c>
      <c r="H585" s="38">
        <v>6.27</v>
      </c>
      <c r="I585" s="38" t="s">
        <v>44</v>
      </c>
      <c r="J585" s="38" t="s">
        <v>45</v>
      </c>
      <c r="K585" s="38" t="s">
        <v>2419</v>
      </c>
      <c r="L585" s="30" t="s">
        <v>58</v>
      </c>
      <c r="M585" s="38" t="s">
        <v>48</v>
      </c>
      <c r="N585" s="38" t="s">
        <v>48</v>
      </c>
      <c r="O585" s="31" t="s">
        <v>103</v>
      </c>
      <c r="P585" s="28" t="s">
        <v>104</v>
      </c>
      <c r="Q585" s="38" t="s">
        <v>105</v>
      </c>
      <c r="R585" s="38">
        <v>1</v>
      </c>
      <c r="S585" s="38" t="s">
        <v>75</v>
      </c>
      <c r="T585" s="38" t="s">
        <v>53</v>
      </c>
      <c r="U585" s="38" t="s">
        <v>54</v>
      </c>
      <c r="V585" s="38" t="s">
        <v>61</v>
      </c>
      <c r="Y585" s="38">
        <v>102.5</v>
      </c>
      <c r="Z585" s="38">
        <v>1</v>
      </c>
      <c r="AI585" s="38">
        <v>1</v>
      </c>
      <c r="AJ585" s="38">
        <v>4</v>
      </c>
      <c r="AK585" s="14">
        <f t="shared" si="2"/>
        <v>0.25</v>
      </c>
      <c r="AM585" s="9"/>
      <c r="AN585" s="9"/>
      <c r="AO585" s="28"/>
    </row>
    <row r="586" spans="1:41" ht="12.5" hidden="1">
      <c r="A586" s="28" t="s">
        <v>2420</v>
      </c>
      <c r="B586" s="39">
        <v>45695</v>
      </c>
      <c r="C586" s="29">
        <v>45702</v>
      </c>
      <c r="D586" s="38" t="s">
        <v>41</v>
      </c>
      <c r="E586" s="38" t="s">
        <v>2421</v>
      </c>
      <c r="G586" s="38" t="s">
        <v>43</v>
      </c>
      <c r="H586" s="38">
        <v>11.1</v>
      </c>
      <c r="I586" s="38" t="s">
        <v>44</v>
      </c>
      <c r="J586" s="38" t="s">
        <v>45</v>
      </c>
      <c r="K586" s="38" t="s">
        <v>2422</v>
      </c>
      <c r="L586" s="30" t="s">
        <v>58</v>
      </c>
      <c r="M586" s="38" t="s">
        <v>48</v>
      </c>
      <c r="N586" s="38" t="s">
        <v>48</v>
      </c>
      <c r="O586" s="31" t="s">
        <v>1003</v>
      </c>
      <c r="P586" s="28" t="s">
        <v>1004</v>
      </c>
      <c r="Q586" s="38" t="s">
        <v>1005</v>
      </c>
      <c r="R586" s="38">
        <v>1</v>
      </c>
      <c r="S586" s="38" t="s">
        <v>68</v>
      </c>
      <c r="T586" s="38" t="s">
        <v>53</v>
      </c>
      <c r="U586" s="38" t="s">
        <v>54</v>
      </c>
      <c r="V586" s="38" t="s">
        <v>55</v>
      </c>
      <c r="Y586" s="38">
        <v>97.27</v>
      </c>
      <c r="Z586" s="38">
        <v>1</v>
      </c>
      <c r="AF586" s="38">
        <v>86.17</v>
      </c>
      <c r="AI586" s="41">
        <v>2</v>
      </c>
      <c r="AJ586" s="41">
        <v>4</v>
      </c>
      <c r="AK586" s="14">
        <f t="shared" si="2"/>
        <v>0.5</v>
      </c>
      <c r="AM586" s="9"/>
      <c r="AN586" s="9"/>
      <c r="AO586" s="28"/>
    </row>
    <row r="587" spans="1:41" ht="12.5" hidden="1">
      <c r="A587" s="28" t="s">
        <v>2423</v>
      </c>
      <c r="B587" s="37">
        <v>45702</v>
      </c>
      <c r="C587" s="29">
        <v>45709</v>
      </c>
      <c r="D587" s="38" t="s">
        <v>41</v>
      </c>
      <c r="E587" s="38" t="s">
        <v>2424</v>
      </c>
      <c r="G587" s="38" t="s">
        <v>43</v>
      </c>
      <c r="H587" s="38">
        <v>11.1</v>
      </c>
      <c r="I587" s="38" t="s">
        <v>44</v>
      </c>
      <c r="J587" s="38" t="s">
        <v>45</v>
      </c>
      <c r="K587" s="38" t="s">
        <v>2425</v>
      </c>
      <c r="L587" s="30" t="s">
        <v>58</v>
      </c>
      <c r="M587" s="38" t="s">
        <v>48</v>
      </c>
      <c r="N587" s="38" t="s">
        <v>48</v>
      </c>
      <c r="O587" s="31" t="s">
        <v>1003</v>
      </c>
      <c r="P587" s="28" t="s">
        <v>1004</v>
      </c>
      <c r="Q587" s="38" t="s">
        <v>1005</v>
      </c>
      <c r="R587" s="38">
        <v>1</v>
      </c>
      <c r="S587" s="38" t="s">
        <v>68</v>
      </c>
      <c r="T587" s="38" t="s">
        <v>53</v>
      </c>
      <c r="U587" s="38" t="s">
        <v>54</v>
      </c>
      <c r="V587" s="38" t="s">
        <v>61</v>
      </c>
      <c r="Y587" s="38">
        <v>96.67</v>
      </c>
      <c r="Z587" s="38">
        <v>1</v>
      </c>
      <c r="AK587" s="14" t="e">
        <f t="shared" si="2"/>
        <v>#DIV/0!</v>
      </c>
      <c r="AM587" s="9"/>
      <c r="AN587" s="9"/>
      <c r="AO587" s="28"/>
    </row>
    <row r="588" spans="1:41" ht="12.5" hidden="1">
      <c r="A588" s="28" t="s">
        <v>2426</v>
      </c>
      <c r="B588" s="39">
        <v>45660</v>
      </c>
      <c r="C588" s="29">
        <v>45692</v>
      </c>
      <c r="D588" s="38" t="s">
        <v>41</v>
      </c>
      <c r="E588" s="38" t="s">
        <v>2427</v>
      </c>
      <c r="G588" s="38" t="s">
        <v>43</v>
      </c>
      <c r="H588" s="38">
        <v>11.74</v>
      </c>
      <c r="I588" s="38" t="s">
        <v>44</v>
      </c>
      <c r="J588" s="38" t="s">
        <v>45</v>
      </c>
      <c r="K588" s="38" t="s">
        <v>2428</v>
      </c>
      <c r="L588" s="30" t="s">
        <v>47</v>
      </c>
      <c r="M588" s="38" t="s">
        <v>48</v>
      </c>
      <c r="N588" s="38" t="s">
        <v>48</v>
      </c>
      <c r="O588" s="31" t="s">
        <v>160</v>
      </c>
      <c r="P588" s="28" t="s">
        <v>161</v>
      </c>
      <c r="Q588" s="38" t="s">
        <v>2143</v>
      </c>
      <c r="R588" s="38">
        <v>1</v>
      </c>
      <c r="S588" s="38" t="s">
        <v>92</v>
      </c>
      <c r="T588" s="38" t="s">
        <v>53</v>
      </c>
      <c r="U588" s="38" t="s">
        <v>54</v>
      </c>
      <c r="V588" s="38" t="s">
        <v>55</v>
      </c>
      <c r="Y588" s="38">
        <v>52.93</v>
      </c>
      <c r="Z588" s="38">
        <v>1</v>
      </c>
      <c r="AF588" s="38">
        <v>52.93</v>
      </c>
      <c r="AI588" s="38">
        <v>1</v>
      </c>
      <c r="AJ588" s="38">
        <v>10</v>
      </c>
      <c r="AK588" s="14">
        <f t="shared" si="2"/>
        <v>0.1</v>
      </c>
      <c r="AM588" s="9"/>
      <c r="AN588" s="9"/>
      <c r="AO588" s="28"/>
    </row>
    <row r="589" spans="1:41" ht="12.5" hidden="1">
      <c r="A589" s="28" t="s">
        <v>2429</v>
      </c>
      <c r="B589" s="37">
        <v>45698</v>
      </c>
      <c r="C589" s="29">
        <v>45707</v>
      </c>
      <c r="D589" s="38" t="s">
        <v>41</v>
      </c>
      <c r="E589" s="38" t="s">
        <v>2430</v>
      </c>
      <c r="G589" s="38" t="s">
        <v>43</v>
      </c>
      <c r="H589" s="38">
        <v>7.08</v>
      </c>
      <c r="I589" s="38" t="s">
        <v>44</v>
      </c>
      <c r="J589" s="38" t="s">
        <v>45</v>
      </c>
      <c r="K589" s="38" t="s">
        <v>2431</v>
      </c>
      <c r="L589" s="30" t="s">
        <v>58</v>
      </c>
      <c r="M589" s="38" t="s">
        <v>48</v>
      </c>
      <c r="N589" s="38" t="s">
        <v>48</v>
      </c>
      <c r="O589" s="31" t="s">
        <v>210</v>
      </c>
      <c r="P589" s="28" t="s">
        <v>211</v>
      </c>
      <c r="Q589" s="38" t="s">
        <v>212</v>
      </c>
      <c r="R589" s="38">
        <v>1</v>
      </c>
      <c r="S589" s="38" t="s">
        <v>68</v>
      </c>
      <c r="T589" s="38" t="s">
        <v>53</v>
      </c>
      <c r="U589" s="38" t="s">
        <v>54</v>
      </c>
      <c r="V589" s="38" t="s">
        <v>61</v>
      </c>
      <c r="Y589" s="38">
        <v>141.69999999999999</v>
      </c>
      <c r="Z589" s="38">
        <v>1</v>
      </c>
      <c r="AI589" s="38">
        <v>1</v>
      </c>
      <c r="AJ589" s="38">
        <v>4</v>
      </c>
      <c r="AK589" s="14">
        <f t="shared" si="2"/>
        <v>0.25</v>
      </c>
      <c r="AM589" s="9"/>
      <c r="AN589" s="9"/>
      <c r="AO589" s="28"/>
    </row>
    <row r="590" spans="1:41" ht="12.5" hidden="1">
      <c r="A590" s="28" t="s">
        <v>2432</v>
      </c>
      <c r="B590" s="37">
        <v>45673</v>
      </c>
      <c r="C590" s="29">
        <v>45701</v>
      </c>
      <c r="D590" s="38" t="s">
        <v>41</v>
      </c>
      <c r="E590" s="38" t="s">
        <v>2433</v>
      </c>
      <c r="G590" s="38" t="s">
        <v>43</v>
      </c>
      <c r="H590" s="38">
        <v>13.56</v>
      </c>
      <c r="I590" s="38" t="s">
        <v>44</v>
      </c>
      <c r="J590" s="38" t="s">
        <v>45</v>
      </c>
      <c r="K590" s="38" t="s">
        <v>2434</v>
      </c>
      <c r="L590" s="30" t="s">
        <v>58</v>
      </c>
      <c r="M590" s="38" t="s">
        <v>48</v>
      </c>
      <c r="N590" s="38" t="s">
        <v>48</v>
      </c>
      <c r="O590" s="31" t="s">
        <v>219</v>
      </c>
      <c r="P590" s="28" t="s">
        <v>220</v>
      </c>
      <c r="Q590" s="38" t="s">
        <v>221</v>
      </c>
      <c r="R590" s="38">
        <v>1</v>
      </c>
      <c r="S590" s="38" t="s">
        <v>68</v>
      </c>
      <c r="T590" s="38" t="s">
        <v>53</v>
      </c>
      <c r="U590" s="38" t="s">
        <v>54</v>
      </c>
      <c r="V590" s="38" t="s">
        <v>55</v>
      </c>
      <c r="Y590" s="38">
        <v>82.7</v>
      </c>
      <c r="Z590" s="38">
        <v>1</v>
      </c>
      <c r="AF590" s="38">
        <v>69.14</v>
      </c>
      <c r="AI590" s="38">
        <v>3</v>
      </c>
      <c r="AJ590" s="38">
        <v>22</v>
      </c>
      <c r="AK590" s="14">
        <f t="shared" si="2"/>
        <v>0.13636363636363635</v>
      </c>
      <c r="AM590" s="9"/>
      <c r="AN590" s="9"/>
      <c r="AO590" s="28"/>
    </row>
    <row r="591" spans="1:41" ht="12.5" hidden="1">
      <c r="A591" s="28" t="s">
        <v>2435</v>
      </c>
      <c r="B591" s="37">
        <v>45675</v>
      </c>
      <c r="C591" s="29">
        <v>45691</v>
      </c>
      <c r="D591" s="38" t="s">
        <v>41</v>
      </c>
      <c r="E591" s="38" t="s">
        <v>2436</v>
      </c>
      <c r="G591" s="38" t="s">
        <v>43</v>
      </c>
      <c r="H591" s="38">
        <v>13.56</v>
      </c>
      <c r="I591" s="38" t="s">
        <v>44</v>
      </c>
      <c r="J591" s="38" t="s">
        <v>45</v>
      </c>
      <c r="K591" s="38" t="s">
        <v>2437</v>
      </c>
      <c r="L591" s="30" t="s">
        <v>58</v>
      </c>
      <c r="M591" s="38" t="s">
        <v>48</v>
      </c>
      <c r="N591" s="38" t="s">
        <v>48</v>
      </c>
      <c r="O591" s="31" t="s">
        <v>219</v>
      </c>
      <c r="P591" s="28" t="s">
        <v>220</v>
      </c>
      <c r="Q591" s="38" t="s">
        <v>221</v>
      </c>
      <c r="R591" s="38">
        <v>1</v>
      </c>
      <c r="S591" s="38" t="s">
        <v>68</v>
      </c>
      <c r="T591" s="38" t="s">
        <v>53</v>
      </c>
      <c r="U591" s="38" t="s">
        <v>54</v>
      </c>
      <c r="V591" s="38" t="s">
        <v>55</v>
      </c>
      <c r="Y591" s="38">
        <v>81.55</v>
      </c>
      <c r="Z591" s="38">
        <v>1</v>
      </c>
      <c r="AF591" s="38">
        <v>67.989999999999995</v>
      </c>
      <c r="AK591" s="14" t="e">
        <f t="shared" si="2"/>
        <v>#DIV/0!</v>
      </c>
      <c r="AM591" s="9"/>
      <c r="AN591" s="9"/>
      <c r="AO591" s="28"/>
    </row>
    <row r="592" spans="1:41" ht="12.5" hidden="1">
      <c r="A592" s="28" t="s">
        <v>2438</v>
      </c>
      <c r="B592" s="37">
        <v>45707</v>
      </c>
      <c r="C592" s="29">
        <v>45711</v>
      </c>
      <c r="D592" s="38" t="s">
        <v>41</v>
      </c>
      <c r="E592" s="38" t="s">
        <v>2439</v>
      </c>
      <c r="G592" s="38" t="s">
        <v>43</v>
      </c>
      <c r="H592" s="38">
        <v>13.56</v>
      </c>
      <c r="I592" s="38" t="s">
        <v>44</v>
      </c>
      <c r="J592" s="38" t="s">
        <v>45</v>
      </c>
      <c r="K592" s="38" t="s">
        <v>2440</v>
      </c>
      <c r="L592" s="30" t="s">
        <v>47</v>
      </c>
      <c r="M592" s="38" t="s">
        <v>48</v>
      </c>
      <c r="N592" s="38" t="s">
        <v>48</v>
      </c>
      <c r="O592" s="31" t="s">
        <v>219</v>
      </c>
      <c r="P592" s="28" t="s">
        <v>220</v>
      </c>
      <c r="Q592" s="38" t="s">
        <v>221</v>
      </c>
      <c r="R592" s="38">
        <v>1</v>
      </c>
      <c r="S592" s="38" t="s">
        <v>99</v>
      </c>
      <c r="T592" s="38" t="s">
        <v>53</v>
      </c>
      <c r="U592" s="38" t="s">
        <v>54</v>
      </c>
      <c r="V592" s="38" t="s">
        <v>55</v>
      </c>
      <c r="Y592" s="38">
        <v>83.53</v>
      </c>
      <c r="Z592" s="38">
        <v>1</v>
      </c>
      <c r="AF592" s="38">
        <v>83.53</v>
      </c>
      <c r="AK592" s="14" t="e">
        <f t="shared" si="2"/>
        <v>#DIV/0!</v>
      </c>
      <c r="AM592" s="9"/>
      <c r="AN592" s="9"/>
      <c r="AO592" s="28"/>
    </row>
    <row r="593" spans="1:41" ht="12.5" hidden="1">
      <c r="A593" s="28" t="s">
        <v>2441</v>
      </c>
      <c r="B593" s="39">
        <v>45693</v>
      </c>
      <c r="C593" s="29">
        <v>45703</v>
      </c>
      <c r="D593" s="38" t="s">
        <v>41</v>
      </c>
      <c r="E593" s="38" t="s">
        <v>2442</v>
      </c>
      <c r="G593" s="38" t="s">
        <v>43</v>
      </c>
      <c r="H593" s="38">
        <v>6.27</v>
      </c>
      <c r="I593" s="38" t="s">
        <v>44</v>
      </c>
      <c r="J593" s="38" t="s">
        <v>45</v>
      </c>
      <c r="K593" s="38" t="s">
        <v>2443</v>
      </c>
      <c r="L593" s="30" t="s">
        <v>47</v>
      </c>
      <c r="M593" s="38" t="s">
        <v>48</v>
      </c>
      <c r="N593" s="38" t="s">
        <v>48</v>
      </c>
      <c r="O593" s="31" t="s">
        <v>1803</v>
      </c>
      <c r="P593" s="28" t="s">
        <v>1804</v>
      </c>
      <c r="Q593" s="38" t="s">
        <v>1805</v>
      </c>
      <c r="R593" s="38">
        <v>1</v>
      </c>
      <c r="S593" s="38" t="s">
        <v>92</v>
      </c>
      <c r="T593" s="38" t="s">
        <v>53</v>
      </c>
      <c r="U593" s="38" t="s">
        <v>54</v>
      </c>
      <c r="V593" s="38" t="s">
        <v>61</v>
      </c>
      <c r="Y593" s="38">
        <v>32.229999999999997</v>
      </c>
      <c r="Z593" s="38">
        <v>1</v>
      </c>
      <c r="AF593" s="38">
        <v>32.229999999999997</v>
      </c>
      <c r="AI593" s="38">
        <v>20</v>
      </c>
      <c r="AJ593" s="38">
        <v>51</v>
      </c>
      <c r="AK593" s="14">
        <f t="shared" si="2"/>
        <v>0.39215686274509803</v>
      </c>
      <c r="AM593" s="9"/>
      <c r="AN593" s="9"/>
      <c r="AO593" s="28"/>
    </row>
    <row r="594" spans="1:41" ht="12.5" hidden="1">
      <c r="A594" s="28" t="s">
        <v>2444</v>
      </c>
      <c r="B594" s="39">
        <v>45691</v>
      </c>
      <c r="C594" s="29">
        <v>45702</v>
      </c>
      <c r="D594" s="38" t="s">
        <v>41</v>
      </c>
      <c r="E594" s="38" t="s">
        <v>2445</v>
      </c>
      <c r="G594" s="38" t="s">
        <v>43</v>
      </c>
      <c r="H594" s="38">
        <v>6.27</v>
      </c>
      <c r="I594" s="38" t="s">
        <v>44</v>
      </c>
      <c r="J594" s="38" t="s">
        <v>45</v>
      </c>
      <c r="K594" s="38" t="s">
        <v>2446</v>
      </c>
      <c r="L594" s="30" t="s">
        <v>47</v>
      </c>
      <c r="M594" s="38" t="s">
        <v>48</v>
      </c>
      <c r="N594" s="38" t="s">
        <v>48</v>
      </c>
      <c r="O594" s="31" t="s">
        <v>1803</v>
      </c>
      <c r="P594" s="28" t="s">
        <v>1804</v>
      </c>
      <c r="Q594" s="38" t="s">
        <v>1805</v>
      </c>
      <c r="R594" s="38">
        <v>1</v>
      </c>
      <c r="S594" s="38" t="s">
        <v>52</v>
      </c>
      <c r="T594" s="38" t="s">
        <v>53</v>
      </c>
      <c r="U594" s="38" t="s">
        <v>54</v>
      </c>
      <c r="V594" s="38" t="s">
        <v>61</v>
      </c>
      <c r="Y594" s="38">
        <v>29.98</v>
      </c>
      <c r="Z594" s="38">
        <v>1</v>
      </c>
      <c r="AF594" s="38">
        <v>29.98</v>
      </c>
      <c r="AK594" s="14" t="e">
        <f t="shared" si="2"/>
        <v>#DIV/0!</v>
      </c>
      <c r="AM594" s="9"/>
      <c r="AN594" s="9"/>
      <c r="AO594" s="28"/>
    </row>
    <row r="595" spans="1:41" ht="12.5" hidden="1">
      <c r="A595" s="28" t="s">
        <v>2447</v>
      </c>
      <c r="B595" s="39">
        <v>45692</v>
      </c>
      <c r="C595" s="29">
        <v>45702</v>
      </c>
      <c r="D595" s="38" t="s">
        <v>41</v>
      </c>
      <c r="E595" s="38" t="s">
        <v>2448</v>
      </c>
      <c r="G595" s="38" t="s">
        <v>43</v>
      </c>
      <c r="H595" s="38">
        <v>6.27</v>
      </c>
      <c r="I595" s="38" t="s">
        <v>44</v>
      </c>
      <c r="J595" s="38" t="s">
        <v>45</v>
      </c>
      <c r="K595" s="38" t="s">
        <v>2449</v>
      </c>
      <c r="L595" s="30" t="s">
        <v>47</v>
      </c>
      <c r="M595" s="38" t="s">
        <v>48</v>
      </c>
      <c r="N595" s="38" t="s">
        <v>48</v>
      </c>
      <c r="O595" s="31" t="s">
        <v>1803</v>
      </c>
      <c r="P595" s="28" t="s">
        <v>1804</v>
      </c>
      <c r="Q595" s="38" t="s">
        <v>1805</v>
      </c>
      <c r="R595" s="38">
        <v>1</v>
      </c>
      <c r="S595" s="38" t="s">
        <v>92</v>
      </c>
      <c r="T595" s="38" t="s">
        <v>53</v>
      </c>
      <c r="U595" s="38" t="s">
        <v>54</v>
      </c>
      <c r="V595" s="38" t="s">
        <v>61</v>
      </c>
      <c r="Y595" s="38">
        <v>32.770000000000003</v>
      </c>
      <c r="Z595" s="38">
        <v>1</v>
      </c>
      <c r="AF595" s="38">
        <v>32.770000000000003</v>
      </c>
      <c r="AK595" s="14" t="e">
        <f t="shared" si="2"/>
        <v>#DIV/0!</v>
      </c>
      <c r="AM595" s="9"/>
      <c r="AN595" s="9"/>
      <c r="AO595" s="28"/>
    </row>
    <row r="596" spans="1:41" ht="12.5" hidden="1">
      <c r="A596" s="28" t="s">
        <v>2450</v>
      </c>
      <c r="B596" s="37">
        <v>45685</v>
      </c>
      <c r="C596" s="29">
        <v>45698</v>
      </c>
      <c r="D596" s="38" t="s">
        <v>41</v>
      </c>
      <c r="E596" s="38" t="s">
        <v>2451</v>
      </c>
      <c r="G596" s="38" t="s">
        <v>43</v>
      </c>
      <c r="H596" s="38">
        <v>6.27</v>
      </c>
      <c r="I596" s="38" t="s">
        <v>44</v>
      </c>
      <c r="J596" s="38" t="s">
        <v>45</v>
      </c>
      <c r="K596" s="38" t="s">
        <v>2452</v>
      </c>
      <c r="L596" s="30" t="s">
        <v>47</v>
      </c>
      <c r="M596" s="38" t="s">
        <v>48</v>
      </c>
      <c r="N596" s="38" t="s">
        <v>48</v>
      </c>
      <c r="O596" s="31" t="s">
        <v>1803</v>
      </c>
      <c r="P596" s="28" t="s">
        <v>1804</v>
      </c>
      <c r="Q596" s="38" t="s">
        <v>1805</v>
      </c>
      <c r="R596" s="38">
        <v>1</v>
      </c>
      <c r="S596" s="38" t="s">
        <v>92</v>
      </c>
      <c r="T596" s="38" t="s">
        <v>53</v>
      </c>
      <c r="U596" s="38" t="s">
        <v>54</v>
      </c>
      <c r="V596" s="38" t="s">
        <v>55</v>
      </c>
      <c r="Y596" s="38">
        <v>32.479999999999997</v>
      </c>
      <c r="Z596" s="38">
        <v>1</v>
      </c>
      <c r="AF596" s="38">
        <v>32.479999999999997</v>
      </c>
      <c r="AK596" s="14" t="e">
        <f t="shared" si="2"/>
        <v>#DIV/0!</v>
      </c>
      <c r="AM596" s="9"/>
      <c r="AN596" s="9"/>
      <c r="AO596" s="28"/>
    </row>
    <row r="597" spans="1:41" ht="12.5" hidden="1">
      <c r="A597" s="28" t="s">
        <v>2453</v>
      </c>
      <c r="B597" s="37">
        <v>45686</v>
      </c>
      <c r="C597" s="29">
        <v>45696</v>
      </c>
      <c r="D597" s="38" t="s">
        <v>41</v>
      </c>
      <c r="E597" s="38" t="s">
        <v>2454</v>
      </c>
      <c r="G597" s="38" t="s">
        <v>43</v>
      </c>
      <c r="H597" s="38">
        <v>6.27</v>
      </c>
      <c r="I597" s="38" t="s">
        <v>44</v>
      </c>
      <c r="J597" s="38" t="s">
        <v>45</v>
      </c>
      <c r="K597" s="38" t="s">
        <v>2455</v>
      </c>
      <c r="L597" s="30" t="s">
        <v>47</v>
      </c>
      <c r="M597" s="38" t="s">
        <v>48</v>
      </c>
      <c r="N597" s="38" t="s">
        <v>48</v>
      </c>
      <c r="O597" s="31" t="s">
        <v>1803</v>
      </c>
      <c r="P597" s="28" t="s">
        <v>1804</v>
      </c>
      <c r="Q597" s="38" t="s">
        <v>1805</v>
      </c>
      <c r="R597" s="38">
        <v>1</v>
      </c>
      <c r="S597" s="38" t="s">
        <v>99</v>
      </c>
      <c r="T597" s="38" t="s">
        <v>53</v>
      </c>
      <c r="U597" s="38" t="s">
        <v>54</v>
      </c>
      <c r="V597" s="38" t="s">
        <v>55</v>
      </c>
      <c r="Y597" s="38">
        <v>32.5</v>
      </c>
      <c r="Z597" s="38">
        <v>1</v>
      </c>
      <c r="AF597" s="38">
        <v>32.5</v>
      </c>
      <c r="AK597" s="14" t="e">
        <f t="shared" si="2"/>
        <v>#DIV/0!</v>
      </c>
      <c r="AM597" s="9"/>
      <c r="AN597" s="9"/>
      <c r="AO597" s="28"/>
    </row>
    <row r="598" spans="1:41" ht="12.5" hidden="1">
      <c r="A598" s="28" t="s">
        <v>2456</v>
      </c>
      <c r="B598" s="37">
        <v>45684</v>
      </c>
      <c r="C598" s="29">
        <v>45695</v>
      </c>
      <c r="D598" s="38" t="s">
        <v>41</v>
      </c>
      <c r="E598" s="38" t="s">
        <v>2457</v>
      </c>
      <c r="G598" s="38" t="s">
        <v>43</v>
      </c>
      <c r="H598" s="38">
        <v>6.27</v>
      </c>
      <c r="I598" s="38" t="s">
        <v>44</v>
      </c>
      <c r="J598" s="38" t="s">
        <v>45</v>
      </c>
      <c r="K598" s="38" t="s">
        <v>2458</v>
      </c>
      <c r="L598" s="30" t="s">
        <v>47</v>
      </c>
      <c r="M598" s="38" t="s">
        <v>48</v>
      </c>
      <c r="N598" s="38" t="s">
        <v>48</v>
      </c>
      <c r="O598" s="31" t="s">
        <v>1803</v>
      </c>
      <c r="P598" s="28" t="s">
        <v>1804</v>
      </c>
      <c r="Q598" s="38" t="s">
        <v>1805</v>
      </c>
      <c r="R598" s="38">
        <v>1</v>
      </c>
      <c r="S598" s="38" t="s">
        <v>92</v>
      </c>
      <c r="T598" s="38" t="s">
        <v>53</v>
      </c>
      <c r="U598" s="38" t="s">
        <v>54</v>
      </c>
      <c r="V598" s="38" t="s">
        <v>61</v>
      </c>
      <c r="Y598" s="38">
        <v>31.93</v>
      </c>
      <c r="Z598" s="38">
        <v>1</v>
      </c>
      <c r="AF598" s="38">
        <v>31.93</v>
      </c>
      <c r="AK598" s="14" t="e">
        <f t="shared" si="2"/>
        <v>#DIV/0!</v>
      </c>
      <c r="AM598" s="9"/>
      <c r="AN598" s="9"/>
      <c r="AO598" s="28"/>
    </row>
    <row r="599" spans="1:41" ht="12.5" hidden="1">
      <c r="A599" s="28" t="s">
        <v>2459</v>
      </c>
      <c r="B599" s="37">
        <v>45682</v>
      </c>
      <c r="C599" s="29">
        <v>45694</v>
      </c>
      <c r="D599" s="38" t="s">
        <v>41</v>
      </c>
      <c r="E599" s="38" t="s">
        <v>2460</v>
      </c>
      <c r="G599" s="38" t="s">
        <v>43</v>
      </c>
      <c r="H599" s="38">
        <v>7.08</v>
      </c>
      <c r="I599" s="38" t="s">
        <v>44</v>
      </c>
      <c r="J599" s="38" t="s">
        <v>45</v>
      </c>
      <c r="K599" s="38" t="s">
        <v>2461</v>
      </c>
      <c r="L599" s="30" t="s">
        <v>47</v>
      </c>
      <c r="M599" s="38" t="s">
        <v>48</v>
      </c>
      <c r="N599" s="38" t="s">
        <v>48</v>
      </c>
      <c r="O599" s="31" t="s">
        <v>1803</v>
      </c>
      <c r="P599" s="28" t="s">
        <v>1804</v>
      </c>
      <c r="Q599" s="38" t="s">
        <v>1805</v>
      </c>
      <c r="R599" s="38">
        <v>2</v>
      </c>
      <c r="S599" s="38" t="s">
        <v>92</v>
      </c>
      <c r="T599" s="38" t="s">
        <v>53</v>
      </c>
      <c r="U599" s="38" t="s">
        <v>54</v>
      </c>
      <c r="V599" s="38" t="s">
        <v>55</v>
      </c>
      <c r="Y599" s="38">
        <v>65.28</v>
      </c>
      <c r="Z599" s="38">
        <v>2</v>
      </c>
      <c r="AF599" s="38">
        <v>65.28</v>
      </c>
      <c r="AK599" s="14" t="e">
        <f t="shared" si="2"/>
        <v>#DIV/0!</v>
      </c>
      <c r="AM599" s="9"/>
      <c r="AN599" s="9"/>
      <c r="AO599" s="28"/>
    </row>
    <row r="600" spans="1:41" ht="12.5" hidden="1">
      <c r="A600" s="28" t="s">
        <v>2462</v>
      </c>
      <c r="B600" s="37">
        <v>45685</v>
      </c>
      <c r="C600" s="29">
        <v>45692</v>
      </c>
      <c r="D600" s="38" t="s">
        <v>41</v>
      </c>
      <c r="E600" s="38" t="s">
        <v>2463</v>
      </c>
      <c r="G600" s="38" t="s">
        <v>43</v>
      </c>
      <c r="H600" s="38">
        <v>6.27</v>
      </c>
      <c r="I600" s="38" t="s">
        <v>44</v>
      </c>
      <c r="J600" s="38" t="s">
        <v>45</v>
      </c>
      <c r="K600" s="38" t="s">
        <v>2464</v>
      </c>
      <c r="L600" s="30" t="s">
        <v>47</v>
      </c>
      <c r="M600" s="38" t="s">
        <v>48</v>
      </c>
      <c r="N600" s="38" t="s">
        <v>48</v>
      </c>
      <c r="O600" s="31" t="s">
        <v>1803</v>
      </c>
      <c r="P600" s="28" t="s">
        <v>1804</v>
      </c>
      <c r="Q600" s="38" t="s">
        <v>1805</v>
      </c>
      <c r="R600" s="38">
        <v>1</v>
      </c>
      <c r="S600" s="38" t="s">
        <v>92</v>
      </c>
      <c r="T600" s="38" t="s">
        <v>53</v>
      </c>
      <c r="U600" s="38" t="s">
        <v>54</v>
      </c>
      <c r="V600" s="38" t="s">
        <v>55</v>
      </c>
      <c r="Y600" s="38">
        <v>32.380000000000003</v>
      </c>
      <c r="Z600" s="38">
        <v>1</v>
      </c>
      <c r="AF600" s="38">
        <v>32.380000000000003</v>
      </c>
      <c r="AK600" s="14" t="e">
        <f t="shared" si="2"/>
        <v>#DIV/0!</v>
      </c>
      <c r="AM600" s="9"/>
      <c r="AN600" s="9"/>
      <c r="AO600" s="28"/>
    </row>
    <row r="601" spans="1:41" ht="12.5" hidden="1">
      <c r="A601" s="28" t="s">
        <v>2465</v>
      </c>
      <c r="B601" s="37">
        <v>45681</v>
      </c>
      <c r="C601" s="29">
        <v>45692</v>
      </c>
      <c r="D601" s="38" t="s">
        <v>41</v>
      </c>
      <c r="E601" s="38" t="s">
        <v>2466</v>
      </c>
      <c r="G601" s="38" t="s">
        <v>43</v>
      </c>
      <c r="H601" s="38">
        <v>6.27</v>
      </c>
      <c r="I601" s="38" t="s">
        <v>44</v>
      </c>
      <c r="J601" s="38" t="s">
        <v>45</v>
      </c>
      <c r="K601" s="38" t="s">
        <v>2467</v>
      </c>
      <c r="L601" s="30" t="s">
        <v>47</v>
      </c>
      <c r="M601" s="38" t="s">
        <v>48</v>
      </c>
      <c r="N601" s="38" t="s">
        <v>48</v>
      </c>
      <c r="O601" s="31" t="s">
        <v>1803</v>
      </c>
      <c r="P601" s="28" t="s">
        <v>1804</v>
      </c>
      <c r="Q601" s="38" t="s">
        <v>1805</v>
      </c>
      <c r="R601" s="38">
        <v>1</v>
      </c>
      <c r="S601" s="38" t="s">
        <v>92</v>
      </c>
      <c r="T601" s="38" t="s">
        <v>53</v>
      </c>
      <c r="U601" s="38" t="s">
        <v>54</v>
      </c>
      <c r="V601" s="38" t="s">
        <v>55</v>
      </c>
      <c r="Y601" s="38">
        <v>31.47</v>
      </c>
      <c r="Z601" s="38">
        <v>1</v>
      </c>
      <c r="AF601" s="38">
        <v>32.97</v>
      </c>
      <c r="AK601" s="14" t="e">
        <f t="shared" si="2"/>
        <v>#DIV/0!</v>
      </c>
      <c r="AM601" s="9"/>
      <c r="AN601" s="9"/>
      <c r="AO601" s="28"/>
    </row>
    <row r="602" spans="1:41" ht="12.5" hidden="1">
      <c r="A602" s="28" t="s">
        <v>2468</v>
      </c>
      <c r="B602" s="37">
        <v>45680</v>
      </c>
      <c r="C602" s="29">
        <v>45691</v>
      </c>
      <c r="D602" s="38" t="s">
        <v>41</v>
      </c>
      <c r="E602" s="38" t="s">
        <v>2469</v>
      </c>
      <c r="G602" s="38" t="s">
        <v>43</v>
      </c>
      <c r="H602" s="38">
        <v>7.08</v>
      </c>
      <c r="I602" s="38" t="s">
        <v>44</v>
      </c>
      <c r="J602" s="38" t="s">
        <v>45</v>
      </c>
      <c r="K602" s="38" t="s">
        <v>2470</v>
      </c>
      <c r="L602" s="30" t="s">
        <v>47</v>
      </c>
      <c r="M602" s="38" t="s">
        <v>48</v>
      </c>
      <c r="N602" s="38" t="s">
        <v>48</v>
      </c>
      <c r="O602" s="31" t="s">
        <v>1803</v>
      </c>
      <c r="P602" s="28" t="s">
        <v>1804</v>
      </c>
      <c r="Q602" s="38" t="s">
        <v>1805</v>
      </c>
      <c r="R602" s="38">
        <v>2</v>
      </c>
      <c r="S602" s="38" t="s">
        <v>82</v>
      </c>
      <c r="T602" s="38" t="s">
        <v>53</v>
      </c>
      <c r="U602" s="38" t="s">
        <v>54</v>
      </c>
      <c r="V602" s="38" t="s">
        <v>61</v>
      </c>
      <c r="Y602" s="38">
        <v>54.84</v>
      </c>
      <c r="Z602" s="38">
        <v>2</v>
      </c>
      <c r="AF602" s="38">
        <v>57.54</v>
      </c>
      <c r="AK602" s="14" t="e">
        <f t="shared" si="2"/>
        <v>#DIV/0!</v>
      </c>
      <c r="AM602" s="9"/>
      <c r="AN602" s="9"/>
      <c r="AO602" s="28"/>
    </row>
    <row r="603" spans="1:41" ht="12.5" hidden="1">
      <c r="A603" s="28" t="s">
        <v>2471</v>
      </c>
      <c r="B603" s="39">
        <v>45690</v>
      </c>
      <c r="C603" s="29">
        <v>45712</v>
      </c>
      <c r="D603" s="38" t="s">
        <v>41</v>
      </c>
      <c r="G603" s="38" t="s">
        <v>137</v>
      </c>
      <c r="H603" s="38">
        <v>0</v>
      </c>
      <c r="L603" s="30" t="s">
        <v>47</v>
      </c>
      <c r="M603" s="38" t="s">
        <v>48</v>
      </c>
      <c r="N603" s="38" t="s">
        <v>48</v>
      </c>
      <c r="O603" s="31" t="s">
        <v>1803</v>
      </c>
      <c r="P603" s="28" t="s">
        <v>1804</v>
      </c>
      <c r="Q603" s="38" t="s">
        <v>1805</v>
      </c>
      <c r="R603" s="38">
        <v>1</v>
      </c>
      <c r="S603" s="38" t="s">
        <v>92</v>
      </c>
      <c r="T603" s="38" t="s">
        <v>53</v>
      </c>
      <c r="U603" s="38" t="s">
        <v>54</v>
      </c>
      <c r="V603" s="38" t="s">
        <v>141</v>
      </c>
      <c r="Y603" s="38">
        <v>32.380000000000003</v>
      </c>
      <c r="Z603" s="38">
        <v>1</v>
      </c>
      <c r="AF603" s="38">
        <v>32.380000000000003</v>
      </c>
      <c r="AK603" s="14" t="e">
        <f t="shared" si="2"/>
        <v>#DIV/0!</v>
      </c>
      <c r="AM603" s="9"/>
      <c r="AN603" s="9"/>
      <c r="AO603" s="28"/>
    </row>
    <row r="604" spans="1:41" ht="12.5" hidden="1">
      <c r="A604" s="28" t="s">
        <v>2472</v>
      </c>
      <c r="B604" s="39">
        <v>45694</v>
      </c>
      <c r="C604" s="29">
        <v>45709</v>
      </c>
      <c r="D604" s="38" t="s">
        <v>41</v>
      </c>
      <c r="G604" s="38" t="s">
        <v>137</v>
      </c>
      <c r="H604" s="38">
        <v>0</v>
      </c>
      <c r="L604" s="30" t="s">
        <v>47</v>
      </c>
      <c r="M604" s="38" t="s">
        <v>48</v>
      </c>
      <c r="N604" s="38" t="s">
        <v>48</v>
      </c>
      <c r="O604" s="31" t="s">
        <v>1803</v>
      </c>
      <c r="P604" s="28" t="s">
        <v>1804</v>
      </c>
      <c r="Q604" s="38" t="s">
        <v>1805</v>
      </c>
      <c r="R604" s="38">
        <v>1</v>
      </c>
      <c r="S604" s="38" t="s">
        <v>92</v>
      </c>
      <c r="T604" s="38" t="s">
        <v>53</v>
      </c>
      <c r="U604" s="38" t="s">
        <v>54</v>
      </c>
      <c r="V604" s="38" t="s">
        <v>141</v>
      </c>
      <c r="Y604" s="38">
        <v>31.78</v>
      </c>
      <c r="Z604" s="38">
        <v>1</v>
      </c>
      <c r="AF604" s="38">
        <v>31.78</v>
      </c>
      <c r="AK604" s="14" t="e">
        <f t="shared" si="2"/>
        <v>#DIV/0!</v>
      </c>
      <c r="AM604" s="9"/>
      <c r="AN604" s="9"/>
      <c r="AO604" s="28"/>
    </row>
    <row r="605" spans="1:41" ht="12.5" hidden="1">
      <c r="A605" s="28" t="s">
        <v>2473</v>
      </c>
      <c r="B605" s="39">
        <v>45694</v>
      </c>
      <c r="C605" s="29">
        <v>45709</v>
      </c>
      <c r="D605" s="38" t="s">
        <v>41</v>
      </c>
      <c r="G605" s="38" t="s">
        <v>137</v>
      </c>
      <c r="H605" s="38">
        <v>0</v>
      </c>
      <c r="L605" s="30" t="s">
        <v>47</v>
      </c>
      <c r="M605" s="38" t="s">
        <v>48</v>
      </c>
      <c r="N605" s="38" t="s">
        <v>48</v>
      </c>
      <c r="O605" s="31" t="s">
        <v>1803</v>
      </c>
      <c r="P605" s="28" t="s">
        <v>1804</v>
      </c>
      <c r="Q605" s="38" t="s">
        <v>1805</v>
      </c>
      <c r="R605" s="38">
        <v>2</v>
      </c>
      <c r="S605" s="38" t="s">
        <v>52</v>
      </c>
      <c r="T605" s="38" t="s">
        <v>53</v>
      </c>
      <c r="U605" s="38" t="s">
        <v>54</v>
      </c>
      <c r="V605" s="38" t="s">
        <v>141</v>
      </c>
      <c r="Y605" s="38">
        <v>63.94</v>
      </c>
      <c r="Z605" s="38">
        <v>2</v>
      </c>
      <c r="AF605" s="38">
        <v>63.94</v>
      </c>
      <c r="AK605" s="14" t="e">
        <f t="shared" si="2"/>
        <v>#DIV/0!</v>
      </c>
      <c r="AM605" s="9"/>
      <c r="AO605" s="28"/>
    </row>
    <row r="606" spans="1:41" ht="12.5" hidden="1">
      <c r="A606" s="28" t="s">
        <v>2474</v>
      </c>
      <c r="B606" s="37">
        <v>45681</v>
      </c>
      <c r="C606" s="29">
        <v>45707</v>
      </c>
      <c r="D606" s="38" t="s">
        <v>41</v>
      </c>
      <c r="G606" s="38" t="s">
        <v>137</v>
      </c>
      <c r="H606" s="38">
        <v>0</v>
      </c>
      <c r="L606" s="30" t="s">
        <v>47</v>
      </c>
      <c r="M606" s="38" t="s">
        <v>48</v>
      </c>
      <c r="N606" s="38" t="s">
        <v>48</v>
      </c>
      <c r="O606" s="31" t="s">
        <v>1803</v>
      </c>
      <c r="P606" s="28" t="s">
        <v>1804</v>
      </c>
      <c r="Q606" s="38" t="s">
        <v>1805</v>
      </c>
      <c r="R606" s="38">
        <v>1</v>
      </c>
      <c r="S606" s="38" t="s">
        <v>92</v>
      </c>
      <c r="T606" s="38" t="s">
        <v>53</v>
      </c>
      <c r="U606" s="38" t="s">
        <v>54</v>
      </c>
      <c r="V606" s="38" t="s">
        <v>141</v>
      </c>
      <c r="Y606" s="38">
        <v>32</v>
      </c>
      <c r="Z606" s="38">
        <v>1</v>
      </c>
      <c r="AF606" s="38">
        <v>32</v>
      </c>
      <c r="AK606" s="14" t="e">
        <f t="shared" si="2"/>
        <v>#DIV/0!</v>
      </c>
      <c r="AM606" s="9"/>
      <c r="AO606" s="28"/>
    </row>
    <row r="607" spans="1:41" ht="12.5" hidden="1">
      <c r="A607" s="28" t="s">
        <v>2475</v>
      </c>
      <c r="B607" s="39">
        <v>45694</v>
      </c>
      <c r="C607" s="29">
        <v>45707</v>
      </c>
      <c r="D607" s="38" t="s">
        <v>41</v>
      </c>
      <c r="G607" s="38" t="s">
        <v>137</v>
      </c>
      <c r="H607" s="38">
        <v>0</v>
      </c>
      <c r="L607" s="30" t="s">
        <v>47</v>
      </c>
      <c r="M607" s="38" t="s">
        <v>48</v>
      </c>
      <c r="N607" s="38" t="s">
        <v>48</v>
      </c>
      <c r="O607" s="31" t="s">
        <v>1803</v>
      </c>
      <c r="P607" s="28" t="s">
        <v>1804</v>
      </c>
      <c r="Q607" s="38" t="s">
        <v>1805</v>
      </c>
      <c r="R607" s="38">
        <v>1</v>
      </c>
      <c r="S607" s="38" t="s">
        <v>92</v>
      </c>
      <c r="T607" s="38" t="s">
        <v>53</v>
      </c>
      <c r="U607" s="38" t="s">
        <v>54</v>
      </c>
      <c r="V607" s="38" t="s">
        <v>141</v>
      </c>
      <c r="Y607" s="38">
        <v>31.78</v>
      </c>
      <c r="Z607" s="38">
        <v>1</v>
      </c>
      <c r="AF607" s="38">
        <v>31.78</v>
      </c>
      <c r="AK607" s="14" t="e">
        <f t="shared" si="2"/>
        <v>#DIV/0!</v>
      </c>
      <c r="AM607" s="9"/>
      <c r="AO607" s="28"/>
    </row>
    <row r="608" spans="1:41" ht="12.5" hidden="1">
      <c r="A608" s="28" t="s">
        <v>2476</v>
      </c>
      <c r="B608" s="39">
        <v>45694</v>
      </c>
      <c r="C608" s="29">
        <v>45706</v>
      </c>
      <c r="D608" s="38" t="s">
        <v>41</v>
      </c>
      <c r="G608" s="38" t="s">
        <v>137</v>
      </c>
      <c r="H608" s="38">
        <v>0</v>
      </c>
      <c r="L608" s="30" t="s">
        <v>47</v>
      </c>
      <c r="M608" s="38" t="s">
        <v>48</v>
      </c>
      <c r="N608" s="38" t="s">
        <v>48</v>
      </c>
      <c r="O608" s="31" t="s">
        <v>1803</v>
      </c>
      <c r="P608" s="28" t="s">
        <v>1804</v>
      </c>
      <c r="Q608" s="38" t="s">
        <v>1805</v>
      </c>
      <c r="R608" s="38">
        <v>1</v>
      </c>
      <c r="S608" s="38" t="s">
        <v>92</v>
      </c>
      <c r="T608" s="38" t="s">
        <v>53</v>
      </c>
      <c r="U608" s="38" t="s">
        <v>54</v>
      </c>
      <c r="V608" s="38" t="s">
        <v>141</v>
      </c>
      <c r="Y608" s="38">
        <v>31.88</v>
      </c>
      <c r="Z608" s="38">
        <v>1</v>
      </c>
      <c r="AF608" s="38">
        <v>31.88</v>
      </c>
      <c r="AK608" s="14" t="e">
        <f t="shared" si="2"/>
        <v>#DIV/0!</v>
      </c>
      <c r="AM608" s="9"/>
      <c r="AO608" s="28"/>
    </row>
    <row r="609" spans="1:41" ht="12.5" hidden="1">
      <c r="A609" s="28" t="s">
        <v>2477</v>
      </c>
      <c r="B609" s="39">
        <v>45693</v>
      </c>
      <c r="C609" s="29">
        <v>45706</v>
      </c>
      <c r="D609" s="38" t="s">
        <v>41</v>
      </c>
      <c r="E609" s="38" t="s">
        <v>2478</v>
      </c>
      <c r="G609" s="38" t="s">
        <v>43</v>
      </c>
      <c r="H609" s="38">
        <v>6.27</v>
      </c>
      <c r="I609" s="38" t="s">
        <v>44</v>
      </c>
      <c r="J609" s="38" t="s">
        <v>45</v>
      </c>
      <c r="K609" s="38" t="s">
        <v>2479</v>
      </c>
      <c r="L609" s="30" t="s">
        <v>47</v>
      </c>
      <c r="M609" s="38" t="s">
        <v>48</v>
      </c>
      <c r="N609" s="38" t="s">
        <v>48</v>
      </c>
      <c r="O609" s="31" t="s">
        <v>1803</v>
      </c>
      <c r="P609" s="28" t="s">
        <v>1804</v>
      </c>
      <c r="Q609" s="38" t="s">
        <v>1805</v>
      </c>
      <c r="R609" s="38">
        <v>1</v>
      </c>
      <c r="S609" s="38" t="s">
        <v>92</v>
      </c>
      <c r="T609" s="38" t="s">
        <v>53</v>
      </c>
      <c r="U609" s="38" t="s">
        <v>54</v>
      </c>
      <c r="V609" s="38" t="s">
        <v>61</v>
      </c>
      <c r="Y609" s="38">
        <v>32.83</v>
      </c>
      <c r="Z609" s="38">
        <v>1</v>
      </c>
      <c r="AF609" s="38">
        <v>32.83</v>
      </c>
      <c r="AK609" s="14" t="e">
        <f t="shared" si="2"/>
        <v>#DIV/0!</v>
      </c>
      <c r="AM609" s="9"/>
      <c r="AO609" s="28"/>
    </row>
    <row r="610" spans="1:41" ht="12.5" hidden="1">
      <c r="A610" s="28" t="s">
        <v>2480</v>
      </c>
      <c r="B610" s="37">
        <v>45682</v>
      </c>
      <c r="C610" s="29">
        <v>45706</v>
      </c>
      <c r="D610" s="38" t="s">
        <v>41</v>
      </c>
      <c r="E610" s="38" t="s">
        <v>2481</v>
      </c>
      <c r="G610" s="38" t="s">
        <v>43</v>
      </c>
      <c r="H610" s="38">
        <v>6.27</v>
      </c>
      <c r="I610" s="38" t="s">
        <v>44</v>
      </c>
      <c r="J610" s="38" t="s">
        <v>45</v>
      </c>
      <c r="K610" s="38" t="s">
        <v>2482</v>
      </c>
      <c r="L610" s="30" t="s">
        <v>47</v>
      </c>
      <c r="M610" s="38" t="s">
        <v>48</v>
      </c>
      <c r="N610" s="38" t="s">
        <v>48</v>
      </c>
      <c r="O610" s="31" t="s">
        <v>1803</v>
      </c>
      <c r="P610" s="28" t="s">
        <v>1804</v>
      </c>
      <c r="Q610" s="38" t="s">
        <v>1805</v>
      </c>
      <c r="R610" s="38">
        <v>1</v>
      </c>
      <c r="S610" s="38" t="s">
        <v>52</v>
      </c>
      <c r="T610" s="38" t="s">
        <v>53</v>
      </c>
      <c r="U610" s="38" t="s">
        <v>54</v>
      </c>
      <c r="V610" s="38" t="s">
        <v>61</v>
      </c>
      <c r="Y610" s="38">
        <v>32.53</v>
      </c>
      <c r="Z610" s="38">
        <v>1</v>
      </c>
      <c r="AF610" s="38">
        <v>32.53</v>
      </c>
      <c r="AK610" s="14" t="e">
        <f t="shared" si="2"/>
        <v>#DIV/0!</v>
      </c>
      <c r="AM610" s="9"/>
      <c r="AO610" s="28"/>
    </row>
    <row r="611" spans="1:41" ht="12.5" hidden="1">
      <c r="A611" s="28" t="s">
        <v>2483</v>
      </c>
      <c r="B611" s="39">
        <v>45692</v>
      </c>
      <c r="C611" s="29">
        <v>45705</v>
      </c>
      <c r="D611" s="38" t="s">
        <v>41</v>
      </c>
      <c r="E611" s="38" t="s">
        <v>2484</v>
      </c>
      <c r="G611" s="38" t="s">
        <v>43</v>
      </c>
      <c r="H611" s="38">
        <v>6.27</v>
      </c>
      <c r="I611" s="38" t="s">
        <v>44</v>
      </c>
      <c r="J611" s="38" t="s">
        <v>45</v>
      </c>
      <c r="K611" s="38" t="s">
        <v>2485</v>
      </c>
      <c r="L611" s="30" t="s">
        <v>47</v>
      </c>
      <c r="M611" s="38" t="s">
        <v>48</v>
      </c>
      <c r="N611" s="38" t="s">
        <v>48</v>
      </c>
      <c r="O611" s="31" t="s">
        <v>1803</v>
      </c>
      <c r="P611" s="28" t="s">
        <v>1804</v>
      </c>
      <c r="Q611" s="38" t="s">
        <v>1805</v>
      </c>
      <c r="R611" s="38">
        <v>1</v>
      </c>
      <c r="S611" s="38" t="s">
        <v>92</v>
      </c>
      <c r="T611" s="38" t="s">
        <v>53</v>
      </c>
      <c r="U611" s="38" t="s">
        <v>54</v>
      </c>
      <c r="V611" s="38" t="s">
        <v>55</v>
      </c>
      <c r="Y611" s="38">
        <v>31.88</v>
      </c>
      <c r="Z611" s="38">
        <v>1</v>
      </c>
      <c r="AF611" s="38">
        <v>31.88</v>
      </c>
      <c r="AK611" s="14" t="e">
        <f t="shared" si="2"/>
        <v>#DIV/0!</v>
      </c>
      <c r="AM611" s="9"/>
      <c r="AO611" s="28"/>
    </row>
    <row r="612" spans="1:41" ht="12.5" hidden="1">
      <c r="A612" s="28" t="s">
        <v>2486</v>
      </c>
      <c r="B612" s="39">
        <v>45695</v>
      </c>
      <c r="C612" s="29">
        <v>45704</v>
      </c>
      <c r="D612" s="38" t="s">
        <v>41</v>
      </c>
      <c r="E612" s="38" t="s">
        <v>2487</v>
      </c>
      <c r="G612" s="38" t="s">
        <v>43</v>
      </c>
      <c r="H612" s="38">
        <v>6.27</v>
      </c>
      <c r="I612" s="38" t="s">
        <v>44</v>
      </c>
      <c r="J612" s="38" t="s">
        <v>45</v>
      </c>
      <c r="K612" s="38" t="s">
        <v>2488</v>
      </c>
      <c r="L612" s="30" t="s">
        <v>47</v>
      </c>
      <c r="M612" s="38" t="s">
        <v>48</v>
      </c>
      <c r="N612" s="38" t="s">
        <v>48</v>
      </c>
      <c r="O612" s="31" t="s">
        <v>1803</v>
      </c>
      <c r="P612" s="28" t="s">
        <v>1804</v>
      </c>
      <c r="Q612" s="38" t="s">
        <v>1805</v>
      </c>
      <c r="R612" s="38">
        <v>1</v>
      </c>
      <c r="S612" s="38" t="s">
        <v>52</v>
      </c>
      <c r="T612" s="38" t="s">
        <v>53</v>
      </c>
      <c r="U612" s="38" t="s">
        <v>54</v>
      </c>
      <c r="V612" s="38" t="s">
        <v>61</v>
      </c>
      <c r="Y612" s="38">
        <v>31.97</v>
      </c>
      <c r="AK612" s="14" t="e">
        <f t="shared" si="2"/>
        <v>#DIV/0!</v>
      </c>
      <c r="AM612" s="9"/>
      <c r="AO612" s="28"/>
    </row>
    <row r="613" spans="1:41" ht="12.5" hidden="1">
      <c r="A613" s="28" t="s">
        <v>2489</v>
      </c>
      <c r="B613" s="37">
        <v>45681</v>
      </c>
      <c r="C613" s="29">
        <v>45702</v>
      </c>
      <c r="D613" s="38" t="s">
        <v>41</v>
      </c>
      <c r="E613" s="38" t="s">
        <v>2490</v>
      </c>
      <c r="G613" s="38" t="s">
        <v>43</v>
      </c>
      <c r="H613" s="38">
        <v>13.56</v>
      </c>
      <c r="I613" s="38" t="s">
        <v>44</v>
      </c>
      <c r="J613" s="38" t="s">
        <v>45</v>
      </c>
      <c r="K613" s="38" t="s">
        <v>2491</v>
      </c>
      <c r="L613" s="30" t="s">
        <v>47</v>
      </c>
      <c r="M613" s="38" t="s">
        <v>48</v>
      </c>
      <c r="N613" s="38" t="s">
        <v>48</v>
      </c>
      <c r="O613" s="31" t="s">
        <v>1051</v>
      </c>
      <c r="P613" s="28" t="s">
        <v>1052</v>
      </c>
      <c r="Q613" s="38" t="s">
        <v>1053</v>
      </c>
      <c r="R613" s="38">
        <v>1</v>
      </c>
      <c r="S613" s="38" t="s">
        <v>82</v>
      </c>
      <c r="T613" s="38" t="s">
        <v>53</v>
      </c>
      <c r="U613" s="38" t="s">
        <v>54</v>
      </c>
      <c r="V613" s="38" t="s">
        <v>55</v>
      </c>
      <c r="Y613" s="38">
        <v>84.14</v>
      </c>
      <c r="Z613" s="38">
        <v>1</v>
      </c>
      <c r="AF613" s="38">
        <v>84.14</v>
      </c>
      <c r="AI613" s="38">
        <v>1</v>
      </c>
      <c r="AJ613" s="38">
        <v>2</v>
      </c>
      <c r="AK613" s="14">
        <f t="shared" si="2"/>
        <v>0.5</v>
      </c>
      <c r="AM613" s="9"/>
      <c r="AN613" s="9"/>
      <c r="AO613" s="28"/>
    </row>
    <row r="614" spans="1:41" ht="12.5" hidden="1">
      <c r="A614" s="28" t="s">
        <v>2492</v>
      </c>
      <c r="B614" s="39">
        <v>45659</v>
      </c>
      <c r="C614" s="29">
        <v>45690</v>
      </c>
      <c r="D614" s="38" t="s">
        <v>41</v>
      </c>
      <c r="E614" s="38" t="s">
        <v>2493</v>
      </c>
      <c r="G614" s="38" t="s">
        <v>43</v>
      </c>
      <c r="H614" s="38">
        <v>4.62</v>
      </c>
      <c r="I614" s="38" t="s">
        <v>44</v>
      </c>
      <c r="J614" s="38" t="s">
        <v>249</v>
      </c>
      <c r="K614" s="38" t="s">
        <v>2494</v>
      </c>
      <c r="L614" s="30" t="s">
        <v>47</v>
      </c>
      <c r="M614" s="38" t="s">
        <v>48</v>
      </c>
      <c r="N614" s="38" t="s">
        <v>48</v>
      </c>
      <c r="O614" s="31" t="s">
        <v>251</v>
      </c>
      <c r="P614" s="28" t="s">
        <v>252</v>
      </c>
      <c r="Q614" s="38" t="s">
        <v>253</v>
      </c>
      <c r="R614" s="38">
        <v>1</v>
      </c>
      <c r="S614" s="38" t="s">
        <v>99</v>
      </c>
      <c r="T614" s="38" t="s">
        <v>53</v>
      </c>
      <c r="U614" s="38" t="s">
        <v>54</v>
      </c>
      <c r="V614" s="38" t="s">
        <v>55</v>
      </c>
      <c r="Y614" s="38">
        <v>126.4</v>
      </c>
      <c r="Z614" s="38">
        <v>1</v>
      </c>
      <c r="AF614" s="38">
        <v>126.4</v>
      </c>
      <c r="AI614" s="38">
        <v>1</v>
      </c>
      <c r="AJ614" s="38">
        <v>4</v>
      </c>
      <c r="AK614" s="14">
        <f t="shared" si="2"/>
        <v>0.25</v>
      </c>
      <c r="AM614" s="9"/>
      <c r="AN614" s="9"/>
      <c r="AO614" s="28"/>
    </row>
    <row r="615" spans="1:41" ht="12.5" hidden="1">
      <c r="A615" s="28" t="s">
        <v>2495</v>
      </c>
      <c r="B615" s="37">
        <v>45687</v>
      </c>
      <c r="C615" s="29">
        <v>45693</v>
      </c>
      <c r="D615" s="38" t="s">
        <v>41</v>
      </c>
      <c r="E615" s="38" t="s">
        <v>2496</v>
      </c>
      <c r="G615" s="38" t="s">
        <v>43</v>
      </c>
      <c r="H615" s="38">
        <v>6.71</v>
      </c>
      <c r="I615" s="38" t="s">
        <v>44</v>
      </c>
      <c r="J615" s="38" t="s">
        <v>45</v>
      </c>
      <c r="K615" s="38" t="s">
        <v>2497</v>
      </c>
      <c r="L615" s="30" t="s">
        <v>47</v>
      </c>
      <c r="M615" s="38" t="s">
        <v>48</v>
      </c>
      <c r="N615" s="38" t="s">
        <v>48</v>
      </c>
      <c r="O615" s="31" t="s">
        <v>263</v>
      </c>
      <c r="P615" s="28" t="s">
        <v>264</v>
      </c>
      <c r="Q615" s="38" t="s">
        <v>265</v>
      </c>
      <c r="R615" s="38">
        <v>1</v>
      </c>
      <c r="S615" s="38" t="s">
        <v>99</v>
      </c>
      <c r="T615" s="38" t="s">
        <v>53</v>
      </c>
      <c r="U615" s="38" t="s">
        <v>54</v>
      </c>
      <c r="V615" s="38" t="s">
        <v>61</v>
      </c>
      <c r="Y615" s="38">
        <v>125.62</v>
      </c>
      <c r="Z615" s="38">
        <v>1</v>
      </c>
      <c r="AF615" s="38">
        <v>125.62</v>
      </c>
      <c r="AI615" s="38">
        <v>1</v>
      </c>
      <c r="AJ615" s="38">
        <v>4</v>
      </c>
      <c r="AK615" s="14">
        <f t="shared" si="2"/>
        <v>0.25</v>
      </c>
      <c r="AM615" s="9"/>
      <c r="AN615" s="9"/>
      <c r="AO615" s="28"/>
    </row>
    <row r="616" spans="1:41" ht="12.5" hidden="1">
      <c r="A616" s="28" t="s">
        <v>2498</v>
      </c>
      <c r="B616" s="37">
        <v>45669</v>
      </c>
      <c r="C616" s="29">
        <v>45696</v>
      </c>
      <c r="D616" s="38" t="s">
        <v>41</v>
      </c>
      <c r="E616" s="38" t="s">
        <v>2499</v>
      </c>
      <c r="G616" s="38" t="s">
        <v>43</v>
      </c>
      <c r="H616" s="38">
        <v>10.66</v>
      </c>
      <c r="I616" s="38" t="s">
        <v>44</v>
      </c>
      <c r="J616" s="38" t="s">
        <v>45</v>
      </c>
      <c r="K616" s="38" t="s">
        <v>2500</v>
      </c>
      <c r="L616" s="30" t="s">
        <v>47</v>
      </c>
      <c r="M616" s="38" t="s">
        <v>48</v>
      </c>
      <c r="N616" s="38" t="s">
        <v>48</v>
      </c>
      <c r="O616" s="31" t="s">
        <v>1066</v>
      </c>
      <c r="P616" s="28" t="s">
        <v>1067</v>
      </c>
      <c r="Q616" s="38" t="s">
        <v>1068</v>
      </c>
      <c r="R616" s="38">
        <v>1</v>
      </c>
      <c r="S616" s="38" t="s">
        <v>82</v>
      </c>
      <c r="T616" s="38" t="s">
        <v>53</v>
      </c>
      <c r="U616" s="38" t="s">
        <v>54</v>
      </c>
      <c r="V616" s="38" t="s">
        <v>55</v>
      </c>
      <c r="Y616" s="38">
        <v>71.63</v>
      </c>
      <c r="Z616" s="38">
        <v>1</v>
      </c>
      <c r="AF616" s="38">
        <v>71.63</v>
      </c>
      <c r="AI616" s="38">
        <v>1</v>
      </c>
      <c r="AJ616" s="38">
        <v>1</v>
      </c>
      <c r="AK616" s="14">
        <f t="shared" si="2"/>
        <v>1</v>
      </c>
      <c r="AM616" s="9"/>
      <c r="AN616" s="9"/>
      <c r="AO616" s="28"/>
    </row>
    <row r="617" spans="1:41" ht="12.5" hidden="1">
      <c r="A617" s="28" t="s">
        <v>2501</v>
      </c>
      <c r="B617" s="39">
        <v>45690</v>
      </c>
      <c r="C617" s="29">
        <v>45698</v>
      </c>
      <c r="D617" s="38" t="s">
        <v>41</v>
      </c>
      <c r="G617" s="38" t="s">
        <v>137</v>
      </c>
      <c r="H617" s="38">
        <v>0</v>
      </c>
      <c r="L617" s="30" t="s">
        <v>47</v>
      </c>
      <c r="M617" s="38" t="s">
        <v>48</v>
      </c>
      <c r="N617" s="38" t="s">
        <v>48</v>
      </c>
      <c r="O617" s="31" t="s">
        <v>2502</v>
      </c>
      <c r="P617" s="28" t="s">
        <v>2503</v>
      </c>
      <c r="Q617" s="38" t="s">
        <v>2504</v>
      </c>
      <c r="R617" s="38">
        <v>1</v>
      </c>
      <c r="S617" s="38" t="s">
        <v>52</v>
      </c>
      <c r="T617" s="38" t="s">
        <v>53</v>
      </c>
      <c r="U617" s="38" t="s">
        <v>54</v>
      </c>
      <c r="V617" s="38" t="s">
        <v>141</v>
      </c>
      <c r="Y617" s="38">
        <v>10.95</v>
      </c>
      <c r="Z617" s="38">
        <v>1</v>
      </c>
      <c r="AF617" s="38">
        <v>10.95</v>
      </c>
      <c r="AI617" s="38">
        <v>1</v>
      </c>
      <c r="AJ617" s="38">
        <v>5</v>
      </c>
      <c r="AK617" s="14">
        <f t="shared" si="2"/>
        <v>0.2</v>
      </c>
      <c r="AM617" s="9"/>
      <c r="AN617" s="9"/>
      <c r="AO617" s="28"/>
    </row>
    <row r="618" spans="1:41" ht="12.5" hidden="1">
      <c r="A618" s="28" t="s">
        <v>2505</v>
      </c>
      <c r="B618" s="37">
        <v>45703</v>
      </c>
      <c r="C618" s="29">
        <v>45715</v>
      </c>
      <c r="D618" s="38" t="s">
        <v>41</v>
      </c>
      <c r="E618" s="38" t="s">
        <v>2506</v>
      </c>
      <c r="G618" s="38" t="s">
        <v>43</v>
      </c>
      <c r="H618" s="38">
        <v>64.790000000000006</v>
      </c>
      <c r="I618" s="38" t="s">
        <v>44</v>
      </c>
      <c r="J618" s="38" t="s">
        <v>45</v>
      </c>
      <c r="K618" s="38" t="s">
        <v>2507</v>
      </c>
      <c r="L618" s="30" t="s">
        <v>47</v>
      </c>
      <c r="M618" s="38" t="s">
        <v>48</v>
      </c>
      <c r="N618" s="38" t="s">
        <v>48</v>
      </c>
      <c r="O618" s="31" t="s">
        <v>283</v>
      </c>
      <c r="P618" s="28" t="s">
        <v>284</v>
      </c>
      <c r="Q618" s="38" t="s">
        <v>285</v>
      </c>
      <c r="R618" s="38">
        <v>1</v>
      </c>
      <c r="S618" s="38" t="s">
        <v>421</v>
      </c>
      <c r="T618" s="38" t="s">
        <v>53</v>
      </c>
      <c r="U618" s="38" t="s">
        <v>54</v>
      </c>
      <c r="V618" s="38" t="s">
        <v>61</v>
      </c>
      <c r="Y618" s="38">
        <v>200.25</v>
      </c>
      <c r="Z618" s="38">
        <v>1</v>
      </c>
      <c r="AI618" s="38">
        <v>3</v>
      </c>
      <c r="AJ618" s="38">
        <v>11</v>
      </c>
      <c r="AK618" s="14">
        <f t="shared" si="2"/>
        <v>0.27272727272727271</v>
      </c>
      <c r="AM618" s="9"/>
      <c r="AO618" s="28"/>
    </row>
    <row r="619" spans="1:41" ht="12.5" hidden="1">
      <c r="A619" s="28" t="s">
        <v>2508</v>
      </c>
      <c r="B619" s="37">
        <v>45678</v>
      </c>
      <c r="C619" s="29">
        <v>45714</v>
      </c>
      <c r="D619" s="38" t="s">
        <v>41</v>
      </c>
      <c r="E619" s="38" t="s">
        <v>2509</v>
      </c>
      <c r="G619" s="38" t="s">
        <v>43</v>
      </c>
      <c r="H619" s="38">
        <v>64.790000000000006</v>
      </c>
      <c r="I619" s="38" t="s">
        <v>44</v>
      </c>
      <c r="J619" s="38" t="s">
        <v>45</v>
      </c>
      <c r="K619" s="38" t="s">
        <v>2510</v>
      </c>
      <c r="L619" s="30" t="s">
        <v>47</v>
      </c>
      <c r="M619" s="38" t="s">
        <v>48</v>
      </c>
      <c r="N619" s="38" t="s">
        <v>48</v>
      </c>
      <c r="O619" s="31" t="s">
        <v>283</v>
      </c>
      <c r="P619" s="28" t="s">
        <v>284</v>
      </c>
      <c r="Q619" s="38" t="s">
        <v>285</v>
      </c>
      <c r="R619" s="38">
        <v>1</v>
      </c>
      <c r="S619" s="38" t="s">
        <v>421</v>
      </c>
      <c r="T619" s="38" t="s">
        <v>53</v>
      </c>
      <c r="U619" s="38" t="s">
        <v>54</v>
      </c>
      <c r="V619" s="38" t="s">
        <v>61</v>
      </c>
      <c r="Y619" s="38">
        <v>156</v>
      </c>
      <c r="Z619" s="38">
        <v>1</v>
      </c>
      <c r="AK619" s="14" t="e">
        <f t="shared" si="2"/>
        <v>#DIV/0!</v>
      </c>
      <c r="AM619" s="9"/>
      <c r="AO619" s="28"/>
    </row>
    <row r="620" spans="1:41" ht="12.5" hidden="1">
      <c r="A620" s="28" t="s">
        <v>2511</v>
      </c>
      <c r="B620" s="37">
        <v>45678</v>
      </c>
      <c r="C620" s="29">
        <v>45714</v>
      </c>
      <c r="D620" s="38" t="s">
        <v>41</v>
      </c>
      <c r="E620" s="38" t="s">
        <v>2512</v>
      </c>
      <c r="G620" s="38" t="s">
        <v>43</v>
      </c>
      <c r="H620" s="38">
        <v>64.790000000000006</v>
      </c>
      <c r="I620" s="38" t="s">
        <v>44</v>
      </c>
      <c r="J620" s="38" t="s">
        <v>45</v>
      </c>
      <c r="K620" s="38" t="s">
        <v>2513</v>
      </c>
      <c r="L620" s="30" t="s">
        <v>58</v>
      </c>
      <c r="M620" s="38" t="s">
        <v>48</v>
      </c>
      <c r="N620" s="38" t="s">
        <v>48</v>
      </c>
      <c r="O620" s="31" t="s">
        <v>283</v>
      </c>
      <c r="P620" s="28" t="s">
        <v>284</v>
      </c>
      <c r="Q620" s="38" t="s">
        <v>285</v>
      </c>
      <c r="R620" s="38">
        <v>1</v>
      </c>
      <c r="S620" s="38" t="s">
        <v>68</v>
      </c>
      <c r="T620" s="38" t="s">
        <v>53</v>
      </c>
      <c r="U620" s="38" t="s">
        <v>54</v>
      </c>
      <c r="V620" s="38" t="s">
        <v>61</v>
      </c>
      <c r="Y620" s="38">
        <v>152.38999999999999</v>
      </c>
      <c r="Z620" s="38">
        <v>1</v>
      </c>
      <c r="AK620" s="14" t="e">
        <f t="shared" si="2"/>
        <v>#DIV/0!</v>
      </c>
      <c r="AM620" s="9"/>
      <c r="AO620" s="28"/>
    </row>
    <row r="621" spans="1:41" ht="12.5" hidden="1">
      <c r="A621" s="28" t="s">
        <v>2514</v>
      </c>
      <c r="B621" s="37">
        <v>45704</v>
      </c>
      <c r="C621" s="29">
        <v>45715</v>
      </c>
      <c r="D621" s="38" t="s">
        <v>41</v>
      </c>
      <c r="G621" s="38" t="s">
        <v>137</v>
      </c>
      <c r="H621" s="38">
        <v>0</v>
      </c>
      <c r="L621" s="30" t="s">
        <v>47</v>
      </c>
      <c r="M621" s="38" t="s">
        <v>48</v>
      </c>
      <c r="N621" s="38" t="s">
        <v>48</v>
      </c>
      <c r="O621" s="31" t="s">
        <v>2515</v>
      </c>
      <c r="P621" s="28" t="s">
        <v>2516</v>
      </c>
      <c r="Q621" s="38" t="s">
        <v>2517</v>
      </c>
      <c r="R621" s="38">
        <v>1</v>
      </c>
      <c r="S621" s="38" t="s">
        <v>99</v>
      </c>
      <c r="T621" s="38" t="s">
        <v>53</v>
      </c>
      <c r="U621" s="38" t="s">
        <v>54</v>
      </c>
      <c r="V621" s="38" t="s">
        <v>141</v>
      </c>
      <c r="Y621" s="38">
        <v>14.87</v>
      </c>
      <c r="Z621" s="38">
        <v>1</v>
      </c>
      <c r="AF621" s="38">
        <v>14.87</v>
      </c>
      <c r="AI621" s="38">
        <v>1</v>
      </c>
      <c r="AJ621" s="38">
        <v>6</v>
      </c>
      <c r="AK621" s="14">
        <f t="shared" si="2"/>
        <v>0.16666666666666666</v>
      </c>
      <c r="AM621" s="9"/>
      <c r="AO621" s="28"/>
    </row>
    <row r="622" spans="1:41" ht="12.5" hidden="1">
      <c r="A622" s="28" t="s">
        <v>2518</v>
      </c>
      <c r="B622" s="37">
        <v>45685</v>
      </c>
      <c r="C622" s="29">
        <v>45697</v>
      </c>
      <c r="D622" s="38" t="s">
        <v>41</v>
      </c>
      <c r="E622" s="38" t="s">
        <v>2519</v>
      </c>
      <c r="G622" s="38" t="s">
        <v>43</v>
      </c>
      <c r="H622" s="38">
        <v>11.1</v>
      </c>
      <c r="I622" s="38" t="s">
        <v>44</v>
      </c>
      <c r="J622" s="38" t="s">
        <v>45</v>
      </c>
      <c r="K622" s="38" t="s">
        <v>2520</v>
      </c>
      <c r="L622" s="30" t="s">
        <v>47</v>
      </c>
      <c r="M622" s="38" t="s">
        <v>48</v>
      </c>
      <c r="N622" s="38" t="s">
        <v>48</v>
      </c>
      <c r="O622" s="31" t="s">
        <v>2193</v>
      </c>
      <c r="P622" s="28" t="s">
        <v>2194</v>
      </c>
      <c r="Q622" s="38" t="s">
        <v>2195</v>
      </c>
      <c r="R622" s="38">
        <v>1</v>
      </c>
      <c r="S622" s="38" t="s">
        <v>52</v>
      </c>
      <c r="T622" s="38" t="s">
        <v>53</v>
      </c>
      <c r="U622" s="38" t="s">
        <v>54</v>
      </c>
      <c r="V622" s="38" t="s">
        <v>55</v>
      </c>
      <c r="Y622" s="38">
        <v>82.86</v>
      </c>
      <c r="Z622" s="38">
        <v>1</v>
      </c>
      <c r="AF622" s="38">
        <v>82.86</v>
      </c>
      <c r="AI622" s="38">
        <v>2</v>
      </c>
      <c r="AJ622" s="38">
        <v>14</v>
      </c>
      <c r="AK622" s="14">
        <f t="shared" si="2"/>
        <v>0.14285714285714285</v>
      </c>
      <c r="AM622" s="9"/>
      <c r="AN622" s="9"/>
      <c r="AO622" s="28"/>
    </row>
    <row r="623" spans="1:41" ht="12.5" hidden="1">
      <c r="A623" s="28" t="s">
        <v>2521</v>
      </c>
      <c r="B623" s="37">
        <v>45675</v>
      </c>
      <c r="C623" s="29">
        <v>45689</v>
      </c>
      <c r="D623" s="38" t="s">
        <v>41</v>
      </c>
      <c r="E623" s="38" t="s">
        <v>2522</v>
      </c>
      <c r="G623" s="38" t="s">
        <v>43</v>
      </c>
      <c r="H623" s="38">
        <v>11.1</v>
      </c>
      <c r="I623" s="38" t="s">
        <v>44</v>
      </c>
      <c r="J623" s="38" t="s">
        <v>45</v>
      </c>
      <c r="K623" s="38" t="s">
        <v>2523</v>
      </c>
      <c r="L623" s="30" t="s">
        <v>58</v>
      </c>
      <c r="M623" s="38" t="s">
        <v>48</v>
      </c>
      <c r="N623" s="38" t="s">
        <v>48</v>
      </c>
      <c r="O623" s="31" t="s">
        <v>2193</v>
      </c>
      <c r="P623" s="28" t="s">
        <v>2194</v>
      </c>
      <c r="Q623" s="38" t="s">
        <v>2195</v>
      </c>
      <c r="R623" s="38">
        <v>1</v>
      </c>
      <c r="S623" s="38" t="s">
        <v>68</v>
      </c>
      <c r="T623" s="38" t="s">
        <v>53</v>
      </c>
      <c r="U623" s="38" t="s">
        <v>54</v>
      </c>
      <c r="V623" s="38" t="s">
        <v>61</v>
      </c>
      <c r="Y623" s="38">
        <v>82.89</v>
      </c>
      <c r="Z623" s="38">
        <v>1</v>
      </c>
      <c r="AK623" s="14" t="e">
        <f t="shared" si="2"/>
        <v>#DIV/0!</v>
      </c>
      <c r="AM623" s="9"/>
      <c r="AN623" s="9"/>
      <c r="AO623" s="28"/>
    </row>
    <row r="624" spans="1:41" ht="12.5" hidden="1">
      <c r="A624" s="28" t="s">
        <v>2524</v>
      </c>
      <c r="B624" s="37">
        <v>45672</v>
      </c>
      <c r="C624" s="29">
        <v>45709</v>
      </c>
      <c r="D624" s="38" t="s">
        <v>41</v>
      </c>
      <c r="E624" s="38" t="s">
        <v>2525</v>
      </c>
      <c r="G624" s="38" t="s">
        <v>43</v>
      </c>
      <c r="H624" s="38">
        <v>10.66</v>
      </c>
      <c r="I624" s="38" t="s">
        <v>44</v>
      </c>
      <c r="J624" s="38" t="s">
        <v>45</v>
      </c>
      <c r="K624" s="38" t="s">
        <v>2526</v>
      </c>
      <c r="L624" s="30" t="s">
        <v>47</v>
      </c>
      <c r="M624" s="38" t="s">
        <v>48</v>
      </c>
      <c r="N624" s="38" t="s">
        <v>48</v>
      </c>
      <c r="O624" s="31" t="s">
        <v>1840</v>
      </c>
      <c r="P624" s="28" t="s">
        <v>1841</v>
      </c>
      <c r="Q624" s="38" t="s">
        <v>1842</v>
      </c>
      <c r="R624" s="38">
        <v>1</v>
      </c>
      <c r="S624" s="38" t="s">
        <v>99</v>
      </c>
      <c r="T624" s="38" t="s">
        <v>53</v>
      </c>
      <c r="U624" s="38" t="s">
        <v>54</v>
      </c>
      <c r="V624" s="38" t="s">
        <v>55</v>
      </c>
      <c r="Y624" s="38">
        <v>101.45</v>
      </c>
      <c r="Z624" s="38">
        <v>1</v>
      </c>
      <c r="AF624" s="38">
        <v>101.45</v>
      </c>
      <c r="AI624" s="38">
        <v>1</v>
      </c>
      <c r="AJ624" s="38">
        <v>5</v>
      </c>
      <c r="AK624" s="14">
        <f t="shared" si="2"/>
        <v>0.2</v>
      </c>
      <c r="AM624" s="9"/>
      <c r="AO624" s="28"/>
    </row>
    <row r="625" spans="1:41" ht="12.5" hidden="1">
      <c r="A625" s="28" t="s">
        <v>2527</v>
      </c>
      <c r="B625" s="39">
        <v>45696</v>
      </c>
      <c r="C625" s="29">
        <v>45703</v>
      </c>
      <c r="D625" s="38" t="s">
        <v>41</v>
      </c>
      <c r="E625" s="38" t="s">
        <v>2528</v>
      </c>
      <c r="G625" s="38" t="s">
        <v>43</v>
      </c>
      <c r="H625" s="38">
        <v>10.66</v>
      </c>
      <c r="I625" s="38" t="s">
        <v>44</v>
      </c>
      <c r="J625" s="38" t="s">
        <v>45</v>
      </c>
      <c r="K625" s="38" t="s">
        <v>2529</v>
      </c>
      <c r="L625" s="30" t="s">
        <v>47</v>
      </c>
      <c r="M625" s="38" t="s">
        <v>48</v>
      </c>
      <c r="N625" s="38" t="s">
        <v>48</v>
      </c>
      <c r="O625" s="31" t="s">
        <v>325</v>
      </c>
      <c r="P625" s="28" t="s">
        <v>326</v>
      </c>
      <c r="Q625" s="38" t="s">
        <v>327</v>
      </c>
      <c r="R625" s="38">
        <v>1</v>
      </c>
      <c r="S625" s="38" t="s">
        <v>99</v>
      </c>
      <c r="T625" s="38" t="s">
        <v>53</v>
      </c>
      <c r="U625" s="38" t="s">
        <v>54</v>
      </c>
      <c r="V625" s="38" t="s">
        <v>55</v>
      </c>
      <c r="Y625" s="38">
        <v>94.45</v>
      </c>
      <c r="Z625" s="38">
        <v>1</v>
      </c>
      <c r="AF625" s="38">
        <v>94.45</v>
      </c>
      <c r="AI625" s="38">
        <v>1</v>
      </c>
      <c r="AJ625" s="38">
        <v>1</v>
      </c>
      <c r="AK625" s="14">
        <f t="shared" si="2"/>
        <v>1</v>
      </c>
      <c r="AM625" s="9"/>
      <c r="AN625" s="9"/>
      <c r="AO625" s="28"/>
    </row>
    <row r="626" spans="1:41" ht="12.5" hidden="1">
      <c r="A626" s="28" t="s">
        <v>2530</v>
      </c>
      <c r="B626" s="37">
        <v>45701</v>
      </c>
      <c r="C626" s="29">
        <v>45709</v>
      </c>
      <c r="D626" s="38" t="s">
        <v>41</v>
      </c>
      <c r="E626" s="38" t="s">
        <v>2531</v>
      </c>
      <c r="G626" s="38" t="s">
        <v>43</v>
      </c>
      <c r="H626" s="38">
        <v>10.66</v>
      </c>
      <c r="I626" s="38" t="s">
        <v>44</v>
      </c>
      <c r="J626" s="38" t="s">
        <v>45</v>
      </c>
      <c r="K626" s="38" t="s">
        <v>2532</v>
      </c>
      <c r="L626" s="30" t="s">
        <v>47</v>
      </c>
      <c r="M626" s="38" t="s">
        <v>48</v>
      </c>
      <c r="N626" s="38" t="s">
        <v>48</v>
      </c>
      <c r="O626" s="31" t="s">
        <v>331</v>
      </c>
      <c r="P626" s="28" t="s">
        <v>332</v>
      </c>
      <c r="Q626" s="38" t="s">
        <v>333</v>
      </c>
      <c r="R626" s="38">
        <v>1</v>
      </c>
      <c r="S626" s="38" t="s">
        <v>52</v>
      </c>
      <c r="T626" s="38" t="s">
        <v>53</v>
      </c>
      <c r="U626" s="38" t="s">
        <v>54</v>
      </c>
      <c r="V626" s="38" t="s">
        <v>61</v>
      </c>
      <c r="Y626" s="38">
        <v>79.02</v>
      </c>
      <c r="Z626" s="38">
        <v>1</v>
      </c>
      <c r="AI626" s="38">
        <v>1</v>
      </c>
      <c r="AJ626" s="38">
        <v>3</v>
      </c>
      <c r="AK626" s="14">
        <f t="shared" si="2"/>
        <v>0.33333333333333331</v>
      </c>
      <c r="AM626" s="9"/>
      <c r="AO626" s="28"/>
    </row>
    <row r="627" spans="1:41" ht="12.5" hidden="1">
      <c r="A627" s="28" t="s">
        <v>2533</v>
      </c>
      <c r="B627" s="39">
        <v>45696</v>
      </c>
      <c r="C627" s="29">
        <v>45703</v>
      </c>
      <c r="D627" s="38" t="s">
        <v>41</v>
      </c>
      <c r="E627" s="38" t="s">
        <v>2534</v>
      </c>
      <c r="G627" s="38" t="s">
        <v>43</v>
      </c>
      <c r="H627" s="38">
        <v>10.38</v>
      </c>
      <c r="I627" s="38" t="s">
        <v>44</v>
      </c>
      <c r="J627" s="38" t="s">
        <v>45</v>
      </c>
      <c r="K627" s="38" t="s">
        <v>2535</v>
      </c>
      <c r="L627" s="30" t="s">
        <v>47</v>
      </c>
      <c r="M627" s="38" t="s">
        <v>48</v>
      </c>
      <c r="N627" s="38" t="s">
        <v>48</v>
      </c>
      <c r="O627" s="31" t="s">
        <v>337</v>
      </c>
      <c r="P627" s="28" t="s">
        <v>338</v>
      </c>
      <c r="Q627" s="38" t="s">
        <v>1846</v>
      </c>
      <c r="R627" s="38">
        <v>1</v>
      </c>
      <c r="S627" s="38" t="s">
        <v>92</v>
      </c>
      <c r="T627" s="38" t="s">
        <v>53</v>
      </c>
      <c r="U627" s="38" t="s">
        <v>54</v>
      </c>
      <c r="V627" s="38" t="s">
        <v>61</v>
      </c>
      <c r="Y627" s="38">
        <v>73.73</v>
      </c>
      <c r="Z627" s="38">
        <v>1</v>
      </c>
      <c r="AI627" s="38">
        <v>3</v>
      </c>
      <c r="AJ627" s="38">
        <v>22</v>
      </c>
      <c r="AK627" s="14">
        <f t="shared" si="2"/>
        <v>0.13636363636363635</v>
      </c>
      <c r="AM627" s="9"/>
      <c r="AN627" s="9"/>
      <c r="AO627" s="28"/>
    </row>
    <row r="628" spans="1:41" ht="12.5" hidden="1">
      <c r="A628" s="28" t="s">
        <v>2536</v>
      </c>
      <c r="B628" s="39">
        <v>45692</v>
      </c>
      <c r="C628" s="29">
        <v>45693</v>
      </c>
      <c r="D628" s="38" t="s">
        <v>41</v>
      </c>
      <c r="E628" s="38" t="s">
        <v>2537</v>
      </c>
      <c r="G628" s="38" t="s">
        <v>43</v>
      </c>
      <c r="H628" s="38">
        <v>10.38</v>
      </c>
      <c r="I628" s="38" t="s">
        <v>44</v>
      </c>
      <c r="J628" s="38" t="s">
        <v>45</v>
      </c>
      <c r="K628" s="38" t="s">
        <v>2538</v>
      </c>
      <c r="L628" s="30" t="s">
        <v>47</v>
      </c>
      <c r="M628" s="38" t="s">
        <v>48</v>
      </c>
      <c r="N628" s="38" t="s">
        <v>48</v>
      </c>
      <c r="O628" s="31" t="s">
        <v>337</v>
      </c>
      <c r="P628" s="28" t="s">
        <v>338</v>
      </c>
      <c r="Q628" s="38" t="s">
        <v>1846</v>
      </c>
      <c r="R628" s="38">
        <v>1</v>
      </c>
      <c r="S628" s="38" t="s">
        <v>92</v>
      </c>
      <c r="T628" s="38" t="s">
        <v>53</v>
      </c>
      <c r="U628" s="38" t="s">
        <v>60</v>
      </c>
      <c r="V628" s="38" t="s">
        <v>55</v>
      </c>
      <c r="Y628" s="38">
        <v>74.930000000000007</v>
      </c>
      <c r="Z628" s="38">
        <v>1</v>
      </c>
      <c r="AF628" s="38">
        <v>74.930000000000007</v>
      </c>
      <c r="AK628" s="14" t="e">
        <f t="shared" si="2"/>
        <v>#DIV/0!</v>
      </c>
      <c r="AM628" s="9"/>
      <c r="AN628" s="9"/>
      <c r="AO628" s="28"/>
    </row>
    <row r="629" spans="1:41" ht="12.5" hidden="1">
      <c r="A629" s="28" t="s">
        <v>2539</v>
      </c>
      <c r="B629" s="37">
        <v>45709</v>
      </c>
      <c r="C629" s="29">
        <v>45716</v>
      </c>
      <c r="D629" s="38" t="s">
        <v>41</v>
      </c>
      <c r="E629" s="38" t="s">
        <v>2540</v>
      </c>
      <c r="G629" s="38" t="s">
        <v>43</v>
      </c>
      <c r="H629" s="38">
        <v>10.38</v>
      </c>
      <c r="I629" s="38" t="s">
        <v>44</v>
      </c>
      <c r="J629" s="38" t="s">
        <v>45</v>
      </c>
      <c r="K629" s="38" t="s">
        <v>2541</v>
      </c>
      <c r="L629" s="30" t="s">
        <v>47</v>
      </c>
      <c r="M629" s="38" t="s">
        <v>48</v>
      </c>
      <c r="N629" s="38" t="s">
        <v>48</v>
      </c>
      <c r="O629" s="31" t="s">
        <v>337</v>
      </c>
      <c r="P629" s="28" t="s">
        <v>338</v>
      </c>
      <c r="Q629" s="38" t="s">
        <v>1846</v>
      </c>
      <c r="R629" s="38">
        <v>1</v>
      </c>
      <c r="S629" s="38" t="s">
        <v>421</v>
      </c>
      <c r="T629" s="38" t="s">
        <v>53</v>
      </c>
      <c r="U629" s="38" t="s">
        <v>54</v>
      </c>
      <c r="V629" s="38" t="s">
        <v>560</v>
      </c>
      <c r="Y629" s="38">
        <v>74.58</v>
      </c>
      <c r="Z629" s="38">
        <v>1</v>
      </c>
      <c r="AK629" s="14" t="e">
        <f t="shared" si="2"/>
        <v>#DIV/0!</v>
      </c>
      <c r="AM629" s="9"/>
      <c r="AO629" s="28"/>
    </row>
    <row r="630" spans="1:41" ht="12.5" hidden="1">
      <c r="A630" s="28" t="s">
        <v>2542</v>
      </c>
      <c r="B630" s="37">
        <v>45703</v>
      </c>
      <c r="C630" s="29">
        <v>45709</v>
      </c>
      <c r="D630" s="38" t="s">
        <v>41</v>
      </c>
      <c r="E630" s="38" t="s">
        <v>2543</v>
      </c>
      <c r="G630" s="38" t="s">
        <v>43</v>
      </c>
      <c r="H630" s="38">
        <v>10.38</v>
      </c>
      <c r="I630" s="38" t="s">
        <v>44</v>
      </c>
      <c r="J630" s="38" t="s">
        <v>45</v>
      </c>
      <c r="K630" s="38" t="s">
        <v>2544</v>
      </c>
      <c r="L630" s="30" t="s">
        <v>47</v>
      </c>
      <c r="M630" s="38" t="s">
        <v>48</v>
      </c>
      <c r="N630" s="38" t="s">
        <v>48</v>
      </c>
      <c r="O630" s="31" t="s">
        <v>363</v>
      </c>
      <c r="P630" s="28" t="s">
        <v>364</v>
      </c>
      <c r="Q630" s="38" t="s">
        <v>1859</v>
      </c>
      <c r="R630" s="38">
        <v>1</v>
      </c>
      <c r="S630" s="38" t="s">
        <v>99</v>
      </c>
      <c r="T630" s="38" t="s">
        <v>53</v>
      </c>
      <c r="U630" s="38" t="s">
        <v>54</v>
      </c>
      <c r="V630" s="38" t="s">
        <v>55</v>
      </c>
      <c r="Y630" s="38">
        <v>65.17</v>
      </c>
      <c r="Z630" s="38">
        <v>1</v>
      </c>
      <c r="AF630" s="38">
        <v>65.17</v>
      </c>
      <c r="AI630" s="38">
        <v>1</v>
      </c>
      <c r="AJ630" s="38">
        <v>3</v>
      </c>
      <c r="AK630" s="14">
        <f t="shared" si="2"/>
        <v>0.33333333333333331</v>
      </c>
      <c r="AM630" s="9"/>
      <c r="AO630" s="28"/>
    </row>
    <row r="631" spans="1:41" ht="12.5" hidden="1">
      <c r="A631" s="28" t="s">
        <v>2545</v>
      </c>
      <c r="B631" s="37">
        <v>45702</v>
      </c>
      <c r="C631" s="29">
        <v>45709</v>
      </c>
      <c r="D631" s="38" t="s">
        <v>41</v>
      </c>
      <c r="E631" s="38" t="s">
        <v>2546</v>
      </c>
      <c r="G631" s="38" t="s">
        <v>43</v>
      </c>
      <c r="H631" s="38">
        <v>10.66</v>
      </c>
      <c r="I631" s="38" t="s">
        <v>44</v>
      </c>
      <c r="J631" s="38" t="s">
        <v>45</v>
      </c>
      <c r="K631" s="38" t="s">
        <v>2547</v>
      </c>
      <c r="L631" s="30" t="s">
        <v>58</v>
      </c>
      <c r="M631" s="38" t="s">
        <v>48</v>
      </c>
      <c r="N631" s="38" t="s">
        <v>48</v>
      </c>
      <c r="O631" s="31" t="s">
        <v>2548</v>
      </c>
      <c r="P631" s="28" t="s">
        <v>2549</v>
      </c>
      <c r="Q631" s="38" t="s">
        <v>2550</v>
      </c>
      <c r="R631" s="38">
        <v>1</v>
      </c>
      <c r="S631" s="38" t="s">
        <v>68</v>
      </c>
      <c r="T631" s="38" t="s">
        <v>53</v>
      </c>
      <c r="U631" s="38" t="s">
        <v>54</v>
      </c>
      <c r="V631" s="38" t="s">
        <v>55</v>
      </c>
      <c r="Y631" s="38">
        <v>73.55</v>
      </c>
      <c r="Z631" s="38">
        <v>1</v>
      </c>
      <c r="AF631" s="38">
        <v>62.89</v>
      </c>
      <c r="AI631" s="38">
        <v>1</v>
      </c>
      <c r="AJ631" s="38">
        <v>1</v>
      </c>
      <c r="AK631" s="14">
        <f t="shared" si="2"/>
        <v>1</v>
      </c>
      <c r="AM631" s="9"/>
      <c r="AO631" s="28"/>
    </row>
    <row r="632" spans="1:41" ht="12.5" hidden="1">
      <c r="A632" s="28" t="s">
        <v>2551</v>
      </c>
      <c r="B632" s="39">
        <v>45691</v>
      </c>
      <c r="C632" s="29">
        <v>45693</v>
      </c>
      <c r="D632" s="38" t="s">
        <v>41</v>
      </c>
      <c r="E632" s="38" t="s">
        <v>2552</v>
      </c>
      <c r="G632" s="38" t="s">
        <v>43</v>
      </c>
      <c r="H632" s="38">
        <v>9.6199999999999992</v>
      </c>
      <c r="I632" s="38" t="s">
        <v>44</v>
      </c>
      <c r="J632" s="38" t="s">
        <v>45</v>
      </c>
      <c r="K632" s="38" t="s">
        <v>2553</v>
      </c>
      <c r="L632" s="30" t="s">
        <v>47</v>
      </c>
      <c r="M632" s="38" t="s">
        <v>48</v>
      </c>
      <c r="N632" s="38" t="s">
        <v>48</v>
      </c>
      <c r="O632" s="31" t="s">
        <v>2554</v>
      </c>
      <c r="P632" s="28" t="s">
        <v>2555</v>
      </c>
      <c r="Q632" s="38" t="s">
        <v>2556</v>
      </c>
      <c r="R632" s="38">
        <v>1</v>
      </c>
      <c r="S632" s="38" t="s">
        <v>421</v>
      </c>
      <c r="T632" s="38" t="s">
        <v>53</v>
      </c>
      <c r="U632" s="38" t="s">
        <v>54</v>
      </c>
      <c r="V632" s="38" t="s">
        <v>55</v>
      </c>
      <c r="Y632" s="38">
        <v>78.180000000000007</v>
      </c>
      <c r="Z632" s="38">
        <v>1</v>
      </c>
      <c r="AF632" s="38">
        <v>78.180000000000007</v>
      </c>
      <c r="AI632" s="38">
        <v>1</v>
      </c>
      <c r="AJ632" s="38">
        <v>2</v>
      </c>
      <c r="AK632" s="14">
        <f t="shared" si="2"/>
        <v>0.5</v>
      </c>
      <c r="AM632" s="9" t="s">
        <v>1168</v>
      </c>
      <c r="AN632" s="9"/>
      <c r="AO632" s="28"/>
    </row>
    <row r="633" spans="1:41" ht="12.5" hidden="1">
      <c r="A633" s="28" t="s">
        <v>2557</v>
      </c>
      <c r="B633" s="37">
        <v>45687</v>
      </c>
      <c r="C633" s="29">
        <v>45691</v>
      </c>
      <c r="D633" s="38" t="s">
        <v>41</v>
      </c>
      <c r="E633" s="38" t="s">
        <v>2558</v>
      </c>
      <c r="G633" s="38" t="s">
        <v>43</v>
      </c>
      <c r="H633" s="38">
        <v>14.03</v>
      </c>
      <c r="I633" s="38" t="s">
        <v>44</v>
      </c>
      <c r="J633" s="38" t="s">
        <v>45</v>
      </c>
      <c r="K633" s="38" t="s">
        <v>2559</v>
      </c>
      <c r="L633" s="30" t="s">
        <v>58</v>
      </c>
      <c r="M633" s="38" t="s">
        <v>48</v>
      </c>
      <c r="N633" s="38" t="s">
        <v>48</v>
      </c>
      <c r="O633" s="31" t="s">
        <v>425</v>
      </c>
      <c r="P633" s="28" t="s">
        <v>2560</v>
      </c>
      <c r="Q633" s="38" t="s">
        <v>427</v>
      </c>
      <c r="R633" s="38">
        <v>1</v>
      </c>
      <c r="S633" s="38" t="s">
        <v>68</v>
      </c>
      <c r="T633" s="38" t="s">
        <v>53</v>
      </c>
      <c r="U633" s="38" t="s">
        <v>54</v>
      </c>
      <c r="V633" s="38" t="s">
        <v>240</v>
      </c>
      <c r="Y633" s="38">
        <v>142.36000000000001</v>
      </c>
      <c r="Z633" s="38">
        <v>1</v>
      </c>
      <c r="AF633" s="38">
        <v>112.07</v>
      </c>
      <c r="AI633" s="38">
        <v>2</v>
      </c>
      <c r="AJ633" s="38">
        <v>12</v>
      </c>
      <c r="AK633" s="14">
        <f t="shared" si="2"/>
        <v>0.16666666666666666</v>
      </c>
      <c r="AM633" s="9"/>
      <c r="AN633" s="9"/>
      <c r="AO633" s="28"/>
    </row>
    <row r="634" spans="1:41" ht="12.5" hidden="1">
      <c r="A634" s="28" t="s">
        <v>2561</v>
      </c>
      <c r="B634" s="37">
        <v>45675</v>
      </c>
      <c r="C634" s="29">
        <v>45710</v>
      </c>
      <c r="D634" s="38" t="s">
        <v>41</v>
      </c>
      <c r="E634" s="38" t="s">
        <v>2562</v>
      </c>
      <c r="G634" s="38" t="s">
        <v>43</v>
      </c>
      <c r="H634" s="38">
        <v>14.03</v>
      </c>
      <c r="I634" s="38" t="s">
        <v>44</v>
      </c>
      <c r="J634" s="38" t="s">
        <v>45</v>
      </c>
      <c r="K634" s="38" t="s">
        <v>2563</v>
      </c>
      <c r="L634" s="30" t="s">
        <v>47</v>
      </c>
      <c r="M634" s="38" t="s">
        <v>48</v>
      </c>
      <c r="N634" s="38" t="s">
        <v>48</v>
      </c>
      <c r="O634" s="31" t="s">
        <v>425</v>
      </c>
      <c r="P634" s="28" t="s">
        <v>2560</v>
      </c>
      <c r="Q634" s="38" t="s">
        <v>427</v>
      </c>
      <c r="R634" s="38">
        <v>1</v>
      </c>
      <c r="S634" s="38" t="s">
        <v>52</v>
      </c>
      <c r="T634" s="38" t="s">
        <v>53</v>
      </c>
      <c r="U634" s="38" t="s">
        <v>54</v>
      </c>
      <c r="V634" s="38" t="s">
        <v>61</v>
      </c>
      <c r="Y634" s="38">
        <v>143.37</v>
      </c>
      <c r="Z634" s="38">
        <v>1</v>
      </c>
      <c r="AK634" s="14" t="e">
        <f t="shared" si="2"/>
        <v>#DIV/0!</v>
      </c>
      <c r="AM634" s="9"/>
      <c r="AO634" s="28"/>
    </row>
    <row r="635" spans="1:41" ht="12.5" hidden="1">
      <c r="A635" s="28" t="s">
        <v>2564</v>
      </c>
      <c r="B635" s="37">
        <v>45688</v>
      </c>
      <c r="C635" s="29">
        <v>45694</v>
      </c>
      <c r="D635" s="38" t="s">
        <v>41</v>
      </c>
      <c r="E635" s="38" t="s">
        <v>2565</v>
      </c>
      <c r="G635" s="38" t="s">
        <v>43</v>
      </c>
      <c r="H635" s="38">
        <v>17.45</v>
      </c>
      <c r="I635" s="38" t="s">
        <v>44</v>
      </c>
      <c r="J635" s="38" t="s">
        <v>45</v>
      </c>
      <c r="K635" s="38" t="s">
        <v>2566</v>
      </c>
      <c r="L635" s="30" t="s">
        <v>47</v>
      </c>
      <c r="M635" s="38" t="s">
        <v>48</v>
      </c>
      <c r="N635" s="38" t="s">
        <v>48</v>
      </c>
      <c r="O635" s="31" t="s">
        <v>431</v>
      </c>
      <c r="P635" s="28" t="s">
        <v>432</v>
      </c>
      <c r="Q635" s="38" t="s">
        <v>2242</v>
      </c>
      <c r="R635" s="38">
        <v>1</v>
      </c>
      <c r="S635" s="38" t="s">
        <v>99</v>
      </c>
      <c r="T635" s="38" t="s">
        <v>53</v>
      </c>
      <c r="U635" s="38" t="s">
        <v>54</v>
      </c>
      <c r="V635" s="38" t="s">
        <v>61</v>
      </c>
      <c r="Y635" s="38">
        <v>125.98</v>
      </c>
      <c r="Z635" s="38">
        <v>1</v>
      </c>
      <c r="AI635" s="38">
        <v>1</v>
      </c>
      <c r="AJ635" s="38">
        <v>2</v>
      </c>
      <c r="AK635" s="14">
        <f t="shared" si="2"/>
        <v>0.5</v>
      </c>
      <c r="AM635" s="9"/>
      <c r="AN635" s="9"/>
      <c r="AO635" s="28"/>
    </row>
    <row r="636" spans="1:41" ht="12.5" hidden="1">
      <c r="A636" s="28" t="s">
        <v>2567</v>
      </c>
      <c r="B636" s="39">
        <v>45696</v>
      </c>
      <c r="C636" s="29">
        <v>45702</v>
      </c>
      <c r="D636" s="38" t="s">
        <v>41</v>
      </c>
      <c r="E636" s="38" t="s">
        <v>2568</v>
      </c>
      <c r="G636" s="38" t="s">
        <v>43</v>
      </c>
      <c r="H636" s="38">
        <v>12.2</v>
      </c>
      <c r="I636" s="38" t="s">
        <v>44</v>
      </c>
      <c r="J636" s="38" t="s">
        <v>45</v>
      </c>
      <c r="K636" s="38" t="s">
        <v>2569</v>
      </c>
      <c r="L636" s="30" t="s">
        <v>47</v>
      </c>
      <c r="M636" s="38" t="s">
        <v>48</v>
      </c>
      <c r="N636" s="38" t="s">
        <v>48</v>
      </c>
      <c r="O636" s="31" t="s">
        <v>1223</v>
      </c>
      <c r="P636" s="28" t="s">
        <v>1224</v>
      </c>
      <c r="Q636" s="38" t="s">
        <v>1225</v>
      </c>
      <c r="R636" s="38">
        <v>1</v>
      </c>
      <c r="S636" s="38" t="s">
        <v>52</v>
      </c>
      <c r="T636" s="38" t="s">
        <v>53</v>
      </c>
      <c r="U636" s="38" t="s">
        <v>54</v>
      </c>
      <c r="V636" s="38" t="s">
        <v>55</v>
      </c>
      <c r="Y636" s="38">
        <v>104.93</v>
      </c>
      <c r="Z636" s="38">
        <v>1</v>
      </c>
      <c r="AF636" s="38">
        <v>104.93</v>
      </c>
      <c r="AI636" s="38">
        <v>2</v>
      </c>
      <c r="AJ636" s="38">
        <v>4</v>
      </c>
      <c r="AK636" s="14">
        <f t="shared" si="2"/>
        <v>0.5</v>
      </c>
      <c r="AM636" s="9"/>
      <c r="AN636" s="9"/>
      <c r="AO636" s="28"/>
    </row>
    <row r="637" spans="1:41" ht="12.5" hidden="1">
      <c r="A637" s="28" t="s">
        <v>2570</v>
      </c>
      <c r="B637" s="37">
        <v>45688</v>
      </c>
      <c r="C637" s="29">
        <v>45697</v>
      </c>
      <c r="D637" s="38" t="s">
        <v>41</v>
      </c>
      <c r="E637" s="38" t="s">
        <v>2571</v>
      </c>
      <c r="G637" s="38" t="s">
        <v>43</v>
      </c>
      <c r="H637" s="38">
        <v>12.2</v>
      </c>
      <c r="I637" s="38" t="s">
        <v>44</v>
      </c>
      <c r="J637" s="38" t="s">
        <v>45</v>
      </c>
      <c r="K637" s="38" t="s">
        <v>2572</v>
      </c>
      <c r="L637" s="30" t="s">
        <v>47</v>
      </c>
      <c r="M637" s="38" t="s">
        <v>48</v>
      </c>
      <c r="N637" s="38" t="s">
        <v>48</v>
      </c>
      <c r="O637" s="31" t="s">
        <v>1223</v>
      </c>
      <c r="P637" s="28" t="s">
        <v>1224</v>
      </c>
      <c r="Q637" s="38" t="s">
        <v>1225</v>
      </c>
      <c r="R637" s="38">
        <v>1</v>
      </c>
      <c r="S637" s="38" t="s">
        <v>52</v>
      </c>
      <c r="T637" s="38" t="s">
        <v>53</v>
      </c>
      <c r="U637" s="38" t="s">
        <v>54</v>
      </c>
      <c r="V637" s="38" t="s">
        <v>61</v>
      </c>
      <c r="Y637" s="38">
        <v>103.7</v>
      </c>
      <c r="Z637" s="38">
        <v>1</v>
      </c>
      <c r="AK637" s="14" t="e">
        <f t="shared" si="2"/>
        <v>#DIV/0!</v>
      </c>
      <c r="AM637" s="9"/>
      <c r="AN637" s="9"/>
      <c r="AO637" s="28"/>
    </row>
    <row r="638" spans="1:41" ht="12.5" hidden="1">
      <c r="A638" s="28" t="s">
        <v>2573</v>
      </c>
      <c r="B638" s="37">
        <v>45699</v>
      </c>
      <c r="C638" s="29">
        <v>45702</v>
      </c>
      <c r="D638" s="38" t="s">
        <v>41</v>
      </c>
      <c r="E638" s="38" t="s">
        <v>2574</v>
      </c>
      <c r="G638" s="38" t="s">
        <v>137</v>
      </c>
      <c r="H638" s="38">
        <v>0</v>
      </c>
      <c r="L638" s="30" t="s">
        <v>47</v>
      </c>
      <c r="M638" s="38" t="s">
        <v>48</v>
      </c>
      <c r="N638" s="38" t="s">
        <v>48</v>
      </c>
      <c r="O638" s="31" t="s">
        <v>455</v>
      </c>
      <c r="P638" s="28" t="s">
        <v>456</v>
      </c>
      <c r="Q638" s="38" t="s">
        <v>2575</v>
      </c>
      <c r="R638" s="38">
        <v>1</v>
      </c>
      <c r="S638" s="38" t="s">
        <v>99</v>
      </c>
      <c r="T638" s="38" t="s">
        <v>53</v>
      </c>
      <c r="U638" s="38" t="s">
        <v>54</v>
      </c>
      <c r="V638" s="38" t="s">
        <v>61</v>
      </c>
      <c r="Y638" s="38">
        <v>71.209999999999994</v>
      </c>
      <c r="Z638" s="38">
        <v>1</v>
      </c>
      <c r="AI638" s="38">
        <v>1</v>
      </c>
      <c r="AJ638" s="38">
        <v>7</v>
      </c>
      <c r="AK638" s="14">
        <f t="shared" si="2"/>
        <v>0.14285714285714285</v>
      </c>
      <c r="AM638" s="9"/>
      <c r="AN638" s="9"/>
      <c r="AO638" s="28"/>
    </row>
    <row r="639" spans="1:41" ht="12.5" hidden="1">
      <c r="A639" s="28" t="s">
        <v>2576</v>
      </c>
      <c r="B639" s="37">
        <v>45687</v>
      </c>
      <c r="C639" s="29">
        <v>45694</v>
      </c>
      <c r="D639" s="38" t="s">
        <v>41</v>
      </c>
      <c r="E639" s="38" t="s">
        <v>2577</v>
      </c>
      <c r="G639" s="38" t="s">
        <v>43</v>
      </c>
      <c r="H639" s="38">
        <v>17.09</v>
      </c>
      <c r="I639" s="38" t="s">
        <v>44</v>
      </c>
      <c r="J639" s="38" t="s">
        <v>45</v>
      </c>
      <c r="K639" s="38" t="s">
        <v>2578</v>
      </c>
      <c r="L639" s="30" t="s">
        <v>47</v>
      </c>
      <c r="M639" s="38" t="s">
        <v>48</v>
      </c>
      <c r="N639" s="38" t="s">
        <v>48</v>
      </c>
      <c r="O639" s="31" t="s">
        <v>469</v>
      </c>
      <c r="P639" s="28" t="s">
        <v>470</v>
      </c>
      <c r="Q639" s="38" t="s">
        <v>471</v>
      </c>
      <c r="R639" s="38">
        <v>1</v>
      </c>
      <c r="S639" s="38" t="s">
        <v>92</v>
      </c>
      <c r="T639" s="38" t="s">
        <v>53</v>
      </c>
      <c r="U639" s="38" t="s">
        <v>54</v>
      </c>
      <c r="V639" s="38" t="s">
        <v>55</v>
      </c>
      <c r="Y639" s="38">
        <v>111.91</v>
      </c>
      <c r="Z639" s="38">
        <v>1</v>
      </c>
      <c r="AF639" s="38">
        <v>111.91</v>
      </c>
      <c r="AI639" s="38">
        <v>1</v>
      </c>
      <c r="AJ639" s="38">
        <v>1</v>
      </c>
      <c r="AK639" s="14">
        <f t="shared" si="2"/>
        <v>1</v>
      </c>
      <c r="AM639" s="9"/>
      <c r="AN639" s="9"/>
      <c r="AO639" s="28"/>
    </row>
    <row r="640" spans="1:41" ht="12.5" hidden="1">
      <c r="A640" s="28" t="s">
        <v>2579</v>
      </c>
      <c r="B640" s="37">
        <v>45681</v>
      </c>
      <c r="C640" s="29">
        <v>45690</v>
      </c>
      <c r="D640" s="38" t="s">
        <v>41</v>
      </c>
      <c r="E640" s="38" t="s">
        <v>2580</v>
      </c>
      <c r="G640" s="38" t="s">
        <v>43</v>
      </c>
      <c r="H640" s="38">
        <v>11.74</v>
      </c>
      <c r="I640" s="38" t="s">
        <v>44</v>
      </c>
      <c r="J640" s="38" t="s">
        <v>45</v>
      </c>
      <c r="K640" s="38" t="s">
        <v>2581</v>
      </c>
      <c r="L640" s="30" t="s">
        <v>47</v>
      </c>
      <c r="M640" s="38" t="s">
        <v>48</v>
      </c>
      <c r="N640" s="38" t="s">
        <v>48</v>
      </c>
      <c r="O640" s="31" t="s">
        <v>2582</v>
      </c>
      <c r="P640" s="28" t="s">
        <v>2583</v>
      </c>
      <c r="Q640" s="38" t="s">
        <v>2584</v>
      </c>
      <c r="R640" s="38">
        <v>1</v>
      </c>
      <c r="S640" s="38" t="s">
        <v>421</v>
      </c>
      <c r="T640" s="38" t="s">
        <v>53</v>
      </c>
      <c r="U640" s="38" t="s">
        <v>54</v>
      </c>
      <c r="V640" s="38" t="s">
        <v>560</v>
      </c>
      <c r="Y640" s="38">
        <v>123.37</v>
      </c>
      <c r="Z640" s="38">
        <v>1</v>
      </c>
      <c r="AI640" s="38">
        <v>1</v>
      </c>
      <c r="AJ640" s="38">
        <v>2</v>
      </c>
      <c r="AK640" s="14">
        <f t="shared" si="2"/>
        <v>0.5</v>
      </c>
      <c r="AM640" s="9" t="s">
        <v>1168</v>
      </c>
      <c r="AN640" s="9"/>
      <c r="AO640" s="28" t="s">
        <v>2585</v>
      </c>
    </row>
    <row r="641" spans="1:41" ht="12.5" hidden="1">
      <c r="A641" s="28" t="s">
        <v>2586</v>
      </c>
      <c r="B641" s="39">
        <v>45659</v>
      </c>
      <c r="C641" s="29">
        <v>45693</v>
      </c>
      <c r="D641" s="38" t="s">
        <v>41</v>
      </c>
      <c r="G641" s="38" t="s">
        <v>137</v>
      </c>
      <c r="H641" s="38">
        <v>0</v>
      </c>
      <c r="L641" s="30" t="s">
        <v>58</v>
      </c>
      <c r="M641" s="38" t="s">
        <v>48</v>
      </c>
      <c r="N641" s="38" t="s">
        <v>48</v>
      </c>
      <c r="O641" s="31" t="s">
        <v>2587</v>
      </c>
      <c r="P641" s="28" t="s">
        <v>2588</v>
      </c>
      <c r="Q641" s="38" t="s">
        <v>2589</v>
      </c>
      <c r="R641" s="38">
        <v>1</v>
      </c>
      <c r="S641" s="38" t="s">
        <v>306</v>
      </c>
      <c r="T641" s="38" t="s">
        <v>53</v>
      </c>
      <c r="U641" s="38" t="s">
        <v>54</v>
      </c>
      <c r="V641" s="38" t="s">
        <v>141</v>
      </c>
      <c r="Y641" s="38">
        <v>28.45</v>
      </c>
      <c r="Z641" s="38">
        <v>1</v>
      </c>
      <c r="AF641" s="38">
        <v>28.45</v>
      </c>
      <c r="AI641" s="38">
        <v>1</v>
      </c>
      <c r="AJ641" s="38">
        <v>0</v>
      </c>
      <c r="AK641" s="14" t="e">
        <f t="shared" si="2"/>
        <v>#DIV/0!</v>
      </c>
      <c r="AM641" s="9"/>
      <c r="AN641" s="9"/>
      <c r="AO641" s="28"/>
    </row>
    <row r="642" spans="1:41" ht="12.5" hidden="1">
      <c r="A642" s="28" t="s">
        <v>2590</v>
      </c>
      <c r="B642" s="39">
        <v>45695</v>
      </c>
      <c r="C642" s="29">
        <v>45702</v>
      </c>
      <c r="D642" s="38" t="s">
        <v>41</v>
      </c>
      <c r="E642" s="38" t="s">
        <v>2591</v>
      </c>
      <c r="G642" s="38" t="s">
        <v>43</v>
      </c>
      <c r="H642" s="38">
        <v>7.7</v>
      </c>
      <c r="I642" s="38" t="s">
        <v>44</v>
      </c>
      <c r="J642" s="38" t="s">
        <v>45</v>
      </c>
      <c r="K642" s="38" t="s">
        <v>2592</v>
      </c>
      <c r="L642" s="30" t="s">
        <v>47</v>
      </c>
      <c r="M642" s="38" t="s">
        <v>48</v>
      </c>
      <c r="N642" s="38" t="s">
        <v>48</v>
      </c>
      <c r="O642" s="31" t="s">
        <v>2593</v>
      </c>
      <c r="P642" s="28" t="s">
        <v>2594</v>
      </c>
      <c r="Q642" s="38" t="s">
        <v>2595</v>
      </c>
      <c r="R642" s="38">
        <v>1</v>
      </c>
      <c r="S642" s="38" t="s">
        <v>99</v>
      </c>
      <c r="T642" s="38" t="s">
        <v>53</v>
      </c>
      <c r="U642" s="38" t="s">
        <v>54</v>
      </c>
      <c r="V642" s="38" t="s">
        <v>61</v>
      </c>
      <c r="Y642" s="38">
        <v>81.239999999999995</v>
      </c>
      <c r="Z642" s="38">
        <v>1</v>
      </c>
      <c r="AI642" s="38">
        <v>1</v>
      </c>
      <c r="AJ642" s="38">
        <v>3</v>
      </c>
      <c r="AK642" s="14">
        <f t="shared" si="2"/>
        <v>0.33333333333333331</v>
      </c>
      <c r="AM642" s="9"/>
      <c r="AN642" s="9"/>
      <c r="AO642" s="28"/>
    </row>
    <row r="643" spans="1:41" ht="12.5" hidden="1">
      <c r="A643" s="28" t="s">
        <v>2596</v>
      </c>
      <c r="B643" s="39">
        <v>45694</v>
      </c>
      <c r="C643" s="29">
        <v>45699</v>
      </c>
      <c r="D643" s="38" t="s">
        <v>41</v>
      </c>
      <c r="E643" s="38" t="s">
        <v>2597</v>
      </c>
      <c r="G643" s="38" t="s">
        <v>43</v>
      </c>
      <c r="H643" s="38">
        <v>12.64</v>
      </c>
      <c r="I643" s="38" t="s">
        <v>44</v>
      </c>
      <c r="J643" s="38" t="s">
        <v>45</v>
      </c>
      <c r="K643" s="38" t="s">
        <v>2598</v>
      </c>
      <c r="L643" s="30" t="s">
        <v>58</v>
      </c>
      <c r="M643" s="38" t="s">
        <v>48</v>
      </c>
      <c r="N643" s="38" t="s">
        <v>48</v>
      </c>
      <c r="O643" s="31" t="s">
        <v>526</v>
      </c>
      <c r="P643" s="28" t="s">
        <v>527</v>
      </c>
      <c r="Q643" s="38" t="s">
        <v>528</v>
      </c>
      <c r="R643" s="38">
        <v>1</v>
      </c>
      <c r="S643" s="38" t="s">
        <v>68</v>
      </c>
      <c r="T643" s="38" t="s">
        <v>53</v>
      </c>
      <c r="U643" s="38" t="s">
        <v>54</v>
      </c>
      <c r="V643" s="38" t="s">
        <v>61</v>
      </c>
      <c r="Y643" s="38">
        <v>67.17</v>
      </c>
      <c r="Z643" s="38">
        <v>1</v>
      </c>
      <c r="AI643" s="38">
        <v>2</v>
      </c>
      <c r="AJ643" s="38">
        <v>9</v>
      </c>
      <c r="AK643" s="14">
        <f t="shared" si="2"/>
        <v>0.22222222222222221</v>
      </c>
      <c r="AM643" s="9"/>
      <c r="AN643" s="9"/>
      <c r="AO643" s="28"/>
    </row>
    <row r="644" spans="1:41" ht="12.5" hidden="1">
      <c r="A644" s="28" t="s">
        <v>2599</v>
      </c>
      <c r="B644" s="37">
        <v>45680</v>
      </c>
      <c r="C644" s="29">
        <v>45698</v>
      </c>
      <c r="D644" s="38" t="s">
        <v>41</v>
      </c>
      <c r="E644" s="38" t="s">
        <v>2600</v>
      </c>
      <c r="G644" s="38" t="s">
        <v>43</v>
      </c>
      <c r="H644" s="38">
        <v>12.64</v>
      </c>
      <c r="I644" s="38" t="s">
        <v>44</v>
      </c>
      <c r="J644" s="38" t="s">
        <v>45</v>
      </c>
      <c r="K644" s="38" t="s">
        <v>2601</v>
      </c>
      <c r="L644" s="30" t="s">
        <v>47</v>
      </c>
      <c r="M644" s="38" t="s">
        <v>48</v>
      </c>
      <c r="N644" s="38" t="s">
        <v>48</v>
      </c>
      <c r="O644" s="31" t="s">
        <v>526</v>
      </c>
      <c r="P644" s="28" t="s">
        <v>527</v>
      </c>
      <c r="Q644" s="38" t="s">
        <v>528</v>
      </c>
      <c r="R644" s="38">
        <v>1</v>
      </c>
      <c r="S644" s="38" t="s">
        <v>421</v>
      </c>
      <c r="T644" s="38" t="s">
        <v>53</v>
      </c>
      <c r="U644" s="38" t="s">
        <v>54</v>
      </c>
      <c r="V644" s="38" t="s">
        <v>61</v>
      </c>
      <c r="Y644" s="38">
        <v>66.69</v>
      </c>
      <c r="Z644" s="38">
        <v>1</v>
      </c>
      <c r="AF644" s="38">
        <v>66.69</v>
      </c>
      <c r="AK644" s="14" t="e">
        <f t="shared" si="2"/>
        <v>#DIV/0!</v>
      </c>
      <c r="AM644" s="9"/>
      <c r="AN644" s="9"/>
      <c r="AO644" s="28"/>
    </row>
    <row r="645" spans="1:41" ht="12.5" hidden="1">
      <c r="A645" s="28" t="s">
        <v>2602</v>
      </c>
      <c r="B645" s="37">
        <v>45681</v>
      </c>
      <c r="C645" s="29">
        <v>45695</v>
      </c>
      <c r="D645" s="38" t="s">
        <v>41</v>
      </c>
      <c r="E645" s="38" t="s">
        <v>2603</v>
      </c>
      <c r="G645" s="38" t="s">
        <v>43</v>
      </c>
      <c r="H645" s="38">
        <v>14.44</v>
      </c>
      <c r="I645" s="38" t="s">
        <v>44</v>
      </c>
      <c r="J645" s="38" t="s">
        <v>45</v>
      </c>
      <c r="K645" s="38" t="s">
        <v>2604</v>
      </c>
      <c r="L645" s="30" t="s">
        <v>47</v>
      </c>
      <c r="M645" s="38" t="s">
        <v>48</v>
      </c>
      <c r="N645" s="38" t="s">
        <v>48</v>
      </c>
      <c r="O645" s="31" t="s">
        <v>1331</v>
      </c>
      <c r="P645" s="28" t="s">
        <v>1332</v>
      </c>
      <c r="Q645" s="38" t="s">
        <v>1333</v>
      </c>
      <c r="R645" s="38">
        <v>1</v>
      </c>
      <c r="S645" s="38" t="s">
        <v>92</v>
      </c>
      <c r="T645" s="38" t="s">
        <v>53</v>
      </c>
      <c r="U645" s="38" t="s">
        <v>54</v>
      </c>
      <c r="V645" s="38" t="s">
        <v>55</v>
      </c>
      <c r="Y645" s="38">
        <v>103.92</v>
      </c>
      <c r="Z645" s="38">
        <v>1</v>
      </c>
      <c r="AF645" s="38">
        <v>103.92</v>
      </c>
      <c r="AI645" s="38">
        <v>1</v>
      </c>
      <c r="AJ645" s="38">
        <v>3</v>
      </c>
      <c r="AK645" s="14">
        <f t="shared" si="2"/>
        <v>0.33333333333333331</v>
      </c>
      <c r="AM645" s="9"/>
      <c r="AN645" s="9"/>
      <c r="AO645" s="28"/>
    </row>
    <row r="646" spans="1:41" ht="12.5" hidden="1">
      <c r="A646" s="28" t="s">
        <v>2605</v>
      </c>
      <c r="B646" s="39">
        <v>45660</v>
      </c>
      <c r="C646" s="29">
        <v>45696</v>
      </c>
      <c r="D646" s="38" t="s">
        <v>41</v>
      </c>
      <c r="E646" s="38" t="s">
        <v>2606</v>
      </c>
      <c r="G646" s="38" t="s">
        <v>43</v>
      </c>
      <c r="H646" s="38">
        <v>20.53</v>
      </c>
      <c r="I646" s="38" t="s">
        <v>44</v>
      </c>
      <c r="J646" s="38" t="s">
        <v>45</v>
      </c>
      <c r="K646" s="38" t="s">
        <v>2607</v>
      </c>
      <c r="L646" s="30" t="s">
        <v>47</v>
      </c>
      <c r="M646" s="38" t="s">
        <v>48</v>
      </c>
      <c r="N646" s="38" t="s">
        <v>48</v>
      </c>
      <c r="O646" s="31" t="s">
        <v>551</v>
      </c>
      <c r="P646" s="28" t="s">
        <v>552</v>
      </c>
      <c r="Q646" s="38" t="s">
        <v>553</v>
      </c>
      <c r="R646" s="38">
        <v>1</v>
      </c>
      <c r="S646" s="38" t="s">
        <v>52</v>
      </c>
      <c r="T646" s="38" t="s">
        <v>53</v>
      </c>
      <c r="U646" s="38" t="s">
        <v>54</v>
      </c>
      <c r="V646" s="38" t="s">
        <v>55</v>
      </c>
      <c r="Y646" s="38">
        <v>98.04</v>
      </c>
      <c r="Z646" s="38">
        <v>1</v>
      </c>
      <c r="AF646" s="38">
        <v>98.04</v>
      </c>
      <c r="AI646" s="42">
        <v>3</v>
      </c>
      <c r="AJ646" s="42">
        <v>2</v>
      </c>
      <c r="AK646" s="14">
        <f t="shared" si="2"/>
        <v>1.5</v>
      </c>
      <c r="AM646" s="9"/>
      <c r="AN646" s="9"/>
      <c r="AO646" s="28"/>
    </row>
    <row r="647" spans="1:41" ht="12.5" hidden="1">
      <c r="A647" s="28" t="s">
        <v>2608</v>
      </c>
      <c r="B647" s="37">
        <v>45681</v>
      </c>
      <c r="C647" s="29">
        <v>45691</v>
      </c>
      <c r="D647" s="38" t="s">
        <v>41</v>
      </c>
      <c r="E647" s="38" t="s">
        <v>2609</v>
      </c>
      <c r="G647" s="38" t="s">
        <v>43</v>
      </c>
      <c r="H647" s="38">
        <v>20.53</v>
      </c>
      <c r="I647" s="38" t="s">
        <v>44</v>
      </c>
      <c r="J647" s="38" t="s">
        <v>45</v>
      </c>
      <c r="K647" s="38" t="s">
        <v>2610</v>
      </c>
      <c r="L647" s="30" t="s">
        <v>47</v>
      </c>
      <c r="M647" s="38" t="s">
        <v>48</v>
      </c>
      <c r="N647" s="38" t="s">
        <v>48</v>
      </c>
      <c r="O647" s="31" t="s">
        <v>551</v>
      </c>
      <c r="P647" s="28" t="s">
        <v>552</v>
      </c>
      <c r="Q647" s="38" t="s">
        <v>553</v>
      </c>
      <c r="R647" s="38">
        <v>1</v>
      </c>
      <c r="S647" s="38" t="s">
        <v>92</v>
      </c>
      <c r="T647" s="38" t="s">
        <v>53</v>
      </c>
      <c r="U647" s="38" t="s">
        <v>54</v>
      </c>
      <c r="V647" s="38" t="s">
        <v>61</v>
      </c>
      <c r="Y647" s="38">
        <v>99.54</v>
      </c>
      <c r="Z647" s="38">
        <v>1</v>
      </c>
      <c r="AK647" s="14" t="e">
        <f t="shared" si="2"/>
        <v>#DIV/0!</v>
      </c>
      <c r="AM647" s="9"/>
      <c r="AN647" s="9"/>
      <c r="AO647" s="28"/>
    </row>
    <row r="648" spans="1:41" ht="12.5" hidden="1">
      <c r="A648" s="28" t="s">
        <v>2611</v>
      </c>
      <c r="B648" s="37">
        <v>45704</v>
      </c>
      <c r="C648" s="29">
        <v>45706</v>
      </c>
      <c r="D648" s="38" t="s">
        <v>41</v>
      </c>
      <c r="E648" s="38" t="s">
        <v>2612</v>
      </c>
      <c r="G648" s="38" t="s">
        <v>43</v>
      </c>
      <c r="H648" s="38">
        <v>20.53</v>
      </c>
      <c r="I648" s="38" t="s">
        <v>44</v>
      </c>
      <c r="J648" s="38" t="s">
        <v>45</v>
      </c>
      <c r="K648" s="38" t="s">
        <v>2613</v>
      </c>
      <c r="L648" s="30" t="s">
        <v>47</v>
      </c>
      <c r="M648" s="38" t="s">
        <v>48</v>
      </c>
      <c r="N648" s="38" t="s">
        <v>48</v>
      </c>
      <c r="O648" s="31" t="s">
        <v>551</v>
      </c>
      <c r="P648" s="28" t="s">
        <v>552</v>
      </c>
      <c r="Q648" s="38" t="s">
        <v>553</v>
      </c>
      <c r="R648" s="38">
        <v>1</v>
      </c>
      <c r="S648" s="38" t="s">
        <v>99</v>
      </c>
      <c r="T648" s="38" t="s">
        <v>53</v>
      </c>
      <c r="U648" s="38" t="s">
        <v>54</v>
      </c>
      <c r="V648" s="38" t="s">
        <v>55</v>
      </c>
      <c r="Y648" s="38">
        <v>100.7</v>
      </c>
      <c r="Z648" s="38">
        <v>1</v>
      </c>
      <c r="AF648" s="38">
        <v>100.7</v>
      </c>
      <c r="AK648" s="14" t="e">
        <f t="shared" si="2"/>
        <v>#DIV/0!</v>
      </c>
      <c r="AM648" s="9"/>
      <c r="AO648" s="28"/>
    </row>
    <row r="649" spans="1:41" ht="12.5" hidden="1">
      <c r="A649" s="28" t="s">
        <v>2614</v>
      </c>
      <c r="B649" s="37">
        <v>45706</v>
      </c>
      <c r="C649" s="29">
        <v>45713</v>
      </c>
      <c r="D649" s="38" t="s">
        <v>41</v>
      </c>
      <c r="E649" s="38" t="s">
        <v>2615</v>
      </c>
      <c r="G649" s="38" t="s">
        <v>43</v>
      </c>
      <c r="H649" s="38">
        <v>17.45</v>
      </c>
      <c r="I649" s="38" t="s">
        <v>44</v>
      </c>
      <c r="J649" s="38" t="s">
        <v>45</v>
      </c>
      <c r="K649" s="38" t="s">
        <v>2616</v>
      </c>
      <c r="L649" s="30" t="s">
        <v>58</v>
      </c>
      <c r="M649" s="38" t="s">
        <v>48</v>
      </c>
      <c r="N649" s="38" t="s">
        <v>48</v>
      </c>
      <c r="O649" s="31" t="s">
        <v>2617</v>
      </c>
      <c r="P649" s="28" t="s">
        <v>2618</v>
      </c>
      <c r="Q649" s="38" t="s">
        <v>2619</v>
      </c>
      <c r="R649" s="38">
        <v>1</v>
      </c>
      <c r="S649" s="38" t="s">
        <v>75</v>
      </c>
      <c r="T649" s="38" t="s">
        <v>53</v>
      </c>
      <c r="U649" s="38" t="s">
        <v>54</v>
      </c>
      <c r="V649" s="38" t="s">
        <v>55</v>
      </c>
      <c r="Y649" s="38">
        <v>100.24</v>
      </c>
      <c r="Z649" s="38">
        <v>1</v>
      </c>
      <c r="AF649" s="38">
        <v>82.79</v>
      </c>
      <c r="AI649" s="38">
        <v>1</v>
      </c>
      <c r="AJ649" s="38">
        <v>1</v>
      </c>
      <c r="AK649" s="14">
        <f t="shared" si="2"/>
        <v>1</v>
      </c>
      <c r="AM649" s="9"/>
      <c r="AO649" s="28"/>
    </row>
    <row r="650" spans="1:41" ht="12.5" hidden="1">
      <c r="A650" s="28" t="s">
        <v>2620</v>
      </c>
      <c r="B650" s="37">
        <v>45710</v>
      </c>
      <c r="C650" s="29">
        <v>45716</v>
      </c>
      <c r="D650" s="38" t="s">
        <v>41</v>
      </c>
      <c r="E650" s="38" t="s">
        <v>2621</v>
      </c>
      <c r="G650" s="38" t="s">
        <v>43</v>
      </c>
      <c r="H650" s="38">
        <v>15.34</v>
      </c>
      <c r="I650" s="38" t="s">
        <v>44</v>
      </c>
      <c r="J650" s="38" t="s">
        <v>45</v>
      </c>
      <c r="K650" s="38" t="s">
        <v>2622</v>
      </c>
      <c r="L650" s="30" t="s">
        <v>58</v>
      </c>
      <c r="M650" s="38" t="s">
        <v>48</v>
      </c>
      <c r="N650" s="38" t="s">
        <v>48</v>
      </c>
      <c r="O650" s="31" t="s">
        <v>557</v>
      </c>
      <c r="P650" s="28" t="s">
        <v>558</v>
      </c>
      <c r="Q650" s="38" t="s">
        <v>559</v>
      </c>
      <c r="R650" s="38">
        <v>1</v>
      </c>
      <c r="S650" s="38" t="s">
        <v>75</v>
      </c>
      <c r="T650" s="38" t="s">
        <v>53</v>
      </c>
      <c r="U650" s="38" t="s">
        <v>54</v>
      </c>
      <c r="V650" s="38" t="s">
        <v>55</v>
      </c>
      <c r="Y650" s="38">
        <v>99.41</v>
      </c>
      <c r="Z650" s="38">
        <v>1</v>
      </c>
      <c r="AF650" s="38">
        <v>84.07</v>
      </c>
      <c r="AI650" s="38">
        <v>1</v>
      </c>
      <c r="AJ650" s="38">
        <v>1</v>
      </c>
      <c r="AK650" s="14">
        <f t="shared" si="2"/>
        <v>1</v>
      </c>
      <c r="AO650" s="28"/>
    </row>
    <row r="651" spans="1:41" ht="12.5" hidden="1">
      <c r="A651" s="28" t="s">
        <v>2623</v>
      </c>
      <c r="B651" s="39">
        <v>45690</v>
      </c>
      <c r="C651" s="29">
        <v>45699</v>
      </c>
      <c r="D651" s="38" t="s">
        <v>41</v>
      </c>
      <c r="E651" s="38" t="s">
        <v>2624</v>
      </c>
      <c r="G651" s="38" t="s">
        <v>43</v>
      </c>
      <c r="H651" s="38">
        <v>11.74</v>
      </c>
      <c r="I651" s="38" t="s">
        <v>44</v>
      </c>
      <c r="J651" s="38" t="s">
        <v>45</v>
      </c>
      <c r="K651" s="38" t="s">
        <v>2625</v>
      </c>
      <c r="L651" s="30" t="s">
        <v>47</v>
      </c>
      <c r="M651" s="38" t="s">
        <v>48</v>
      </c>
      <c r="N651" s="38" t="s">
        <v>48</v>
      </c>
      <c r="O651" s="31" t="s">
        <v>566</v>
      </c>
      <c r="P651" s="28" t="s">
        <v>567</v>
      </c>
      <c r="Q651" s="38" t="s">
        <v>568</v>
      </c>
      <c r="R651" s="38">
        <v>1</v>
      </c>
      <c r="S651" s="38" t="s">
        <v>99</v>
      </c>
      <c r="T651" s="38" t="s">
        <v>53</v>
      </c>
      <c r="U651" s="38" t="s">
        <v>54</v>
      </c>
      <c r="V651" s="38" t="s">
        <v>61</v>
      </c>
      <c r="Y651" s="38">
        <v>130.97999999999999</v>
      </c>
      <c r="Z651" s="38">
        <v>1</v>
      </c>
      <c r="AI651" s="38">
        <v>1</v>
      </c>
      <c r="AJ651" s="38">
        <v>1</v>
      </c>
      <c r="AK651" s="14">
        <f t="shared" si="2"/>
        <v>1</v>
      </c>
      <c r="AM651" s="9"/>
      <c r="AN651" s="9"/>
      <c r="AO651" s="28"/>
    </row>
    <row r="652" spans="1:41" ht="12.5" hidden="1">
      <c r="A652" s="28" t="s">
        <v>2626</v>
      </c>
      <c r="B652" s="37">
        <v>45707</v>
      </c>
      <c r="C652" s="29">
        <v>45716</v>
      </c>
      <c r="D652" s="38" t="s">
        <v>41</v>
      </c>
      <c r="E652" s="38" t="s">
        <v>2627</v>
      </c>
      <c r="G652" s="38" t="s">
        <v>43</v>
      </c>
      <c r="H652" s="38">
        <v>10.66</v>
      </c>
      <c r="I652" s="38" t="s">
        <v>44</v>
      </c>
      <c r="J652" s="38" t="s">
        <v>45</v>
      </c>
      <c r="K652" s="38" t="s">
        <v>2628</v>
      </c>
      <c r="L652" s="30" t="s">
        <v>47</v>
      </c>
      <c r="M652" s="38" t="s">
        <v>48</v>
      </c>
      <c r="N652" s="38" t="s">
        <v>48</v>
      </c>
      <c r="O652" s="31" t="s">
        <v>581</v>
      </c>
      <c r="P652" s="28" t="s">
        <v>582</v>
      </c>
      <c r="Q652" s="38" t="s">
        <v>583</v>
      </c>
      <c r="R652" s="38">
        <v>1</v>
      </c>
      <c r="S652" s="38" t="s">
        <v>99</v>
      </c>
      <c r="T652" s="38" t="s">
        <v>53</v>
      </c>
      <c r="U652" s="38" t="s">
        <v>54</v>
      </c>
      <c r="V652" s="38" t="s">
        <v>55</v>
      </c>
      <c r="Y652" s="38">
        <v>86.9</v>
      </c>
      <c r="Z652" s="38">
        <v>1</v>
      </c>
      <c r="AF652" s="38">
        <v>86.9</v>
      </c>
      <c r="AI652" s="38">
        <v>2</v>
      </c>
      <c r="AJ652" s="38">
        <v>2</v>
      </c>
      <c r="AK652" s="14">
        <f t="shared" si="2"/>
        <v>1</v>
      </c>
      <c r="AO652" s="28"/>
    </row>
    <row r="653" spans="1:41" ht="12.5" hidden="1">
      <c r="A653" s="28" t="s">
        <v>2629</v>
      </c>
      <c r="B653" s="39">
        <v>45694</v>
      </c>
      <c r="C653" s="29">
        <v>45705</v>
      </c>
      <c r="D653" s="38" t="s">
        <v>41</v>
      </c>
      <c r="E653" s="38" t="s">
        <v>2630</v>
      </c>
      <c r="G653" s="38" t="s">
        <v>43</v>
      </c>
      <c r="H653" s="38">
        <v>10.66</v>
      </c>
      <c r="I653" s="38" t="s">
        <v>44</v>
      </c>
      <c r="J653" s="38" t="s">
        <v>45</v>
      </c>
      <c r="K653" s="38" t="s">
        <v>2631</v>
      </c>
      <c r="L653" s="30" t="s">
        <v>47</v>
      </c>
      <c r="M653" s="38" t="s">
        <v>48</v>
      </c>
      <c r="N653" s="38" t="s">
        <v>48</v>
      </c>
      <c r="O653" s="31" t="s">
        <v>581</v>
      </c>
      <c r="P653" s="28" t="s">
        <v>582</v>
      </c>
      <c r="Q653" s="38" t="s">
        <v>583</v>
      </c>
      <c r="R653" s="38">
        <v>1</v>
      </c>
      <c r="S653" s="38" t="s">
        <v>52</v>
      </c>
      <c r="T653" s="38" t="s">
        <v>53</v>
      </c>
      <c r="U653" s="38" t="s">
        <v>54</v>
      </c>
      <c r="V653" s="38" t="s">
        <v>61</v>
      </c>
      <c r="Y653" s="38">
        <v>92.12</v>
      </c>
      <c r="Z653" s="38">
        <v>1</v>
      </c>
      <c r="AF653" s="38">
        <v>76.27</v>
      </c>
      <c r="AK653" s="14" t="e">
        <f t="shared" si="2"/>
        <v>#DIV/0!</v>
      </c>
      <c r="AO653" s="28"/>
    </row>
    <row r="654" spans="1:41" ht="12.5" hidden="1">
      <c r="A654" s="28" t="s">
        <v>2632</v>
      </c>
      <c r="B654" s="37">
        <v>45712</v>
      </c>
      <c r="C654" s="29">
        <v>45715</v>
      </c>
      <c r="D654" s="38" t="s">
        <v>41</v>
      </c>
      <c r="E654" s="38" t="s">
        <v>2633</v>
      </c>
      <c r="G654" s="38" t="s">
        <v>43</v>
      </c>
      <c r="H654" s="38">
        <v>9.6199999999999992</v>
      </c>
      <c r="I654" s="38" t="s">
        <v>44</v>
      </c>
      <c r="J654" s="38" t="s">
        <v>45</v>
      </c>
      <c r="K654" s="38" t="s">
        <v>2634</v>
      </c>
      <c r="L654" s="30" t="s">
        <v>47</v>
      </c>
      <c r="M654" s="38" t="s">
        <v>48</v>
      </c>
      <c r="N654" s="38" t="s">
        <v>48</v>
      </c>
      <c r="O654" s="31" t="s">
        <v>2635</v>
      </c>
      <c r="P654" s="28" t="s">
        <v>2636</v>
      </c>
      <c r="Q654" s="38" t="s">
        <v>2637</v>
      </c>
      <c r="R654" s="38">
        <v>1</v>
      </c>
      <c r="S654" s="38" t="s">
        <v>52</v>
      </c>
      <c r="T654" s="38" t="s">
        <v>53</v>
      </c>
      <c r="U654" s="38" t="s">
        <v>54</v>
      </c>
      <c r="V654" s="38" t="s">
        <v>61</v>
      </c>
      <c r="Y654" s="38">
        <v>147.27000000000001</v>
      </c>
      <c r="Z654" s="38">
        <v>1</v>
      </c>
      <c r="AI654" s="38">
        <v>1</v>
      </c>
      <c r="AJ654" s="38">
        <v>1</v>
      </c>
      <c r="AK654" s="14">
        <f t="shared" si="2"/>
        <v>1</v>
      </c>
      <c r="AO654" s="28"/>
    </row>
    <row r="655" spans="1:41" ht="12.5" hidden="1">
      <c r="A655" s="28" t="s">
        <v>2638</v>
      </c>
      <c r="B655" s="37">
        <v>45710</v>
      </c>
      <c r="C655" s="29">
        <v>45715</v>
      </c>
      <c r="D655" s="38" t="s">
        <v>41</v>
      </c>
      <c r="E655" s="38" t="s">
        <v>2639</v>
      </c>
      <c r="G655" s="38" t="s">
        <v>43</v>
      </c>
      <c r="H655" s="38">
        <v>7.7</v>
      </c>
      <c r="I655" s="38" t="s">
        <v>44</v>
      </c>
      <c r="J655" s="38" t="s">
        <v>45</v>
      </c>
      <c r="K655" s="38" t="s">
        <v>2640</v>
      </c>
      <c r="L655" s="30" t="s">
        <v>47</v>
      </c>
      <c r="M655" s="38" t="s">
        <v>48</v>
      </c>
      <c r="N655" s="38" t="s">
        <v>48</v>
      </c>
      <c r="O655" s="31" t="s">
        <v>2641</v>
      </c>
      <c r="P655" s="28" t="s">
        <v>2642</v>
      </c>
      <c r="Q655" s="38" t="s">
        <v>2643</v>
      </c>
      <c r="R655" s="38">
        <v>1</v>
      </c>
      <c r="S655" s="38" t="s">
        <v>99</v>
      </c>
      <c r="T655" s="38" t="s">
        <v>53</v>
      </c>
      <c r="U655" s="38" t="s">
        <v>54</v>
      </c>
      <c r="V655" s="38" t="s">
        <v>61</v>
      </c>
      <c r="Y655" s="38">
        <v>116.16</v>
      </c>
      <c r="Z655" s="38">
        <v>1</v>
      </c>
      <c r="AI655" s="38">
        <v>1</v>
      </c>
      <c r="AJ655" s="38">
        <v>2</v>
      </c>
      <c r="AK655" s="14">
        <f t="shared" si="2"/>
        <v>0.5</v>
      </c>
      <c r="AO655" s="28"/>
    </row>
    <row r="656" spans="1:41" ht="12.5" hidden="1">
      <c r="A656" s="28" t="s">
        <v>2644</v>
      </c>
      <c r="B656" s="37">
        <v>45711</v>
      </c>
      <c r="C656" s="29">
        <v>45714</v>
      </c>
      <c r="D656" s="38" t="s">
        <v>41</v>
      </c>
      <c r="E656" s="38" t="s">
        <v>2645</v>
      </c>
      <c r="G656" s="38" t="s">
        <v>43</v>
      </c>
      <c r="H656" s="38">
        <v>7.7</v>
      </c>
      <c r="I656" s="38" t="s">
        <v>44</v>
      </c>
      <c r="J656" s="38" t="s">
        <v>45</v>
      </c>
      <c r="K656" s="38" t="s">
        <v>2646</v>
      </c>
      <c r="L656" s="30" t="s">
        <v>58</v>
      </c>
      <c r="M656" s="38" t="s">
        <v>48</v>
      </c>
      <c r="N656" s="38" t="s">
        <v>48</v>
      </c>
      <c r="O656" s="31" t="s">
        <v>2647</v>
      </c>
      <c r="P656" s="28" t="s">
        <v>2648</v>
      </c>
      <c r="Q656" s="38" t="s">
        <v>2649</v>
      </c>
      <c r="R656" s="38">
        <v>1</v>
      </c>
      <c r="S656" s="38" t="s">
        <v>68</v>
      </c>
      <c r="T656" s="38" t="s">
        <v>53</v>
      </c>
      <c r="U656" s="38" t="s">
        <v>54</v>
      </c>
      <c r="V656" s="38" t="s">
        <v>61</v>
      </c>
      <c r="Y656" s="38">
        <v>170.43</v>
      </c>
      <c r="Z656" s="38">
        <v>1</v>
      </c>
      <c r="AI656" s="38">
        <v>1</v>
      </c>
      <c r="AJ656" s="38">
        <v>2</v>
      </c>
      <c r="AK656" s="14">
        <f t="shared" si="2"/>
        <v>0.5</v>
      </c>
      <c r="AO656" s="28"/>
    </row>
    <row r="657" spans="1:41" ht="12.5" hidden="1">
      <c r="A657" s="28" t="s">
        <v>2650</v>
      </c>
      <c r="B657" s="39">
        <v>45697</v>
      </c>
      <c r="C657" s="29">
        <v>45700</v>
      </c>
      <c r="D657" s="38" t="s">
        <v>41</v>
      </c>
      <c r="E657" s="38" t="s">
        <v>2651</v>
      </c>
      <c r="G657" s="38" t="s">
        <v>137</v>
      </c>
      <c r="H657" s="38">
        <v>0</v>
      </c>
      <c r="L657" s="30" t="s">
        <v>47</v>
      </c>
      <c r="M657" s="38" t="s">
        <v>48</v>
      </c>
      <c r="N657" s="38" t="s">
        <v>48</v>
      </c>
      <c r="O657" s="31" t="s">
        <v>2652</v>
      </c>
      <c r="P657" s="28" t="s">
        <v>2653</v>
      </c>
      <c r="Q657" s="38" t="s">
        <v>2654</v>
      </c>
      <c r="R657" s="38">
        <v>1</v>
      </c>
      <c r="S657" s="38" t="s">
        <v>92</v>
      </c>
      <c r="T657" s="38" t="s">
        <v>53</v>
      </c>
      <c r="U657" s="38" t="s">
        <v>54</v>
      </c>
      <c r="V657" s="38" t="s">
        <v>61</v>
      </c>
      <c r="Y657" s="38">
        <v>222.49</v>
      </c>
      <c r="Z657" s="38">
        <v>1</v>
      </c>
      <c r="AI657" s="38">
        <v>1</v>
      </c>
      <c r="AJ657" s="38">
        <v>2</v>
      </c>
      <c r="AK657" s="14">
        <f t="shared" si="2"/>
        <v>0.5</v>
      </c>
      <c r="AM657" s="9"/>
      <c r="AN657" s="9"/>
      <c r="AO657" s="28"/>
    </row>
    <row r="658" spans="1:41" ht="12.5" hidden="1">
      <c r="A658" s="28" t="s">
        <v>2655</v>
      </c>
      <c r="B658" s="39">
        <v>45697</v>
      </c>
      <c r="C658" s="29">
        <v>45700</v>
      </c>
      <c r="D658" s="38" t="s">
        <v>41</v>
      </c>
      <c r="E658" s="38" t="s">
        <v>2656</v>
      </c>
      <c r="G658" s="38" t="s">
        <v>43</v>
      </c>
      <c r="H658" s="38">
        <v>11.74</v>
      </c>
      <c r="I658" s="38" t="s">
        <v>44</v>
      </c>
      <c r="J658" s="38" t="s">
        <v>45</v>
      </c>
      <c r="K658" s="38" t="s">
        <v>2657</v>
      </c>
      <c r="L658" s="30" t="s">
        <v>47</v>
      </c>
      <c r="M658" s="38" t="s">
        <v>48</v>
      </c>
      <c r="N658" s="38" t="s">
        <v>48</v>
      </c>
      <c r="O658" s="31" t="s">
        <v>1410</v>
      </c>
      <c r="P658" s="28" t="s">
        <v>1411</v>
      </c>
      <c r="Q658" s="38" t="s">
        <v>1412</v>
      </c>
      <c r="R658" s="38">
        <v>1</v>
      </c>
      <c r="S658" s="38" t="s">
        <v>421</v>
      </c>
      <c r="T658" s="38" t="s">
        <v>53</v>
      </c>
      <c r="U658" s="38" t="s">
        <v>54</v>
      </c>
      <c r="V658" s="38" t="s">
        <v>560</v>
      </c>
      <c r="Y658" s="38">
        <v>68.400000000000006</v>
      </c>
      <c r="Z658" s="38">
        <v>1</v>
      </c>
      <c r="AI658" s="38">
        <v>1</v>
      </c>
      <c r="AJ658" s="38">
        <v>2</v>
      </c>
      <c r="AK658" s="14">
        <f t="shared" si="2"/>
        <v>0.5</v>
      </c>
      <c r="AM658" s="9" t="s">
        <v>1168</v>
      </c>
      <c r="AN658" s="9"/>
      <c r="AO658" s="28"/>
    </row>
    <row r="659" spans="1:41" ht="12.5" hidden="1">
      <c r="A659" s="28" t="s">
        <v>2658</v>
      </c>
      <c r="B659" s="37">
        <v>45657</v>
      </c>
      <c r="C659" s="29">
        <v>45689</v>
      </c>
      <c r="D659" s="38" t="s">
        <v>41</v>
      </c>
      <c r="E659" s="38" t="s">
        <v>2659</v>
      </c>
      <c r="G659" s="38" t="s">
        <v>43</v>
      </c>
      <c r="H659" s="38">
        <v>14.44</v>
      </c>
      <c r="I659" s="38" t="s">
        <v>44</v>
      </c>
      <c r="J659" s="38" t="s">
        <v>45</v>
      </c>
      <c r="K659" s="38" t="s">
        <v>2660</v>
      </c>
      <c r="L659" s="30" t="s">
        <v>47</v>
      </c>
      <c r="M659" s="38" t="s">
        <v>48</v>
      </c>
      <c r="N659" s="38" t="s">
        <v>48</v>
      </c>
      <c r="O659" s="31" t="s">
        <v>668</v>
      </c>
      <c r="P659" s="28" t="s">
        <v>669</v>
      </c>
      <c r="Q659" s="38" t="s">
        <v>670</v>
      </c>
      <c r="R659" s="38">
        <v>1</v>
      </c>
      <c r="S659" s="38" t="s">
        <v>856</v>
      </c>
      <c r="T659" s="38" t="s">
        <v>53</v>
      </c>
      <c r="U659" s="38" t="s">
        <v>54</v>
      </c>
      <c r="V659" s="38" t="s">
        <v>560</v>
      </c>
      <c r="Y659" s="38">
        <v>90.9</v>
      </c>
      <c r="Z659" s="38">
        <v>1</v>
      </c>
      <c r="AI659" s="38">
        <v>2</v>
      </c>
      <c r="AJ659" s="38">
        <v>18</v>
      </c>
      <c r="AK659" s="14">
        <f t="shared" si="2"/>
        <v>0.1111111111111111</v>
      </c>
      <c r="AM659" s="9" t="s">
        <v>1168</v>
      </c>
      <c r="AN659" s="9"/>
      <c r="AO659" s="28"/>
    </row>
    <row r="660" spans="1:41" ht="12.5" hidden="1">
      <c r="A660" s="28" t="s">
        <v>2661</v>
      </c>
      <c r="B660" s="37">
        <v>45708</v>
      </c>
      <c r="C660" s="29">
        <v>45714</v>
      </c>
      <c r="D660" s="38" t="s">
        <v>41</v>
      </c>
      <c r="E660" s="38" t="s">
        <v>2662</v>
      </c>
      <c r="G660" s="38" t="s">
        <v>43</v>
      </c>
      <c r="H660" s="38">
        <v>14.44</v>
      </c>
      <c r="I660" s="38" t="s">
        <v>44</v>
      </c>
      <c r="J660" s="38" t="s">
        <v>45</v>
      </c>
      <c r="K660" s="38" t="s">
        <v>2663</v>
      </c>
      <c r="L660" s="30" t="s">
        <v>47</v>
      </c>
      <c r="M660" s="38" t="s">
        <v>48</v>
      </c>
      <c r="N660" s="38" t="s">
        <v>48</v>
      </c>
      <c r="O660" s="31" t="s">
        <v>668</v>
      </c>
      <c r="P660" s="28" t="s">
        <v>669</v>
      </c>
      <c r="Q660" s="38" t="s">
        <v>2664</v>
      </c>
      <c r="R660" s="38">
        <v>1</v>
      </c>
      <c r="S660" s="38" t="s">
        <v>99</v>
      </c>
      <c r="T660" s="38" t="s">
        <v>53</v>
      </c>
      <c r="U660" s="38" t="s">
        <v>54</v>
      </c>
      <c r="V660" s="38" t="s">
        <v>55</v>
      </c>
      <c r="Y660" s="38">
        <v>92.33</v>
      </c>
      <c r="Z660" s="38">
        <v>1</v>
      </c>
      <c r="AF660" s="38">
        <v>92.33</v>
      </c>
      <c r="AK660" s="14" t="e">
        <f t="shared" si="2"/>
        <v>#DIV/0!</v>
      </c>
      <c r="AO660" s="28"/>
    </row>
    <row r="661" spans="1:41" ht="12.5" hidden="1">
      <c r="A661" s="28" t="s">
        <v>2665</v>
      </c>
      <c r="B661" s="37">
        <v>45684</v>
      </c>
      <c r="C661" s="29">
        <v>45712</v>
      </c>
      <c r="D661" s="38" t="s">
        <v>41</v>
      </c>
      <c r="E661" s="38" t="s">
        <v>2666</v>
      </c>
      <c r="G661" s="38" t="s">
        <v>43</v>
      </c>
      <c r="H661" s="38">
        <v>12.2</v>
      </c>
      <c r="I661" s="38" t="s">
        <v>44</v>
      </c>
      <c r="J661" s="38" t="s">
        <v>45</v>
      </c>
      <c r="K661" s="38" t="s">
        <v>2667</v>
      </c>
      <c r="L661" s="30" t="s">
        <v>47</v>
      </c>
      <c r="M661" s="38" t="s">
        <v>48</v>
      </c>
      <c r="N661" s="38" t="s">
        <v>48</v>
      </c>
      <c r="O661" s="31" t="s">
        <v>749</v>
      </c>
      <c r="P661" s="28" t="s">
        <v>750</v>
      </c>
      <c r="Q661" s="38" t="s">
        <v>751</v>
      </c>
      <c r="R661" s="38">
        <v>1</v>
      </c>
      <c r="S661" s="38" t="s">
        <v>99</v>
      </c>
      <c r="T661" s="38" t="s">
        <v>53</v>
      </c>
      <c r="U661" s="38" t="s">
        <v>54</v>
      </c>
      <c r="V661" s="38" t="s">
        <v>55</v>
      </c>
      <c r="Y661" s="38">
        <v>107.12</v>
      </c>
      <c r="Z661" s="38">
        <v>1</v>
      </c>
      <c r="AF661" s="38">
        <v>107.12</v>
      </c>
      <c r="AI661" s="38">
        <v>1</v>
      </c>
      <c r="AJ661" s="38">
        <v>0</v>
      </c>
      <c r="AK661" s="14" t="e">
        <f t="shared" si="2"/>
        <v>#DIV/0!</v>
      </c>
      <c r="AO661" s="28"/>
    </row>
    <row r="662" spans="1:41" ht="12.5" hidden="1">
      <c r="A662" s="28" t="s">
        <v>2668</v>
      </c>
      <c r="B662" s="39">
        <v>45691</v>
      </c>
      <c r="C662" s="29">
        <v>45694</v>
      </c>
      <c r="D662" s="38" t="s">
        <v>41</v>
      </c>
      <c r="E662" s="38" t="s">
        <v>2669</v>
      </c>
      <c r="G662" s="38" t="s">
        <v>43</v>
      </c>
      <c r="H662" s="38">
        <v>13.56</v>
      </c>
      <c r="I662" s="38" t="s">
        <v>44</v>
      </c>
      <c r="J662" s="38" t="s">
        <v>45</v>
      </c>
      <c r="K662" s="38" t="s">
        <v>2670</v>
      </c>
      <c r="L662" s="30" t="s">
        <v>58</v>
      </c>
      <c r="M662" s="38" t="s">
        <v>48</v>
      </c>
      <c r="N662" s="38" t="s">
        <v>48</v>
      </c>
      <c r="O662" s="31" t="s">
        <v>2671</v>
      </c>
      <c r="P662" s="28" t="s">
        <v>2672</v>
      </c>
      <c r="Q662" s="38" t="s">
        <v>2673</v>
      </c>
      <c r="R662" s="38">
        <v>1</v>
      </c>
      <c r="S662" s="38" t="s">
        <v>68</v>
      </c>
      <c r="T662" s="38" t="s">
        <v>53</v>
      </c>
      <c r="U662" s="38" t="s">
        <v>54</v>
      </c>
      <c r="V662" s="38" t="s">
        <v>61</v>
      </c>
      <c r="Y662" s="38">
        <v>104.66</v>
      </c>
      <c r="Z662" s="38">
        <v>1</v>
      </c>
      <c r="AI662" s="38">
        <v>1</v>
      </c>
      <c r="AJ662" s="38">
        <v>1</v>
      </c>
      <c r="AK662" s="14">
        <f t="shared" si="2"/>
        <v>1</v>
      </c>
      <c r="AM662" s="9"/>
      <c r="AN662" s="9"/>
      <c r="AO662" s="28"/>
    </row>
    <row r="663" spans="1:41" ht="12.5" hidden="1">
      <c r="A663" s="28" t="s">
        <v>2674</v>
      </c>
      <c r="B663" s="39">
        <v>45692</v>
      </c>
      <c r="C663" s="29">
        <v>45696</v>
      </c>
      <c r="D663" s="38" t="s">
        <v>41</v>
      </c>
      <c r="E663" s="38" t="s">
        <v>2675</v>
      </c>
      <c r="G663" s="38" t="s">
        <v>43</v>
      </c>
      <c r="H663" s="38">
        <v>16.440000000000001</v>
      </c>
      <c r="I663" s="38" t="s">
        <v>44</v>
      </c>
      <c r="J663" s="38" t="s">
        <v>45</v>
      </c>
      <c r="K663" s="38" t="s">
        <v>2676</v>
      </c>
      <c r="L663" s="30" t="s">
        <v>47</v>
      </c>
      <c r="M663" s="38" t="s">
        <v>48</v>
      </c>
      <c r="N663" s="38" t="s">
        <v>48</v>
      </c>
      <c r="O663" s="31" t="s">
        <v>1566</v>
      </c>
      <c r="P663" s="28" t="s">
        <v>1567</v>
      </c>
      <c r="Q663" s="38" t="s">
        <v>1568</v>
      </c>
      <c r="R663" s="38">
        <v>1</v>
      </c>
      <c r="S663" s="38" t="s">
        <v>156</v>
      </c>
      <c r="T663" s="38" t="s">
        <v>53</v>
      </c>
      <c r="U663" s="38" t="s">
        <v>54</v>
      </c>
      <c r="V663" s="38" t="s">
        <v>55</v>
      </c>
      <c r="Y663" s="38">
        <v>92.98</v>
      </c>
      <c r="Z663" s="38">
        <v>1</v>
      </c>
      <c r="AF663" s="38">
        <v>92.98</v>
      </c>
      <c r="AI663" s="38">
        <v>1</v>
      </c>
      <c r="AJ663" s="38">
        <v>1</v>
      </c>
      <c r="AK663" s="14">
        <f t="shared" si="2"/>
        <v>1</v>
      </c>
      <c r="AM663" s="9"/>
      <c r="AN663" s="9"/>
      <c r="AO663" s="28"/>
    </row>
    <row r="664" spans="1:41" ht="12.5" hidden="1">
      <c r="A664" s="28" t="s">
        <v>2677</v>
      </c>
      <c r="B664" s="37">
        <v>45674</v>
      </c>
      <c r="C664" s="29">
        <v>45704</v>
      </c>
      <c r="D664" s="38" t="s">
        <v>41</v>
      </c>
      <c r="E664" s="38" t="s">
        <v>2678</v>
      </c>
      <c r="G664" s="38" t="s">
        <v>43</v>
      </c>
      <c r="H664" s="38">
        <v>20.11</v>
      </c>
      <c r="I664" s="38" t="s">
        <v>44</v>
      </c>
      <c r="J664" s="38" t="s">
        <v>45</v>
      </c>
      <c r="K664" s="38" t="s">
        <v>2679</v>
      </c>
      <c r="L664" s="30" t="s">
        <v>58</v>
      </c>
      <c r="M664" s="38" t="s">
        <v>48</v>
      </c>
      <c r="N664" s="38" t="s">
        <v>48</v>
      </c>
      <c r="O664" s="31" t="s">
        <v>1572</v>
      </c>
      <c r="P664" s="28" t="s">
        <v>1573</v>
      </c>
      <c r="Q664" s="38" t="s">
        <v>1574</v>
      </c>
      <c r="R664" s="38">
        <v>1</v>
      </c>
      <c r="S664" s="38" t="s">
        <v>68</v>
      </c>
      <c r="T664" s="38" t="s">
        <v>53</v>
      </c>
      <c r="U664" s="38" t="s">
        <v>54</v>
      </c>
      <c r="V664" s="38" t="s">
        <v>61</v>
      </c>
      <c r="Y664" s="38">
        <v>120.28</v>
      </c>
      <c r="Z664" s="38">
        <v>1</v>
      </c>
      <c r="AI664" s="38">
        <v>1</v>
      </c>
      <c r="AJ664" s="38">
        <v>0</v>
      </c>
      <c r="AK664" s="14" t="e">
        <f t="shared" si="2"/>
        <v>#DIV/0!</v>
      </c>
      <c r="AO664" s="28"/>
    </row>
    <row r="665" spans="1:41" ht="12.5" hidden="1">
      <c r="A665" s="28" t="s">
        <v>2680</v>
      </c>
      <c r="B665" s="37">
        <v>45688</v>
      </c>
      <c r="C665" s="29">
        <v>45693</v>
      </c>
      <c r="D665" s="38" t="s">
        <v>41</v>
      </c>
      <c r="E665" s="38" t="s">
        <v>2681</v>
      </c>
      <c r="G665" s="38" t="s">
        <v>43</v>
      </c>
      <c r="H665" s="38">
        <v>12.64</v>
      </c>
      <c r="I665" s="38" t="s">
        <v>44</v>
      </c>
      <c r="J665" s="38" t="s">
        <v>45</v>
      </c>
      <c r="K665" s="38" t="s">
        <v>2682</v>
      </c>
      <c r="L665" s="30" t="s">
        <v>47</v>
      </c>
      <c r="M665" s="38" t="s">
        <v>48</v>
      </c>
      <c r="N665" s="38" t="s">
        <v>48</v>
      </c>
      <c r="O665" s="31" t="s">
        <v>2683</v>
      </c>
      <c r="P665" s="28" t="s">
        <v>2684</v>
      </c>
      <c r="Q665" s="38" t="s">
        <v>2685</v>
      </c>
      <c r="R665" s="38">
        <v>1</v>
      </c>
      <c r="S665" s="38" t="s">
        <v>421</v>
      </c>
      <c r="T665" s="38" t="s">
        <v>53</v>
      </c>
      <c r="U665" s="38" t="s">
        <v>54</v>
      </c>
      <c r="V665" s="38" t="s">
        <v>55</v>
      </c>
      <c r="Y665" s="38">
        <v>79.53</v>
      </c>
      <c r="Z665" s="38">
        <v>1</v>
      </c>
      <c r="AF665" s="38">
        <v>79.53</v>
      </c>
      <c r="AI665" s="38">
        <v>1</v>
      </c>
      <c r="AJ665" s="38">
        <v>1</v>
      </c>
      <c r="AK665" s="14">
        <f t="shared" si="2"/>
        <v>1</v>
      </c>
      <c r="AM665" s="9"/>
      <c r="AN665" s="9"/>
      <c r="AO665" s="28"/>
    </row>
    <row r="666" spans="1:41" ht="12.5" hidden="1">
      <c r="A666" s="28" t="s">
        <v>2686</v>
      </c>
      <c r="B666" s="37">
        <v>45704</v>
      </c>
      <c r="C666" s="29">
        <v>45710</v>
      </c>
      <c r="D666" s="38" t="s">
        <v>41</v>
      </c>
      <c r="E666" s="38" t="s">
        <v>2687</v>
      </c>
      <c r="G666" s="38" t="s">
        <v>43</v>
      </c>
      <c r="H666" s="38">
        <v>10.38</v>
      </c>
      <c r="I666" s="38" t="s">
        <v>44</v>
      </c>
      <c r="J666" s="38" t="s">
        <v>45</v>
      </c>
      <c r="K666" s="38" t="s">
        <v>2688</v>
      </c>
      <c r="L666" s="30" t="s">
        <v>47</v>
      </c>
      <c r="M666" s="38" t="s">
        <v>48</v>
      </c>
      <c r="N666" s="38" t="s">
        <v>48</v>
      </c>
      <c r="O666" s="31" t="s">
        <v>1659</v>
      </c>
      <c r="P666" s="28" t="s">
        <v>1660</v>
      </c>
      <c r="Q666" s="38" t="s">
        <v>1661</v>
      </c>
      <c r="R666" s="38">
        <v>1</v>
      </c>
      <c r="S666" s="38" t="s">
        <v>856</v>
      </c>
      <c r="T666" s="38" t="s">
        <v>53</v>
      </c>
      <c r="U666" s="38" t="s">
        <v>54</v>
      </c>
      <c r="V666" s="38" t="s">
        <v>560</v>
      </c>
      <c r="Y666" s="38">
        <v>70.25</v>
      </c>
      <c r="Z666" s="38">
        <v>1</v>
      </c>
      <c r="AI666" s="38">
        <v>3</v>
      </c>
      <c r="AJ666" s="38">
        <v>14</v>
      </c>
      <c r="AK666" s="14">
        <f t="shared" si="2"/>
        <v>0.21428571428571427</v>
      </c>
      <c r="AO666" s="28"/>
    </row>
    <row r="667" spans="1:41" ht="12.5" hidden="1">
      <c r="A667" s="28" t="s">
        <v>2689</v>
      </c>
      <c r="B667" s="37">
        <v>45703</v>
      </c>
      <c r="C667" s="29">
        <v>45707</v>
      </c>
      <c r="D667" s="38" t="s">
        <v>41</v>
      </c>
      <c r="E667" s="38" t="s">
        <v>2690</v>
      </c>
      <c r="G667" s="38" t="s">
        <v>43</v>
      </c>
      <c r="H667" s="38">
        <v>10.38</v>
      </c>
      <c r="I667" s="38" t="s">
        <v>44</v>
      </c>
      <c r="J667" s="38" t="s">
        <v>45</v>
      </c>
      <c r="K667" s="38" t="s">
        <v>2691</v>
      </c>
      <c r="L667" s="30" t="s">
        <v>47</v>
      </c>
      <c r="M667" s="38" t="s">
        <v>48</v>
      </c>
      <c r="N667" s="38" t="s">
        <v>48</v>
      </c>
      <c r="O667" s="31" t="s">
        <v>1659</v>
      </c>
      <c r="P667" s="28" t="s">
        <v>1660</v>
      </c>
      <c r="Q667" s="38" t="s">
        <v>1661</v>
      </c>
      <c r="R667" s="38">
        <v>1</v>
      </c>
      <c r="S667" s="38" t="s">
        <v>99</v>
      </c>
      <c r="T667" s="38" t="s">
        <v>53</v>
      </c>
      <c r="U667" s="38" t="s">
        <v>54</v>
      </c>
      <c r="V667" s="38" t="s">
        <v>240</v>
      </c>
      <c r="Y667" s="38">
        <v>69.930000000000007</v>
      </c>
      <c r="Z667" s="38">
        <v>1</v>
      </c>
      <c r="AF667" s="38">
        <v>69.930000000000007</v>
      </c>
      <c r="AK667" s="14" t="e">
        <f t="shared" si="2"/>
        <v>#DIV/0!</v>
      </c>
      <c r="AO667" s="28"/>
    </row>
    <row r="668" spans="1:41" ht="12.5" hidden="1">
      <c r="A668" s="28" t="s">
        <v>2692</v>
      </c>
      <c r="B668" s="37">
        <v>45702</v>
      </c>
      <c r="C668" s="29">
        <v>45707</v>
      </c>
      <c r="D668" s="38" t="s">
        <v>41</v>
      </c>
      <c r="E668" s="38" t="s">
        <v>2693</v>
      </c>
      <c r="G668" s="38" t="s">
        <v>43</v>
      </c>
      <c r="H668" s="38">
        <v>10.38</v>
      </c>
      <c r="I668" s="38" t="s">
        <v>44</v>
      </c>
      <c r="J668" s="38" t="s">
        <v>45</v>
      </c>
      <c r="K668" s="38" t="s">
        <v>2694</v>
      </c>
      <c r="L668" s="30" t="s">
        <v>47</v>
      </c>
      <c r="M668" s="38" t="s">
        <v>48</v>
      </c>
      <c r="N668" s="38" t="s">
        <v>48</v>
      </c>
      <c r="O668" s="31" t="s">
        <v>1659</v>
      </c>
      <c r="P668" s="28" t="s">
        <v>1660</v>
      </c>
      <c r="Q668" s="38" t="s">
        <v>1661</v>
      </c>
      <c r="R668" s="38">
        <v>1</v>
      </c>
      <c r="S668" s="38" t="s">
        <v>421</v>
      </c>
      <c r="T668" s="38" t="s">
        <v>53</v>
      </c>
      <c r="U668" s="38" t="s">
        <v>54</v>
      </c>
      <c r="V668" s="38" t="s">
        <v>560</v>
      </c>
      <c r="Y668" s="38">
        <v>70.56</v>
      </c>
      <c r="Z668" s="38">
        <v>1</v>
      </c>
      <c r="AK668" s="14" t="e">
        <f t="shared" si="2"/>
        <v>#DIV/0!</v>
      </c>
      <c r="AO668" s="28"/>
    </row>
    <row r="669" spans="1:41" ht="12.5" hidden="1">
      <c r="A669" s="28" t="s">
        <v>2695</v>
      </c>
      <c r="B669" s="39">
        <v>45690</v>
      </c>
      <c r="C669" s="29">
        <v>45694</v>
      </c>
      <c r="D669" s="38" t="s">
        <v>41</v>
      </c>
      <c r="E669" s="38" t="s">
        <v>2696</v>
      </c>
      <c r="G669" s="38" t="s">
        <v>43</v>
      </c>
      <c r="H669" s="38">
        <v>16.440000000000001</v>
      </c>
      <c r="I669" s="38" t="s">
        <v>44</v>
      </c>
      <c r="J669" s="38" t="s">
        <v>45</v>
      </c>
      <c r="K669" s="38" t="s">
        <v>2697</v>
      </c>
      <c r="L669" s="30" t="s">
        <v>47</v>
      </c>
      <c r="M669" s="38" t="s">
        <v>48</v>
      </c>
      <c r="N669" s="38" t="s">
        <v>48</v>
      </c>
      <c r="O669" s="31" t="s">
        <v>2698</v>
      </c>
      <c r="P669" s="28" t="s">
        <v>2699</v>
      </c>
      <c r="Q669" s="38" t="s">
        <v>2700</v>
      </c>
      <c r="R669" s="38">
        <v>1</v>
      </c>
      <c r="S669" s="38" t="s">
        <v>52</v>
      </c>
      <c r="T669" s="38" t="s">
        <v>53</v>
      </c>
      <c r="U669" s="38" t="s">
        <v>54</v>
      </c>
      <c r="V669" s="38" t="s">
        <v>55</v>
      </c>
      <c r="Y669" s="38">
        <v>125.53</v>
      </c>
      <c r="Z669" s="38">
        <v>1</v>
      </c>
      <c r="AF669" s="38">
        <v>125.53</v>
      </c>
      <c r="AI669" s="38">
        <v>1</v>
      </c>
      <c r="AJ669" s="38">
        <v>1</v>
      </c>
      <c r="AK669" s="14">
        <f t="shared" si="2"/>
        <v>1</v>
      </c>
      <c r="AM669" s="9"/>
      <c r="AN669" s="9"/>
      <c r="AO669" s="28"/>
    </row>
    <row r="670" spans="1:41" ht="12.5" hidden="1">
      <c r="A670" s="28" t="s">
        <v>2701</v>
      </c>
      <c r="B670" s="39">
        <v>45664</v>
      </c>
      <c r="C670" s="29">
        <v>45697</v>
      </c>
      <c r="D670" s="38" t="s">
        <v>41</v>
      </c>
      <c r="E670" s="38" t="s">
        <v>2702</v>
      </c>
      <c r="G670" s="38" t="s">
        <v>43</v>
      </c>
      <c r="H670" s="38">
        <v>15.34</v>
      </c>
      <c r="I670" s="38" t="s">
        <v>44</v>
      </c>
      <c r="J670" s="38" t="s">
        <v>45</v>
      </c>
      <c r="K670" s="38" t="s">
        <v>2703</v>
      </c>
      <c r="L670" s="30" t="s">
        <v>58</v>
      </c>
      <c r="M670" s="38" t="s">
        <v>48</v>
      </c>
      <c r="N670" s="38" t="s">
        <v>48</v>
      </c>
      <c r="O670" s="31" t="s">
        <v>881</v>
      </c>
      <c r="P670" s="28" t="s">
        <v>882</v>
      </c>
      <c r="Q670" s="38" t="s">
        <v>883</v>
      </c>
      <c r="R670" s="38">
        <v>1</v>
      </c>
      <c r="S670" s="38" t="s">
        <v>75</v>
      </c>
      <c r="T670" s="38" t="s">
        <v>53</v>
      </c>
      <c r="U670" s="38" t="s">
        <v>54</v>
      </c>
      <c r="V670" s="38" t="s">
        <v>55</v>
      </c>
      <c r="Y670" s="38">
        <v>93.76</v>
      </c>
      <c r="Z670" s="38">
        <v>1</v>
      </c>
      <c r="AF670" s="38">
        <v>78.42</v>
      </c>
      <c r="AI670" s="38">
        <v>1</v>
      </c>
      <c r="AJ670" s="38">
        <v>0</v>
      </c>
      <c r="AK670" s="14" t="e">
        <f t="shared" si="2"/>
        <v>#DIV/0!</v>
      </c>
      <c r="AM670" s="9"/>
      <c r="AN670" s="9"/>
      <c r="AO670" s="28"/>
    </row>
    <row r="671" spans="1:41" ht="12.5" hidden="1">
      <c r="A671" s="28" t="s">
        <v>2704</v>
      </c>
      <c r="B671" s="37">
        <v>45701</v>
      </c>
      <c r="C671" s="29">
        <v>45715</v>
      </c>
      <c r="D671" s="38" t="s">
        <v>41</v>
      </c>
      <c r="E671" s="38" t="s">
        <v>2705</v>
      </c>
      <c r="G671" s="38" t="s">
        <v>43</v>
      </c>
      <c r="H671" s="38">
        <v>13.56</v>
      </c>
      <c r="I671" s="38" t="s">
        <v>44</v>
      </c>
      <c r="J671" s="38" t="s">
        <v>45</v>
      </c>
      <c r="K671" s="38" t="s">
        <v>2706</v>
      </c>
      <c r="L671" s="30" t="s">
        <v>47</v>
      </c>
      <c r="M671" s="38" t="s">
        <v>48</v>
      </c>
      <c r="N671" s="38" t="s">
        <v>48</v>
      </c>
      <c r="O671" s="31" t="s">
        <v>2707</v>
      </c>
      <c r="P671" s="28" t="s">
        <v>2708</v>
      </c>
      <c r="Q671" s="38" t="s">
        <v>2709</v>
      </c>
      <c r="R671" s="38">
        <v>1</v>
      </c>
      <c r="S671" s="38" t="s">
        <v>99</v>
      </c>
      <c r="T671" s="38" t="s">
        <v>53</v>
      </c>
      <c r="U671" s="38" t="s">
        <v>54</v>
      </c>
      <c r="V671" s="38" t="s">
        <v>55</v>
      </c>
      <c r="Y671" s="38">
        <v>105.53</v>
      </c>
      <c r="Z671" s="38">
        <v>1</v>
      </c>
      <c r="AF671" s="38">
        <v>105.53</v>
      </c>
      <c r="AI671" s="38">
        <v>1</v>
      </c>
      <c r="AJ671" s="38">
        <v>3</v>
      </c>
      <c r="AK671" s="14">
        <f t="shared" si="2"/>
        <v>0.33333333333333331</v>
      </c>
      <c r="AO671" s="28"/>
    </row>
    <row r="672" spans="1:41" ht="12.5" hidden="1">
      <c r="A672" s="28"/>
      <c r="C672" s="29"/>
      <c r="L672" s="30"/>
      <c r="O672" s="31"/>
      <c r="P672" s="28"/>
      <c r="AK672" s="14" t="e">
        <f t="shared" si="2"/>
        <v>#DIV/0!</v>
      </c>
      <c r="AO672" s="28"/>
    </row>
    <row r="673" spans="1:60" ht="12.5" hidden="1">
      <c r="A673" s="32"/>
      <c r="B673" s="33"/>
      <c r="C673" s="34"/>
      <c r="D673" s="33"/>
      <c r="E673" s="33"/>
      <c r="F673" s="33"/>
      <c r="G673" s="33"/>
      <c r="H673" s="33"/>
      <c r="I673" s="33"/>
      <c r="J673" s="33"/>
      <c r="K673" s="33"/>
      <c r="L673" s="35"/>
      <c r="M673" s="33"/>
      <c r="N673" s="33"/>
      <c r="O673" s="35"/>
      <c r="P673" s="32"/>
      <c r="Q673" s="33"/>
      <c r="R673" s="33"/>
      <c r="S673" s="33"/>
      <c r="T673" s="33"/>
      <c r="U673" s="33"/>
      <c r="V673" s="33"/>
      <c r="W673" s="33"/>
      <c r="X673" s="33"/>
      <c r="Y673" s="33"/>
      <c r="Z673" s="33"/>
      <c r="AA673" s="33"/>
      <c r="AB673" s="33"/>
      <c r="AC673" s="33"/>
      <c r="AD673" s="33"/>
      <c r="AE673" s="33"/>
      <c r="AF673" s="33"/>
      <c r="AG673" s="33"/>
      <c r="AH673" s="33"/>
      <c r="AI673" s="33"/>
      <c r="AJ673" s="33"/>
      <c r="AK673" s="36" t="e">
        <f t="shared" si="2"/>
        <v>#DIV/0!</v>
      </c>
      <c r="AL673" s="33"/>
      <c r="AM673" s="33"/>
      <c r="AN673" s="33"/>
      <c r="AO673" s="32"/>
      <c r="AP673" s="33"/>
      <c r="AQ673" s="33"/>
      <c r="AR673" s="33"/>
      <c r="AS673" s="33"/>
      <c r="AT673" s="33"/>
      <c r="AU673" s="33"/>
      <c r="AV673" s="33"/>
      <c r="AW673" s="33"/>
      <c r="AX673" s="33"/>
      <c r="AY673" s="33"/>
      <c r="AZ673" s="33"/>
      <c r="BA673" s="33"/>
      <c r="BB673" s="33"/>
      <c r="BC673" s="33"/>
      <c r="BD673" s="33"/>
      <c r="BE673" s="33"/>
      <c r="BF673" s="33"/>
      <c r="BG673" s="33"/>
      <c r="BH673" s="33"/>
    </row>
    <row r="674" spans="1:60" ht="12.5" hidden="1">
      <c r="A674" s="28"/>
      <c r="C674" s="29"/>
      <c r="L674" s="30"/>
      <c r="O674" s="31"/>
      <c r="P674" s="28"/>
      <c r="AK674" s="14" t="e">
        <f t="shared" si="2"/>
        <v>#DIV/0!</v>
      </c>
      <c r="AO674" s="28"/>
    </row>
    <row r="675" spans="1:60" ht="12.5" hidden="1">
      <c r="A675" s="28" t="s">
        <v>2710</v>
      </c>
      <c r="B675" s="37">
        <v>45731</v>
      </c>
      <c r="C675" s="29">
        <v>45745</v>
      </c>
      <c r="D675" s="38" t="s">
        <v>41</v>
      </c>
      <c r="E675" s="38" t="s">
        <v>2711</v>
      </c>
      <c r="G675" s="38" t="s">
        <v>43</v>
      </c>
      <c r="H675" s="38">
        <v>14.06</v>
      </c>
      <c r="I675" s="38" t="s">
        <v>44</v>
      </c>
      <c r="J675" s="38" t="s">
        <v>45</v>
      </c>
      <c r="K675" s="38" t="s">
        <v>2712</v>
      </c>
      <c r="L675" s="30" t="s">
        <v>58</v>
      </c>
      <c r="M675" s="38" t="s">
        <v>48</v>
      </c>
      <c r="N675" s="38" t="s">
        <v>48</v>
      </c>
      <c r="O675" s="31" t="s">
        <v>49</v>
      </c>
      <c r="P675" s="28" t="s">
        <v>50</v>
      </c>
      <c r="Q675" s="38" t="s">
        <v>51</v>
      </c>
      <c r="R675" s="38">
        <v>1</v>
      </c>
      <c r="S675" s="38" t="s">
        <v>68</v>
      </c>
      <c r="T675" s="38" t="s">
        <v>53</v>
      </c>
      <c r="U675" s="38" t="s">
        <v>54</v>
      </c>
      <c r="V675" s="38" t="s">
        <v>55</v>
      </c>
      <c r="Y675" s="38">
        <v>95.3</v>
      </c>
      <c r="Z675" s="38">
        <v>1</v>
      </c>
      <c r="AF675" s="38">
        <v>81.239999999999995</v>
      </c>
      <c r="AI675" s="38">
        <v>3</v>
      </c>
      <c r="AJ675" s="38">
        <v>19</v>
      </c>
      <c r="AK675" s="14">
        <f t="shared" si="2"/>
        <v>0.15789473684210525</v>
      </c>
      <c r="AO675" s="28"/>
    </row>
    <row r="676" spans="1:60" ht="12.5" hidden="1">
      <c r="A676" s="28" t="s">
        <v>2713</v>
      </c>
      <c r="B676" s="37">
        <v>45730</v>
      </c>
      <c r="C676" s="29">
        <v>45734</v>
      </c>
      <c r="D676" s="38" t="s">
        <v>41</v>
      </c>
      <c r="E676" s="38" t="s">
        <v>2714</v>
      </c>
      <c r="G676" s="38" t="s">
        <v>43</v>
      </c>
      <c r="H676" s="38">
        <v>14.06</v>
      </c>
      <c r="I676" s="38" t="s">
        <v>44</v>
      </c>
      <c r="J676" s="38" t="s">
        <v>45</v>
      </c>
      <c r="K676" s="38" t="s">
        <v>2715</v>
      </c>
      <c r="L676" s="30" t="s">
        <v>58</v>
      </c>
      <c r="M676" s="38" t="s">
        <v>48</v>
      </c>
      <c r="N676" s="38" t="s">
        <v>48</v>
      </c>
      <c r="O676" s="31" t="s">
        <v>49</v>
      </c>
      <c r="P676" s="28" t="s">
        <v>50</v>
      </c>
      <c r="Q676" s="38" t="s">
        <v>51</v>
      </c>
      <c r="R676" s="38">
        <v>1</v>
      </c>
      <c r="S676" s="38" t="s">
        <v>2716</v>
      </c>
      <c r="T676" s="38" t="s">
        <v>53</v>
      </c>
      <c r="U676" s="38" t="s">
        <v>54</v>
      </c>
      <c r="V676" s="38" t="s">
        <v>61</v>
      </c>
      <c r="Y676" s="38">
        <v>97.31</v>
      </c>
      <c r="Z676" s="38">
        <v>1</v>
      </c>
      <c r="AK676" s="14" t="e">
        <f t="shared" si="2"/>
        <v>#DIV/0!</v>
      </c>
      <c r="AO676" s="28"/>
    </row>
    <row r="677" spans="1:60" ht="12.5" hidden="1">
      <c r="A677" s="28" t="s">
        <v>2717</v>
      </c>
      <c r="B677" s="39">
        <v>45725</v>
      </c>
      <c r="C677" s="29">
        <v>45732</v>
      </c>
      <c r="D677" s="38" t="s">
        <v>41</v>
      </c>
      <c r="E677" s="38" t="s">
        <v>2718</v>
      </c>
      <c r="G677" s="38" t="s">
        <v>43</v>
      </c>
      <c r="H677" s="38">
        <v>14.06</v>
      </c>
      <c r="I677" s="38" t="s">
        <v>44</v>
      </c>
      <c r="J677" s="38" t="s">
        <v>45</v>
      </c>
      <c r="K677" s="38" t="s">
        <v>2719</v>
      </c>
      <c r="L677" s="30" t="s">
        <v>58</v>
      </c>
      <c r="M677" s="38" t="s">
        <v>48</v>
      </c>
      <c r="N677" s="38" t="s">
        <v>48</v>
      </c>
      <c r="O677" s="31" t="s">
        <v>49</v>
      </c>
      <c r="P677" s="28" t="s">
        <v>50</v>
      </c>
      <c r="Q677" s="38" t="s">
        <v>51</v>
      </c>
      <c r="R677" s="38">
        <v>1</v>
      </c>
      <c r="S677" s="38" t="s">
        <v>68</v>
      </c>
      <c r="T677" s="38" t="s">
        <v>53</v>
      </c>
      <c r="U677" s="38" t="s">
        <v>54</v>
      </c>
      <c r="V677" s="38" t="s">
        <v>55</v>
      </c>
      <c r="Y677" s="38">
        <v>95.5</v>
      </c>
      <c r="Z677" s="38">
        <v>1</v>
      </c>
      <c r="AF677" s="38">
        <v>81.44</v>
      </c>
      <c r="AK677" s="14" t="e">
        <f t="shared" si="2"/>
        <v>#DIV/0!</v>
      </c>
      <c r="AO677" s="28"/>
    </row>
    <row r="678" spans="1:60" ht="12.5" hidden="1">
      <c r="A678" s="28" t="s">
        <v>2720</v>
      </c>
      <c r="B678" s="39">
        <v>45723</v>
      </c>
      <c r="C678" s="29">
        <v>45727</v>
      </c>
      <c r="D678" s="38" t="s">
        <v>41</v>
      </c>
      <c r="E678" s="38" t="s">
        <v>2721</v>
      </c>
      <c r="G678" s="38" t="s">
        <v>43</v>
      </c>
      <c r="H678" s="38">
        <v>10.4</v>
      </c>
      <c r="I678" s="38" t="s">
        <v>44</v>
      </c>
      <c r="J678" s="38" t="s">
        <v>45</v>
      </c>
      <c r="K678" s="38" t="s">
        <v>2722</v>
      </c>
      <c r="L678" s="30" t="s">
        <v>47</v>
      </c>
      <c r="M678" s="38" t="s">
        <v>48</v>
      </c>
      <c r="N678" s="38" t="s">
        <v>48</v>
      </c>
      <c r="O678" s="31" t="s">
        <v>65</v>
      </c>
      <c r="P678" s="28" t="s">
        <v>66</v>
      </c>
      <c r="Q678" s="38" t="s">
        <v>67</v>
      </c>
      <c r="R678" s="38">
        <v>1</v>
      </c>
      <c r="S678" s="38" t="s">
        <v>99</v>
      </c>
      <c r="T678" s="38" t="s">
        <v>53</v>
      </c>
      <c r="U678" s="38" t="s">
        <v>54</v>
      </c>
      <c r="V678" s="38" t="s">
        <v>55</v>
      </c>
      <c r="Y678" s="38">
        <v>72.900000000000006</v>
      </c>
      <c r="Z678" s="38">
        <v>1</v>
      </c>
      <c r="AF678" s="38">
        <v>72.900000000000006</v>
      </c>
      <c r="AI678" s="38">
        <v>1</v>
      </c>
      <c r="AJ678" s="38">
        <v>11</v>
      </c>
      <c r="AK678" s="14">
        <f t="shared" si="2"/>
        <v>9.0909090909090912E-2</v>
      </c>
      <c r="AO678" s="28"/>
    </row>
    <row r="679" spans="1:60" ht="12.5" hidden="1">
      <c r="A679" s="28" t="s">
        <v>2723</v>
      </c>
      <c r="B679" s="39">
        <v>45720</v>
      </c>
      <c r="C679" s="29">
        <v>45724</v>
      </c>
      <c r="D679" s="38" t="s">
        <v>41</v>
      </c>
      <c r="E679" s="38" t="s">
        <v>2724</v>
      </c>
      <c r="G679" s="38" t="s">
        <v>43</v>
      </c>
      <c r="H679" s="38">
        <v>11.13</v>
      </c>
      <c r="I679" s="38" t="s">
        <v>44</v>
      </c>
      <c r="J679" s="38" t="s">
        <v>45</v>
      </c>
      <c r="K679" s="38" t="s">
        <v>2725</v>
      </c>
      <c r="L679" s="30" t="s">
        <v>58</v>
      </c>
      <c r="M679" s="38" t="s">
        <v>48</v>
      </c>
      <c r="N679" s="38" t="s">
        <v>48</v>
      </c>
      <c r="O679" s="31" t="s">
        <v>72</v>
      </c>
      <c r="P679" s="28" t="s">
        <v>73</v>
      </c>
      <c r="Q679" s="38" t="s">
        <v>74</v>
      </c>
      <c r="R679" s="38">
        <v>1</v>
      </c>
      <c r="S679" s="38" t="s">
        <v>68</v>
      </c>
      <c r="T679" s="38" t="s">
        <v>53</v>
      </c>
      <c r="U679" s="38" t="s">
        <v>54</v>
      </c>
      <c r="V679" s="38" t="s">
        <v>55</v>
      </c>
      <c r="Y679" s="38">
        <v>54.98</v>
      </c>
      <c r="Z679" s="38">
        <v>1</v>
      </c>
      <c r="AF679" s="38">
        <v>43.85</v>
      </c>
      <c r="AI679" s="38">
        <v>1</v>
      </c>
      <c r="AJ679" s="38">
        <v>13</v>
      </c>
      <c r="AK679" s="14">
        <f t="shared" si="2"/>
        <v>7.6923076923076927E-2</v>
      </c>
      <c r="AO679" s="28"/>
    </row>
    <row r="680" spans="1:60" ht="12.5" hidden="1">
      <c r="A680" s="28" t="s">
        <v>2726</v>
      </c>
      <c r="B680" s="37">
        <v>45738</v>
      </c>
      <c r="C680" s="29">
        <v>45745</v>
      </c>
      <c r="D680" s="38" t="s">
        <v>41</v>
      </c>
      <c r="E680" s="38" t="s">
        <v>2727</v>
      </c>
      <c r="G680" s="38" t="s">
        <v>43</v>
      </c>
      <c r="H680" s="38">
        <v>11.13</v>
      </c>
      <c r="I680" s="38" t="s">
        <v>44</v>
      </c>
      <c r="J680" s="38" t="s">
        <v>45</v>
      </c>
      <c r="K680" s="38" t="s">
        <v>2728</v>
      </c>
      <c r="L680" s="30" t="s">
        <v>58</v>
      </c>
      <c r="M680" s="38" t="s">
        <v>48</v>
      </c>
      <c r="N680" s="38" t="s">
        <v>48</v>
      </c>
      <c r="O680" s="31" t="s">
        <v>79</v>
      </c>
      <c r="P680" s="28" t="s">
        <v>80</v>
      </c>
      <c r="Q680" s="38" t="s">
        <v>81</v>
      </c>
      <c r="R680" s="38">
        <v>1</v>
      </c>
      <c r="S680" s="38" t="s">
        <v>75</v>
      </c>
      <c r="T680" s="38" t="s">
        <v>53</v>
      </c>
      <c r="U680" s="38" t="s">
        <v>54</v>
      </c>
      <c r="V680" s="38" t="s">
        <v>61</v>
      </c>
      <c r="Y680" s="38">
        <v>54.58</v>
      </c>
      <c r="Z680" s="38">
        <v>1</v>
      </c>
      <c r="AI680" s="38">
        <v>8</v>
      </c>
      <c r="AJ680" s="38">
        <v>39</v>
      </c>
      <c r="AK680" s="14">
        <f t="shared" si="2"/>
        <v>0.20512820512820512</v>
      </c>
      <c r="AO680" s="28"/>
    </row>
    <row r="681" spans="1:60" ht="12.5" hidden="1">
      <c r="A681" s="28" t="s">
        <v>2729</v>
      </c>
      <c r="B681" s="37">
        <v>45736</v>
      </c>
      <c r="C681" s="29">
        <v>45739</v>
      </c>
      <c r="D681" s="38" t="s">
        <v>41</v>
      </c>
      <c r="E681" s="38" t="s">
        <v>2730</v>
      </c>
      <c r="G681" s="38" t="s">
        <v>43</v>
      </c>
      <c r="H681" s="38">
        <v>11.13</v>
      </c>
      <c r="I681" s="38" t="s">
        <v>44</v>
      </c>
      <c r="J681" s="38" t="s">
        <v>45</v>
      </c>
      <c r="K681" s="38" t="s">
        <v>2731</v>
      </c>
      <c r="L681" s="30" t="s">
        <v>47</v>
      </c>
      <c r="M681" s="38" t="s">
        <v>48</v>
      </c>
      <c r="N681" s="38" t="s">
        <v>48</v>
      </c>
      <c r="O681" s="31" t="s">
        <v>79</v>
      </c>
      <c r="P681" s="28" t="s">
        <v>80</v>
      </c>
      <c r="Q681" s="38" t="s">
        <v>81</v>
      </c>
      <c r="R681" s="38">
        <v>1</v>
      </c>
      <c r="S681" s="38" t="s">
        <v>52</v>
      </c>
      <c r="T681" s="38" t="s">
        <v>53</v>
      </c>
      <c r="U681" s="38" t="s">
        <v>54</v>
      </c>
      <c r="V681" s="38" t="s">
        <v>55</v>
      </c>
      <c r="Y681" s="38">
        <v>55.1</v>
      </c>
      <c r="Z681" s="38">
        <v>1</v>
      </c>
      <c r="AF681" s="38">
        <v>55.1</v>
      </c>
      <c r="AK681" s="14" t="e">
        <f t="shared" si="2"/>
        <v>#DIV/0!</v>
      </c>
      <c r="AO681" s="28"/>
    </row>
    <row r="682" spans="1:60" ht="12.5" hidden="1">
      <c r="A682" s="28" t="s">
        <v>2732</v>
      </c>
      <c r="B682" s="37">
        <v>45728</v>
      </c>
      <c r="C682" s="29">
        <v>45738</v>
      </c>
      <c r="D682" s="38" t="s">
        <v>41</v>
      </c>
      <c r="E682" s="38" t="s">
        <v>2733</v>
      </c>
      <c r="G682" s="38" t="s">
        <v>43</v>
      </c>
      <c r="H682" s="38">
        <v>11.13</v>
      </c>
      <c r="I682" s="38" t="s">
        <v>44</v>
      </c>
      <c r="J682" s="38" t="s">
        <v>45</v>
      </c>
      <c r="K682" s="38" t="s">
        <v>2734</v>
      </c>
      <c r="L682" s="30" t="s">
        <v>47</v>
      </c>
      <c r="M682" s="38" t="s">
        <v>48</v>
      </c>
      <c r="N682" s="38" t="s">
        <v>48</v>
      </c>
      <c r="O682" s="31" t="s">
        <v>79</v>
      </c>
      <c r="P682" s="28" t="s">
        <v>80</v>
      </c>
      <c r="Q682" s="38" t="s">
        <v>81</v>
      </c>
      <c r="R682" s="38">
        <v>1</v>
      </c>
      <c r="S682" s="38" t="s">
        <v>99</v>
      </c>
      <c r="T682" s="38" t="s">
        <v>53</v>
      </c>
      <c r="U682" s="38" t="s">
        <v>54</v>
      </c>
      <c r="V682" s="38" t="s">
        <v>61</v>
      </c>
      <c r="Y682" s="38">
        <v>111.22</v>
      </c>
      <c r="Z682" s="38">
        <v>2</v>
      </c>
      <c r="AF682" s="38">
        <v>39.28</v>
      </c>
      <c r="AK682" s="14" t="e">
        <f t="shared" si="2"/>
        <v>#DIV/0!</v>
      </c>
      <c r="AO682" s="28"/>
    </row>
    <row r="683" spans="1:60" ht="12.5" hidden="1">
      <c r="A683" s="28" t="s">
        <v>2732</v>
      </c>
      <c r="B683" s="37">
        <v>45728</v>
      </c>
      <c r="C683" s="29">
        <v>45738</v>
      </c>
      <c r="D683" s="38" t="s">
        <v>41</v>
      </c>
      <c r="E683" s="38" t="s">
        <v>2735</v>
      </c>
      <c r="G683" s="38" t="s">
        <v>43</v>
      </c>
      <c r="H683" s="38">
        <v>11.13</v>
      </c>
      <c r="I683" s="38" t="s">
        <v>44</v>
      </c>
      <c r="J683" s="38" t="s">
        <v>45</v>
      </c>
      <c r="K683" s="38" t="s">
        <v>2736</v>
      </c>
      <c r="L683" s="30" t="s">
        <v>47</v>
      </c>
      <c r="M683" s="38" t="s">
        <v>48</v>
      </c>
      <c r="N683" s="38" t="s">
        <v>48</v>
      </c>
      <c r="O683" s="31" t="s">
        <v>79</v>
      </c>
      <c r="P683" s="28" t="s">
        <v>80</v>
      </c>
      <c r="Q683" s="38" t="s">
        <v>81</v>
      </c>
      <c r="R683" s="38">
        <v>1</v>
      </c>
      <c r="S683" s="38" t="s">
        <v>99</v>
      </c>
      <c r="T683" s="38" t="s">
        <v>53</v>
      </c>
      <c r="U683" s="38" t="s">
        <v>54</v>
      </c>
      <c r="V683" s="38" t="s">
        <v>61</v>
      </c>
      <c r="Y683" s="38">
        <v>111.22</v>
      </c>
      <c r="Z683" s="38">
        <v>2</v>
      </c>
      <c r="AF683" s="38">
        <v>39.28</v>
      </c>
      <c r="AK683" s="14" t="e">
        <f t="shared" si="2"/>
        <v>#DIV/0!</v>
      </c>
      <c r="AO683" s="28"/>
    </row>
    <row r="684" spans="1:60" ht="12.5" hidden="1">
      <c r="A684" s="28" t="s">
        <v>2732</v>
      </c>
      <c r="B684" s="37">
        <v>45728</v>
      </c>
      <c r="C684" s="29">
        <v>45734</v>
      </c>
      <c r="D684" s="38" t="s">
        <v>41</v>
      </c>
      <c r="E684" s="38" t="s">
        <v>2737</v>
      </c>
      <c r="G684" s="38" t="s">
        <v>43</v>
      </c>
      <c r="H684" s="38">
        <v>18.41</v>
      </c>
      <c r="I684" s="38" t="s">
        <v>44</v>
      </c>
      <c r="J684" s="38" t="s">
        <v>45</v>
      </c>
      <c r="K684" s="38" t="s">
        <v>2738</v>
      </c>
      <c r="L684" s="30" t="s">
        <v>47</v>
      </c>
      <c r="M684" s="38" t="s">
        <v>48</v>
      </c>
      <c r="N684" s="38" t="s">
        <v>48</v>
      </c>
      <c r="O684" s="31" t="s">
        <v>79</v>
      </c>
      <c r="P684" s="28" t="s">
        <v>80</v>
      </c>
      <c r="Q684" s="38" t="s">
        <v>81</v>
      </c>
      <c r="R684" s="38">
        <v>2</v>
      </c>
      <c r="S684" s="38" t="s">
        <v>52</v>
      </c>
      <c r="T684" s="38" t="s">
        <v>53</v>
      </c>
      <c r="U684" s="38" t="s">
        <v>54</v>
      </c>
      <c r="V684" s="38" t="s">
        <v>61</v>
      </c>
      <c r="Y684" s="38">
        <v>111.22</v>
      </c>
      <c r="AK684" s="14" t="e">
        <f t="shared" si="2"/>
        <v>#DIV/0!</v>
      </c>
      <c r="AO684" s="28"/>
    </row>
    <row r="685" spans="1:60" ht="12.5" hidden="1">
      <c r="A685" s="28" t="s">
        <v>2739</v>
      </c>
      <c r="B685" s="37">
        <v>45727</v>
      </c>
      <c r="C685" s="29">
        <v>45732</v>
      </c>
      <c r="D685" s="38" t="s">
        <v>41</v>
      </c>
      <c r="E685" s="38" t="s">
        <v>2740</v>
      </c>
      <c r="G685" s="38" t="s">
        <v>43</v>
      </c>
      <c r="H685" s="38">
        <v>11.13</v>
      </c>
      <c r="I685" s="38" t="s">
        <v>44</v>
      </c>
      <c r="J685" s="38" t="s">
        <v>45</v>
      </c>
      <c r="K685" s="38" t="s">
        <v>2741</v>
      </c>
      <c r="L685" s="30" t="s">
        <v>47</v>
      </c>
      <c r="M685" s="38" t="s">
        <v>48</v>
      </c>
      <c r="N685" s="38" t="s">
        <v>48</v>
      </c>
      <c r="O685" s="31" t="s">
        <v>79</v>
      </c>
      <c r="P685" s="28" t="s">
        <v>80</v>
      </c>
      <c r="Q685" s="38" t="s">
        <v>81</v>
      </c>
      <c r="R685" s="38">
        <v>1</v>
      </c>
      <c r="S685" s="38" t="s">
        <v>99</v>
      </c>
      <c r="T685" s="38" t="s">
        <v>53</v>
      </c>
      <c r="U685" s="38" t="s">
        <v>54</v>
      </c>
      <c r="V685" s="38" t="s">
        <v>55</v>
      </c>
      <c r="Y685" s="38">
        <v>54.59</v>
      </c>
      <c r="Z685" s="38">
        <v>1</v>
      </c>
      <c r="AF685" s="38">
        <v>54.59</v>
      </c>
      <c r="AK685" s="14" t="e">
        <f t="shared" si="2"/>
        <v>#DIV/0!</v>
      </c>
      <c r="AO685" s="28"/>
    </row>
    <row r="686" spans="1:60" ht="12.5" hidden="1">
      <c r="A686" s="28" t="s">
        <v>2742</v>
      </c>
      <c r="B686" s="39">
        <v>45723</v>
      </c>
      <c r="C686" s="29">
        <v>45732</v>
      </c>
      <c r="D686" s="38" t="s">
        <v>41</v>
      </c>
      <c r="E686" s="38" t="s">
        <v>2743</v>
      </c>
      <c r="G686" s="38" t="s">
        <v>43</v>
      </c>
      <c r="H686" s="38">
        <v>11.13</v>
      </c>
      <c r="I686" s="38" t="s">
        <v>44</v>
      </c>
      <c r="J686" s="38" t="s">
        <v>45</v>
      </c>
      <c r="K686" s="38" t="s">
        <v>2744</v>
      </c>
      <c r="L686" s="30" t="s">
        <v>47</v>
      </c>
      <c r="M686" s="38" t="s">
        <v>48</v>
      </c>
      <c r="N686" s="38" t="s">
        <v>48</v>
      </c>
      <c r="O686" s="31" t="s">
        <v>79</v>
      </c>
      <c r="P686" s="28" t="s">
        <v>80</v>
      </c>
      <c r="Q686" s="38" t="s">
        <v>81</v>
      </c>
      <c r="R686" s="38">
        <v>1</v>
      </c>
      <c r="S686" s="38" t="s">
        <v>52</v>
      </c>
      <c r="T686" s="38" t="s">
        <v>53</v>
      </c>
      <c r="U686" s="38" t="s">
        <v>54</v>
      </c>
      <c r="V686" s="38" t="s">
        <v>55</v>
      </c>
      <c r="Y686" s="38">
        <v>53.24</v>
      </c>
      <c r="Z686" s="38">
        <v>1</v>
      </c>
      <c r="AF686" s="38">
        <v>53.24</v>
      </c>
      <c r="AK686" s="14" t="e">
        <f t="shared" si="2"/>
        <v>#DIV/0!</v>
      </c>
      <c r="AO686" s="28"/>
    </row>
    <row r="687" spans="1:60" ht="12.5" hidden="1">
      <c r="A687" s="28" t="s">
        <v>2745</v>
      </c>
      <c r="B687" s="39">
        <v>45720</v>
      </c>
      <c r="C687" s="29">
        <v>45722</v>
      </c>
      <c r="D687" s="38" t="s">
        <v>41</v>
      </c>
      <c r="E687" s="38" t="s">
        <v>2746</v>
      </c>
      <c r="G687" s="38" t="s">
        <v>43</v>
      </c>
      <c r="H687" s="38">
        <v>11.13</v>
      </c>
      <c r="I687" s="38" t="s">
        <v>44</v>
      </c>
      <c r="J687" s="38" t="s">
        <v>45</v>
      </c>
      <c r="K687" s="38" t="s">
        <v>2747</v>
      </c>
      <c r="L687" s="30" t="s">
        <v>47</v>
      </c>
      <c r="M687" s="38" t="s">
        <v>48</v>
      </c>
      <c r="N687" s="38" t="s">
        <v>48</v>
      </c>
      <c r="O687" s="31" t="s">
        <v>79</v>
      </c>
      <c r="P687" s="28" t="s">
        <v>80</v>
      </c>
      <c r="Q687" s="38" t="s">
        <v>81</v>
      </c>
      <c r="R687" s="38">
        <v>1</v>
      </c>
      <c r="S687" s="38" t="s">
        <v>156</v>
      </c>
      <c r="T687" s="38" t="s">
        <v>53</v>
      </c>
      <c r="U687" s="38" t="s">
        <v>54</v>
      </c>
      <c r="V687" s="38" t="s">
        <v>61</v>
      </c>
      <c r="Y687" s="38">
        <v>51.82</v>
      </c>
      <c r="Z687" s="38">
        <v>1</v>
      </c>
      <c r="AK687" s="14" t="e">
        <f t="shared" si="2"/>
        <v>#DIV/0!</v>
      </c>
      <c r="AO687" s="28"/>
    </row>
    <row r="688" spans="1:60" ht="12.5" hidden="1">
      <c r="A688" s="28" t="s">
        <v>2748</v>
      </c>
      <c r="B688" s="37">
        <v>45740</v>
      </c>
      <c r="C688" s="29">
        <v>45745</v>
      </c>
      <c r="D688" s="38" t="s">
        <v>41</v>
      </c>
      <c r="E688" s="38" t="s">
        <v>2749</v>
      </c>
      <c r="G688" s="38" t="s">
        <v>43</v>
      </c>
      <c r="H688" s="38">
        <v>11.13</v>
      </c>
      <c r="I688" s="38" t="s">
        <v>44</v>
      </c>
      <c r="J688" s="38" t="s">
        <v>45</v>
      </c>
      <c r="K688" s="38" t="s">
        <v>2750</v>
      </c>
      <c r="L688" s="30" t="s">
        <v>47</v>
      </c>
      <c r="M688" s="38" t="s">
        <v>48</v>
      </c>
      <c r="N688" s="38" t="s">
        <v>48</v>
      </c>
      <c r="O688" s="31" t="s">
        <v>947</v>
      </c>
      <c r="P688" s="28" t="s">
        <v>948</v>
      </c>
      <c r="Q688" s="38" t="s">
        <v>949</v>
      </c>
      <c r="R688" s="38">
        <v>1</v>
      </c>
      <c r="S688" s="38" t="s">
        <v>99</v>
      </c>
      <c r="T688" s="38" t="s">
        <v>53</v>
      </c>
      <c r="U688" s="38" t="s">
        <v>54</v>
      </c>
      <c r="V688" s="38" t="s">
        <v>61</v>
      </c>
      <c r="Y688" s="38">
        <v>66.680000000000007</v>
      </c>
      <c r="Z688" s="38">
        <v>1</v>
      </c>
      <c r="AI688" s="38">
        <v>2</v>
      </c>
      <c r="AJ688" s="38">
        <v>3</v>
      </c>
      <c r="AK688" s="14">
        <f t="shared" si="2"/>
        <v>0.66666666666666663</v>
      </c>
      <c r="AO688" s="28"/>
    </row>
    <row r="689" spans="1:41" ht="12.5" hidden="1">
      <c r="A689" s="28" t="s">
        <v>2751</v>
      </c>
      <c r="B689" s="37">
        <v>45716</v>
      </c>
      <c r="C689" s="29">
        <v>45726</v>
      </c>
      <c r="D689" s="38" t="s">
        <v>41</v>
      </c>
      <c r="E689" s="38" t="s">
        <v>2752</v>
      </c>
      <c r="G689" s="38" t="s">
        <v>43</v>
      </c>
      <c r="H689" s="38">
        <v>11.13</v>
      </c>
      <c r="I689" s="38" t="s">
        <v>44</v>
      </c>
      <c r="J689" s="38" t="s">
        <v>45</v>
      </c>
      <c r="K689" s="38" t="s">
        <v>2753</v>
      </c>
      <c r="L689" s="30" t="s">
        <v>47</v>
      </c>
      <c r="M689" s="38" t="s">
        <v>48</v>
      </c>
      <c r="N689" s="38" t="s">
        <v>48</v>
      </c>
      <c r="O689" s="31" t="s">
        <v>947</v>
      </c>
      <c r="P689" s="28" t="s">
        <v>948</v>
      </c>
      <c r="Q689" s="38" t="s">
        <v>949</v>
      </c>
      <c r="R689" s="38">
        <v>1</v>
      </c>
      <c r="S689" s="38" t="s">
        <v>99</v>
      </c>
      <c r="T689" s="38" t="s">
        <v>53</v>
      </c>
      <c r="U689" s="38" t="s">
        <v>54</v>
      </c>
      <c r="V689" s="38" t="s">
        <v>61</v>
      </c>
      <c r="Y689" s="38">
        <v>69.34</v>
      </c>
      <c r="Z689" s="38">
        <v>1</v>
      </c>
      <c r="AF689" s="38">
        <v>69.34</v>
      </c>
      <c r="AK689" s="14" t="e">
        <f t="shared" si="2"/>
        <v>#DIV/0!</v>
      </c>
      <c r="AO689" s="28"/>
    </row>
    <row r="690" spans="1:41" ht="12.5" hidden="1">
      <c r="A690" s="28" t="s">
        <v>2754</v>
      </c>
      <c r="B690" s="37">
        <v>45726</v>
      </c>
      <c r="C690" s="29">
        <v>45730</v>
      </c>
      <c r="D690" s="38" t="s">
        <v>41</v>
      </c>
      <c r="E690" s="38" t="s">
        <v>2755</v>
      </c>
      <c r="G690" s="38" t="s">
        <v>43</v>
      </c>
      <c r="H690" s="38">
        <v>12.22</v>
      </c>
      <c r="I690" s="38" t="s">
        <v>44</v>
      </c>
      <c r="J690" s="38" t="s">
        <v>45</v>
      </c>
      <c r="K690" s="38" t="s">
        <v>2756</v>
      </c>
      <c r="L690" s="30" t="s">
        <v>58</v>
      </c>
      <c r="M690" s="38" t="s">
        <v>48</v>
      </c>
      <c r="N690" s="38" t="s">
        <v>48</v>
      </c>
      <c r="O690" s="31" t="s">
        <v>96</v>
      </c>
      <c r="P690" s="28" t="s">
        <v>97</v>
      </c>
      <c r="Q690" s="38" t="s">
        <v>98</v>
      </c>
      <c r="R690" s="38">
        <v>1</v>
      </c>
      <c r="S690" s="38" t="s">
        <v>68</v>
      </c>
      <c r="T690" s="38" t="s">
        <v>53</v>
      </c>
      <c r="U690" s="38" t="s">
        <v>54</v>
      </c>
      <c r="V690" s="38" t="s">
        <v>55</v>
      </c>
      <c r="Y690" s="38">
        <v>85.07</v>
      </c>
      <c r="Z690" s="38">
        <v>1</v>
      </c>
      <c r="AF690" s="38">
        <v>72.849999999999994</v>
      </c>
      <c r="AI690" s="38">
        <v>2</v>
      </c>
      <c r="AJ690" s="38">
        <v>29</v>
      </c>
      <c r="AK690" s="14">
        <f t="shared" si="2"/>
        <v>6.8965517241379309E-2</v>
      </c>
      <c r="AO690" s="28"/>
    </row>
    <row r="691" spans="1:41" ht="12.5" hidden="1">
      <c r="A691" s="28" t="s">
        <v>2757</v>
      </c>
      <c r="B691" s="39">
        <v>45724</v>
      </c>
      <c r="C691" s="29">
        <v>45728</v>
      </c>
      <c r="D691" s="38" t="s">
        <v>41</v>
      </c>
      <c r="E691" s="38" t="s">
        <v>2758</v>
      </c>
      <c r="G691" s="38" t="s">
        <v>43</v>
      </c>
      <c r="H691" s="38">
        <v>12.22</v>
      </c>
      <c r="I691" s="38" t="s">
        <v>44</v>
      </c>
      <c r="J691" s="38" t="s">
        <v>45</v>
      </c>
      <c r="K691" s="38" t="s">
        <v>2759</v>
      </c>
      <c r="L691" s="30" t="s">
        <v>47</v>
      </c>
      <c r="M691" s="38" t="s">
        <v>48</v>
      </c>
      <c r="N691" s="38" t="s">
        <v>48</v>
      </c>
      <c r="O691" s="31" t="s">
        <v>96</v>
      </c>
      <c r="P691" s="28" t="s">
        <v>97</v>
      </c>
      <c r="Q691" s="38" t="s">
        <v>98</v>
      </c>
      <c r="R691" s="38">
        <v>1</v>
      </c>
      <c r="S691" s="38" t="s">
        <v>99</v>
      </c>
      <c r="T691" s="38" t="s">
        <v>53</v>
      </c>
      <c r="U691" s="38" t="s">
        <v>54</v>
      </c>
      <c r="V691" s="38" t="s">
        <v>55</v>
      </c>
      <c r="Y691" s="38">
        <v>82.94</v>
      </c>
      <c r="Z691" s="38">
        <v>1</v>
      </c>
      <c r="AF691" s="38">
        <v>82.94</v>
      </c>
      <c r="AK691" s="14" t="e">
        <f t="shared" si="2"/>
        <v>#DIV/0!</v>
      </c>
      <c r="AO691" s="28"/>
    </row>
    <row r="692" spans="1:41" ht="12.5" hidden="1">
      <c r="A692" s="28" t="s">
        <v>2760</v>
      </c>
      <c r="B692" s="37">
        <v>45727</v>
      </c>
      <c r="C692" s="29">
        <v>45731</v>
      </c>
      <c r="D692" s="38" t="s">
        <v>41</v>
      </c>
      <c r="E692" s="38" t="s">
        <v>2761</v>
      </c>
      <c r="G692" s="38" t="s">
        <v>43</v>
      </c>
      <c r="H692" s="38">
        <v>10.039999999999999</v>
      </c>
      <c r="I692" s="38" t="s">
        <v>44</v>
      </c>
      <c r="J692" s="38" t="s">
        <v>45</v>
      </c>
      <c r="K692" s="38" t="s">
        <v>2762</v>
      </c>
      <c r="L692" s="30" t="s">
        <v>58</v>
      </c>
      <c r="M692" s="38" t="s">
        <v>48</v>
      </c>
      <c r="N692" s="38" t="s">
        <v>48</v>
      </c>
      <c r="O692" s="31" t="s">
        <v>2763</v>
      </c>
      <c r="P692" s="28" t="s">
        <v>2764</v>
      </c>
      <c r="Q692" s="38" t="s">
        <v>2765</v>
      </c>
      <c r="R692" s="38">
        <v>1</v>
      </c>
      <c r="S692" s="38" t="s">
        <v>68</v>
      </c>
      <c r="T692" s="38" t="s">
        <v>53</v>
      </c>
      <c r="U692" s="38" t="s">
        <v>54</v>
      </c>
      <c r="V692" s="38" t="s">
        <v>55</v>
      </c>
      <c r="Y692" s="38">
        <v>71.150000000000006</v>
      </c>
      <c r="Z692" s="38">
        <v>1</v>
      </c>
      <c r="AF692" s="38">
        <v>61.11</v>
      </c>
      <c r="AI692" s="38">
        <v>1</v>
      </c>
      <c r="AJ692" s="38">
        <v>8</v>
      </c>
      <c r="AK692" s="14">
        <f t="shared" si="2"/>
        <v>0.125</v>
      </c>
      <c r="AO692" s="28"/>
    </row>
    <row r="693" spans="1:41" ht="12.5" hidden="1">
      <c r="A693" s="28" t="s">
        <v>2766</v>
      </c>
      <c r="B693" s="37">
        <v>45704</v>
      </c>
      <c r="C693" s="29">
        <v>45723</v>
      </c>
      <c r="D693" s="38" t="s">
        <v>41</v>
      </c>
      <c r="E693" s="38" t="s">
        <v>2767</v>
      </c>
      <c r="G693" s="38" t="s">
        <v>43</v>
      </c>
      <c r="H693" s="38">
        <v>10.4</v>
      </c>
      <c r="I693" s="38" t="s">
        <v>44</v>
      </c>
      <c r="J693" s="38" t="s">
        <v>45</v>
      </c>
      <c r="K693" s="38" t="s">
        <v>2768</v>
      </c>
      <c r="L693" s="30" t="s">
        <v>58</v>
      </c>
      <c r="M693" s="38" t="s">
        <v>48</v>
      </c>
      <c r="N693" s="38" t="s">
        <v>48</v>
      </c>
      <c r="O693" s="31" t="s">
        <v>960</v>
      </c>
      <c r="P693" s="28" t="s">
        <v>961</v>
      </c>
      <c r="Q693" s="38" t="s">
        <v>962</v>
      </c>
      <c r="R693" s="38">
        <v>1</v>
      </c>
      <c r="S693" s="38" t="s">
        <v>75</v>
      </c>
      <c r="T693" s="38" t="s">
        <v>53</v>
      </c>
      <c r="U693" s="38" t="s">
        <v>54</v>
      </c>
      <c r="V693" s="38" t="s">
        <v>55</v>
      </c>
      <c r="Y693" s="38">
        <v>75.89</v>
      </c>
      <c r="Z693" s="38">
        <v>1</v>
      </c>
      <c r="AF693" s="38">
        <v>65.489999999999995</v>
      </c>
      <c r="AI693" s="38">
        <v>1</v>
      </c>
      <c r="AJ693" s="38">
        <v>4</v>
      </c>
      <c r="AK693" s="14">
        <f t="shared" si="2"/>
        <v>0.25</v>
      </c>
      <c r="AO693" s="28"/>
    </row>
    <row r="694" spans="1:41" ht="12.5" hidden="1">
      <c r="A694" s="28" t="s">
        <v>2769</v>
      </c>
      <c r="B694" s="37">
        <v>45732</v>
      </c>
      <c r="C694" s="29">
        <v>45747</v>
      </c>
      <c r="D694" s="38" t="s">
        <v>41</v>
      </c>
      <c r="E694" s="38" t="s">
        <v>2770</v>
      </c>
      <c r="G694" s="38" t="s">
        <v>43</v>
      </c>
      <c r="H694" s="38">
        <v>10.68</v>
      </c>
      <c r="I694" s="38" t="s">
        <v>44</v>
      </c>
      <c r="J694" s="38" t="s">
        <v>45</v>
      </c>
      <c r="K694" s="38" t="s">
        <v>2771</v>
      </c>
      <c r="L694" s="30" t="s">
        <v>58</v>
      </c>
      <c r="M694" s="38" t="s">
        <v>48</v>
      </c>
      <c r="N694" s="38" t="s">
        <v>48</v>
      </c>
      <c r="O694" s="31" t="s">
        <v>972</v>
      </c>
      <c r="P694" s="28" t="s">
        <v>973</v>
      </c>
      <c r="Q694" s="38" t="s">
        <v>2772</v>
      </c>
      <c r="R694" s="38">
        <v>1</v>
      </c>
      <c r="S694" s="38" t="s">
        <v>75</v>
      </c>
      <c r="T694" s="38" t="s">
        <v>53</v>
      </c>
      <c r="U694" s="38" t="s">
        <v>54</v>
      </c>
      <c r="V694" s="38" t="s">
        <v>61</v>
      </c>
      <c r="Y694" s="38">
        <v>58.34</v>
      </c>
      <c r="Z694" s="38">
        <v>1</v>
      </c>
      <c r="AI694" s="38">
        <v>1</v>
      </c>
      <c r="AJ694" s="38">
        <v>33</v>
      </c>
      <c r="AK694" s="14">
        <f t="shared" si="2"/>
        <v>3.0303030303030304E-2</v>
      </c>
      <c r="AO694" s="28"/>
    </row>
    <row r="695" spans="1:41" ht="12.5" hidden="1">
      <c r="A695" s="28" t="s">
        <v>2773</v>
      </c>
      <c r="B695" s="39">
        <v>45723</v>
      </c>
      <c r="C695" s="29">
        <v>45731</v>
      </c>
      <c r="D695" s="38" t="s">
        <v>41</v>
      </c>
      <c r="E695" s="38" t="s">
        <v>2774</v>
      </c>
      <c r="G695" s="38" t="s">
        <v>43</v>
      </c>
      <c r="H695" s="38">
        <v>10.039999999999999</v>
      </c>
      <c r="I695" s="38" t="s">
        <v>44</v>
      </c>
      <c r="J695" s="38" t="s">
        <v>45</v>
      </c>
      <c r="K695" s="38" t="s">
        <v>2775</v>
      </c>
      <c r="L695" s="30" t="s">
        <v>47</v>
      </c>
      <c r="M695" s="38" t="s">
        <v>48</v>
      </c>
      <c r="N695" s="38" t="s">
        <v>48</v>
      </c>
      <c r="O695" s="31" t="s">
        <v>115</v>
      </c>
      <c r="P695" s="28" t="s">
        <v>116</v>
      </c>
      <c r="Q695" s="38" t="s">
        <v>117</v>
      </c>
      <c r="R695" s="38">
        <v>1</v>
      </c>
      <c r="S695" s="38" t="s">
        <v>92</v>
      </c>
      <c r="T695" s="38" t="s">
        <v>53</v>
      </c>
      <c r="U695" s="38" t="s">
        <v>54</v>
      </c>
      <c r="V695" s="38" t="s">
        <v>55</v>
      </c>
      <c r="Y695" s="38">
        <v>55.42</v>
      </c>
      <c r="Z695" s="38">
        <v>1</v>
      </c>
      <c r="AF695" s="38">
        <v>55.42</v>
      </c>
      <c r="AI695" s="38">
        <v>2</v>
      </c>
      <c r="AJ695" s="38">
        <v>5</v>
      </c>
      <c r="AK695" s="14">
        <f t="shared" si="2"/>
        <v>0.4</v>
      </c>
      <c r="AO695" s="28"/>
    </row>
    <row r="696" spans="1:41" ht="12.5" hidden="1">
      <c r="A696" s="28" t="s">
        <v>2776</v>
      </c>
      <c r="B696" s="39">
        <v>45724</v>
      </c>
      <c r="C696" s="29">
        <v>45731</v>
      </c>
      <c r="D696" s="38" t="s">
        <v>41</v>
      </c>
      <c r="E696" s="38" t="s">
        <v>2777</v>
      </c>
      <c r="G696" s="38" t="s">
        <v>43</v>
      </c>
      <c r="H696" s="38">
        <v>10.039999999999999</v>
      </c>
      <c r="I696" s="38" t="s">
        <v>44</v>
      </c>
      <c r="J696" s="38" t="s">
        <v>45</v>
      </c>
      <c r="K696" s="38" t="s">
        <v>2778</v>
      </c>
      <c r="L696" s="30" t="s">
        <v>47</v>
      </c>
      <c r="M696" s="38" t="s">
        <v>48</v>
      </c>
      <c r="N696" s="38" t="s">
        <v>48</v>
      </c>
      <c r="O696" s="31" t="s">
        <v>115</v>
      </c>
      <c r="P696" s="28" t="s">
        <v>116</v>
      </c>
      <c r="Q696" s="38" t="s">
        <v>117</v>
      </c>
      <c r="R696" s="38">
        <v>1</v>
      </c>
      <c r="S696" s="38" t="s">
        <v>99</v>
      </c>
      <c r="T696" s="38" t="s">
        <v>53</v>
      </c>
      <c r="U696" s="38" t="s">
        <v>54</v>
      </c>
      <c r="V696" s="38" t="s">
        <v>55</v>
      </c>
      <c r="Y696" s="38">
        <v>53.51</v>
      </c>
      <c r="Z696" s="38">
        <v>1</v>
      </c>
      <c r="AF696" s="38">
        <v>53.51</v>
      </c>
      <c r="AK696" s="14" t="e">
        <f t="shared" si="2"/>
        <v>#DIV/0!</v>
      </c>
      <c r="AO696" s="28"/>
    </row>
    <row r="697" spans="1:41" ht="12.5" hidden="1">
      <c r="A697" s="28" t="s">
        <v>2779</v>
      </c>
      <c r="B697" s="37">
        <v>45729</v>
      </c>
      <c r="C697" s="29">
        <v>45739</v>
      </c>
      <c r="D697" s="38" t="s">
        <v>41</v>
      </c>
      <c r="E697" s="38" t="s">
        <v>2780</v>
      </c>
      <c r="G697" s="38" t="s">
        <v>43</v>
      </c>
      <c r="H697" s="38">
        <v>10.039999999999999</v>
      </c>
      <c r="I697" s="38" t="s">
        <v>44</v>
      </c>
      <c r="J697" s="38" t="s">
        <v>45</v>
      </c>
      <c r="K697" s="38" t="s">
        <v>2781</v>
      </c>
      <c r="L697" s="30" t="s">
        <v>47</v>
      </c>
      <c r="M697" s="38" t="s">
        <v>48</v>
      </c>
      <c r="N697" s="38" t="s">
        <v>48</v>
      </c>
      <c r="O697" s="31" t="s">
        <v>121</v>
      </c>
      <c r="P697" s="28" t="s">
        <v>122</v>
      </c>
      <c r="Q697" s="38" t="s">
        <v>123</v>
      </c>
      <c r="R697" s="38">
        <v>1</v>
      </c>
      <c r="S697" s="38" t="s">
        <v>421</v>
      </c>
      <c r="T697" s="38" t="s">
        <v>53</v>
      </c>
      <c r="U697" s="38" t="s">
        <v>54</v>
      </c>
      <c r="V697" s="38" t="s">
        <v>560</v>
      </c>
      <c r="Y697" s="38">
        <v>72.760000000000005</v>
      </c>
      <c r="Z697" s="38">
        <v>1</v>
      </c>
      <c r="AI697" s="38">
        <v>1</v>
      </c>
      <c r="AJ697" s="38">
        <v>14</v>
      </c>
      <c r="AK697" s="14">
        <f t="shared" si="2"/>
        <v>7.1428571428571425E-2</v>
      </c>
      <c r="AO697" s="28"/>
    </row>
    <row r="698" spans="1:41" ht="12.5" hidden="1">
      <c r="A698" s="28" t="s">
        <v>2782</v>
      </c>
      <c r="B698" s="37">
        <v>45736</v>
      </c>
      <c r="C698" s="29">
        <v>45744</v>
      </c>
      <c r="D698" s="38" t="s">
        <v>41</v>
      </c>
      <c r="E698" s="38" t="s">
        <v>2783</v>
      </c>
      <c r="G698" s="38" t="s">
        <v>43</v>
      </c>
      <c r="H698" s="38">
        <v>10.039999999999999</v>
      </c>
      <c r="I698" s="38" t="s">
        <v>44</v>
      </c>
      <c r="J698" s="38" t="s">
        <v>45</v>
      </c>
      <c r="K698" s="38" t="s">
        <v>2784</v>
      </c>
      <c r="L698" s="30" t="s">
        <v>47</v>
      </c>
      <c r="M698" s="38" t="s">
        <v>48</v>
      </c>
      <c r="N698" s="38" t="s">
        <v>48</v>
      </c>
      <c r="O698" s="31" t="s">
        <v>127</v>
      </c>
      <c r="P698" s="28" t="s">
        <v>128</v>
      </c>
      <c r="Q698" s="38" t="s">
        <v>1749</v>
      </c>
      <c r="R698" s="38">
        <v>1</v>
      </c>
      <c r="S698" s="38" t="s">
        <v>52</v>
      </c>
      <c r="T698" s="38" t="s">
        <v>53</v>
      </c>
      <c r="U698" s="38" t="s">
        <v>54</v>
      </c>
      <c r="V698" s="38" t="s">
        <v>55</v>
      </c>
      <c r="Y698" s="38">
        <v>72.42</v>
      </c>
      <c r="Z698" s="38">
        <v>1</v>
      </c>
      <c r="AF698" s="38">
        <v>72.42</v>
      </c>
      <c r="AI698" s="38">
        <v>2</v>
      </c>
      <c r="AJ698" s="38">
        <v>12</v>
      </c>
      <c r="AK698" s="14">
        <f t="shared" si="2"/>
        <v>0.16666666666666666</v>
      </c>
      <c r="AO698" s="28"/>
    </row>
    <row r="699" spans="1:41" ht="12.5" hidden="1">
      <c r="A699" s="28" t="s">
        <v>2785</v>
      </c>
      <c r="B699" s="39">
        <v>45725</v>
      </c>
      <c r="C699" s="29">
        <v>45734</v>
      </c>
      <c r="D699" s="38" t="s">
        <v>41</v>
      </c>
      <c r="E699" s="38" t="s">
        <v>2786</v>
      </c>
      <c r="G699" s="38" t="s">
        <v>43</v>
      </c>
      <c r="H699" s="38">
        <v>10.039999999999999</v>
      </c>
      <c r="I699" s="38" t="s">
        <v>44</v>
      </c>
      <c r="J699" s="38" t="s">
        <v>45</v>
      </c>
      <c r="K699" s="38" t="s">
        <v>2787</v>
      </c>
      <c r="L699" s="30" t="s">
        <v>58</v>
      </c>
      <c r="M699" s="38" t="s">
        <v>48</v>
      </c>
      <c r="N699" s="38" t="s">
        <v>48</v>
      </c>
      <c r="O699" s="31" t="s">
        <v>127</v>
      </c>
      <c r="P699" s="28" t="s">
        <v>128</v>
      </c>
      <c r="Q699" s="38" t="s">
        <v>1749</v>
      </c>
      <c r="R699" s="38">
        <v>1</v>
      </c>
      <c r="S699" s="38" t="s">
        <v>75</v>
      </c>
      <c r="T699" s="38" t="s">
        <v>53</v>
      </c>
      <c r="U699" s="38" t="s">
        <v>54</v>
      </c>
      <c r="V699" s="38" t="s">
        <v>61</v>
      </c>
      <c r="Y699" s="38">
        <v>72.59</v>
      </c>
      <c r="Z699" s="38">
        <v>1</v>
      </c>
      <c r="AK699" s="14" t="e">
        <f t="shared" si="2"/>
        <v>#DIV/0!</v>
      </c>
      <c r="AO699" s="28"/>
    </row>
    <row r="700" spans="1:41" ht="12.5" hidden="1">
      <c r="A700" s="28" t="s">
        <v>2788</v>
      </c>
      <c r="B700" s="37">
        <v>45739</v>
      </c>
      <c r="C700" s="29">
        <v>45742</v>
      </c>
      <c r="D700" s="38" t="s">
        <v>41</v>
      </c>
      <c r="E700" s="38" t="s">
        <v>2789</v>
      </c>
      <c r="G700" s="38" t="s">
        <v>43</v>
      </c>
      <c r="H700" s="38">
        <v>11.77</v>
      </c>
      <c r="I700" s="38" t="s">
        <v>44</v>
      </c>
      <c r="J700" s="38" t="s">
        <v>45</v>
      </c>
      <c r="K700" s="38" t="s">
        <v>2790</v>
      </c>
      <c r="L700" s="30" t="s">
        <v>58</v>
      </c>
      <c r="M700" s="38" t="s">
        <v>48</v>
      </c>
      <c r="N700" s="38" t="s">
        <v>48</v>
      </c>
      <c r="O700" s="31" t="s">
        <v>160</v>
      </c>
      <c r="P700" s="28" t="s">
        <v>161</v>
      </c>
      <c r="Q700" s="38" t="s">
        <v>2143</v>
      </c>
      <c r="R700" s="38">
        <v>1</v>
      </c>
      <c r="S700" s="38" t="s">
        <v>68</v>
      </c>
      <c r="T700" s="38" t="s">
        <v>53</v>
      </c>
      <c r="U700" s="38" t="s">
        <v>54</v>
      </c>
      <c r="V700" s="38" t="s">
        <v>55</v>
      </c>
      <c r="Y700" s="38">
        <v>54.27</v>
      </c>
      <c r="Z700" s="38">
        <v>1</v>
      </c>
      <c r="AF700" s="38">
        <v>42.5</v>
      </c>
      <c r="AI700" s="38">
        <v>5</v>
      </c>
      <c r="AJ700" s="38">
        <v>27</v>
      </c>
      <c r="AK700" s="14">
        <f t="shared" si="2"/>
        <v>0.18518518518518517</v>
      </c>
      <c r="AO700" s="28"/>
    </row>
    <row r="701" spans="1:41" ht="12.5" hidden="1">
      <c r="A701" s="28" t="s">
        <v>2791</v>
      </c>
      <c r="B701" s="37">
        <v>45728</v>
      </c>
      <c r="C701" s="29">
        <v>45738</v>
      </c>
      <c r="D701" s="38" t="s">
        <v>41</v>
      </c>
      <c r="E701" s="38" t="s">
        <v>2792</v>
      </c>
      <c r="G701" s="38" t="s">
        <v>43</v>
      </c>
      <c r="H701" s="38">
        <v>11.77</v>
      </c>
      <c r="I701" s="38" t="s">
        <v>44</v>
      </c>
      <c r="J701" s="38" t="s">
        <v>45</v>
      </c>
      <c r="K701" s="38" t="s">
        <v>2793</v>
      </c>
      <c r="L701" s="30" t="s">
        <v>47</v>
      </c>
      <c r="M701" s="38" t="s">
        <v>48</v>
      </c>
      <c r="N701" s="38" t="s">
        <v>48</v>
      </c>
      <c r="O701" s="31" t="s">
        <v>160</v>
      </c>
      <c r="P701" s="28" t="s">
        <v>161</v>
      </c>
      <c r="Q701" s="38" t="s">
        <v>2143</v>
      </c>
      <c r="R701" s="38">
        <v>1</v>
      </c>
      <c r="S701" s="38" t="s">
        <v>92</v>
      </c>
      <c r="T701" s="38" t="s">
        <v>53</v>
      </c>
      <c r="U701" s="38" t="s">
        <v>54</v>
      </c>
      <c r="V701" s="38" t="s">
        <v>55</v>
      </c>
      <c r="Y701" s="38">
        <v>55.42</v>
      </c>
      <c r="Z701" s="38">
        <v>1</v>
      </c>
      <c r="AF701" s="38">
        <v>55.42</v>
      </c>
      <c r="AK701" s="14" t="e">
        <f t="shared" si="2"/>
        <v>#DIV/0!</v>
      </c>
      <c r="AO701" s="28"/>
    </row>
    <row r="702" spans="1:41" ht="12.5" hidden="1">
      <c r="A702" s="28" t="s">
        <v>2794</v>
      </c>
      <c r="B702" s="37">
        <v>45713</v>
      </c>
      <c r="C702" s="29">
        <v>45737</v>
      </c>
      <c r="D702" s="38" t="s">
        <v>41</v>
      </c>
      <c r="E702" s="38" t="s">
        <v>2795</v>
      </c>
      <c r="G702" s="38" t="s">
        <v>43</v>
      </c>
      <c r="H702" s="38">
        <v>11.77</v>
      </c>
      <c r="I702" s="38" t="s">
        <v>44</v>
      </c>
      <c r="J702" s="38" t="s">
        <v>45</v>
      </c>
      <c r="K702" s="38" t="s">
        <v>2796</v>
      </c>
      <c r="L702" s="30" t="s">
        <v>58</v>
      </c>
      <c r="M702" s="38" t="s">
        <v>48</v>
      </c>
      <c r="N702" s="38" t="s">
        <v>48</v>
      </c>
      <c r="O702" s="31" t="s">
        <v>160</v>
      </c>
      <c r="P702" s="28" t="s">
        <v>161</v>
      </c>
      <c r="Q702" s="38" t="s">
        <v>2143</v>
      </c>
      <c r="R702" s="38">
        <v>1</v>
      </c>
      <c r="S702" s="38" t="s">
        <v>75</v>
      </c>
      <c r="T702" s="38" t="s">
        <v>53</v>
      </c>
      <c r="U702" s="38" t="s">
        <v>54</v>
      </c>
      <c r="V702" s="38" t="s">
        <v>61</v>
      </c>
      <c r="Y702" s="38">
        <v>56.11</v>
      </c>
      <c r="Z702" s="38">
        <v>1</v>
      </c>
      <c r="AK702" s="14" t="e">
        <f t="shared" si="2"/>
        <v>#DIV/0!</v>
      </c>
      <c r="AO702" s="28"/>
    </row>
    <row r="703" spans="1:41" ht="12.5" hidden="1">
      <c r="A703" s="28" t="s">
        <v>2797</v>
      </c>
      <c r="B703" s="37">
        <v>45732</v>
      </c>
      <c r="C703" s="29">
        <v>45737</v>
      </c>
      <c r="D703" s="38" t="s">
        <v>41</v>
      </c>
      <c r="E703" s="38" t="s">
        <v>2798</v>
      </c>
      <c r="G703" s="38" t="s">
        <v>43</v>
      </c>
      <c r="H703" s="38">
        <v>11.77</v>
      </c>
      <c r="I703" s="38" t="s">
        <v>44</v>
      </c>
      <c r="J703" s="38" t="s">
        <v>45</v>
      </c>
      <c r="K703" s="38" t="s">
        <v>2799</v>
      </c>
      <c r="L703" s="30" t="s">
        <v>58</v>
      </c>
      <c r="M703" s="38" t="s">
        <v>48</v>
      </c>
      <c r="N703" s="38" t="s">
        <v>48</v>
      </c>
      <c r="O703" s="31" t="s">
        <v>160</v>
      </c>
      <c r="P703" s="28" t="s">
        <v>161</v>
      </c>
      <c r="Q703" s="38" t="s">
        <v>2143</v>
      </c>
      <c r="R703" s="38">
        <v>1</v>
      </c>
      <c r="S703" s="38" t="s">
        <v>75</v>
      </c>
      <c r="T703" s="38" t="s">
        <v>53</v>
      </c>
      <c r="U703" s="38" t="s">
        <v>54</v>
      </c>
      <c r="V703" s="38" t="s">
        <v>61</v>
      </c>
      <c r="Y703" s="38">
        <v>54.47</v>
      </c>
      <c r="Z703" s="38">
        <v>1</v>
      </c>
      <c r="AK703" s="14" t="e">
        <f t="shared" si="2"/>
        <v>#DIV/0!</v>
      </c>
      <c r="AO703" s="28"/>
    </row>
    <row r="704" spans="1:41" ht="12.5" hidden="1">
      <c r="A704" s="28" t="s">
        <v>2800</v>
      </c>
      <c r="B704" s="39">
        <v>45724</v>
      </c>
      <c r="C704" s="29">
        <v>45731</v>
      </c>
      <c r="D704" s="38" t="s">
        <v>41</v>
      </c>
      <c r="E704" s="38" t="s">
        <v>2801</v>
      </c>
      <c r="G704" s="38" t="s">
        <v>43</v>
      </c>
      <c r="H704" s="38">
        <v>11.77</v>
      </c>
      <c r="I704" s="38" t="s">
        <v>44</v>
      </c>
      <c r="J704" s="38" t="s">
        <v>45</v>
      </c>
      <c r="K704" s="38" t="s">
        <v>2802</v>
      </c>
      <c r="L704" s="30" t="s">
        <v>47</v>
      </c>
      <c r="M704" s="38" t="s">
        <v>48</v>
      </c>
      <c r="N704" s="38" t="s">
        <v>48</v>
      </c>
      <c r="O704" s="31" t="s">
        <v>160</v>
      </c>
      <c r="P704" s="28" t="s">
        <v>161</v>
      </c>
      <c r="Q704" s="38" t="s">
        <v>2143</v>
      </c>
      <c r="R704" s="38">
        <v>1</v>
      </c>
      <c r="S704" s="38" t="s">
        <v>99</v>
      </c>
      <c r="T704" s="38" t="s">
        <v>53</v>
      </c>
      <c r="U704" s="38" t="s">
        <v>54</v>
      </c>
      <c r="V704" s="38" t="s">
        <v>61</v>
      </c>
      <c r="Y704" s="38">
        <v>53.96</v>
      </c>
      <c r="Z704" s="38">
        <v>1</v>
      </c>
      <c r="AK704" s="14" t="e">
        <f t="shared" si="2"/>
        <v>#DIV/0!</v>
      </c>
      <c r="AO704" s="28"/>
    </row>
    <row r="705" spans="1:41" ht="12.5" hidden="1">
      <c r="A705" s="28" t="s">
        <v>2803</v>
      </c>
      <c r="B705" s="37">
        <v>45726</v>
      </c>
      <c r="C705" s="29">
        <v>45740</v>
      </c>
      <c r="D705" s="38" t="s">
        <v>41</v>
      </c>
      <c r="E705" s="38" t="s">
        <v>2804</v>
      </c>
      <c r="G705" s="38" t="s">
        <v>43</v>
      </c>
      <c r="H705" s="38">
        <v>10.4</v>
      </c>
      <c r="I705" s="38" t="s">
        <v>44</v>
      </c>
      <c r="J705" s="38" t="s">
        <v>45</v>
      </c>
      <c r="K705" s="38" t="s">
        <v>2805</v>
      </c>
      <c r="L705" s="30" t="s">
        <v>58</v>
      </c>
      <c r="M705" s="38" t="s">
        <v>48</v>
      </c>
      <c r="N705" s="38" t="s">
        <v>48</v>
      </c>
      <c r="O705" s="31" t="s">
        <v>2806</v>
      </c>
      <c r="P705" s="28" t="s">
        <v>2807</v>
      </c>
      <c r="Q705" s="38" t="s">
        <v>2808</v>
      </c>
      <c r="R705" s="38">
        <v>1</v>
      </c>
      <c r="S705" s="38" t="s">
        <v>75</v>
      </c>
      <c r="T705" s="38" t="s">
        <v>53</v>
      </c>
      <c r="U705" s="38" t="s">
        <v>54</v>
      </c>
      <c r="V705" s="38" t="s">
        <v>61</v>
      </c>
      <c r="Y705" s="38">
        <v>82</v>
      </c>
      <c r="Z705" s="38">
        <v>1</v>
      </c>
      <c r="AI705" s="38">
        <v>1</v>
      </c>
      <c r="AJ705" s="38">
        <v>8</v>
      </c>
      <c r="AK705" s="14">
        <f t="shared" si="2"/>
        <v>0.125</v>
      </c>
      <c r="AO705" s="28"/>
    </row>
    <row r="706" spans="1:41" ht="12.5" hidden="1">
      <c r="A706" s="28" t="s">
        <v>2809</v>
      </c>
      <c r="B706" s="37">
        <v>45729</v>
      </c>
      <c r="C706" s="29">
        <v>45737</v>
      </c>
      <c r="D706" s="38" t="s">
        <v>41</v>
      </c>
      <c r="E706" s="38" t="s">
        <v>2810</v>
      </c>
      <c r="G706" s="38" t="s">
        <v>43</v>
      </c>
      <c r="H706" s="38">
        <v>10.039999999999999</v>
      </c>
      <c r="I706" s="38" t="s">
        <v>44</v>
      </c>
      <c r="J706" s="38" t="s">
        <v>45</v>
      </c>
      <c r="K706" s="38" t="s">
        <v>2811</v>
      </c>
      <c r="L706" s="30" t="s">
        <v>47</v>
      </c>
      <c r="M706" s="38" t="s">
        <v>48</v>
      </c>
      <c r="N706" s="38" t="s">
        <v>48</v>
      </c>
      <c r="O706" s="31" t="s">
        <v>2812</v>
      </c>
      <c r="P706" s="28" t="s">
        <v>2813</v>
      </c>
      <c r="Q706" s="38" t="s">
        <v>2814</v>
      </c>
      <c r="R706" s="38">
        <v>1</v>
      </c>
      <c r="S706" s="38" t="s">
        <v>421</v>
      </c>
      <c r="T706" s="38" t="s">
        <v>53</v>
      </c>
      <c r="U706" s="38" t="s">
        <v>54</v>
      </c>
      <c r="V706" s="38" t="s">
        <v>560</v>
      </c>
      <c r="Y706" s="38">
        <v>68.09</v>
      </c>
      <c r="Z706" s="38">
        <v>1</v>
      </c>
      <c r="AF706" s="38">
        <v>68.09</v>
      </c>
      <c r="AI706" s="38">
        <v>1</v>
      </c>
      <c r="AJ706" s="38">
        <v>10</v>
      </c>
      <c r="AK706" s="14">
        <f t="shared" si="2"/>
        <v>0.1</v>
      </c>
      <c r="AO706" s="28"/>
    </row>
    <row r="707" spans="1:41" ht="12.5" hidden="1">
      <c r="A707" s="28" t="s">
        <v>2815</v>
      </c>
      <c r="B707" s="37">
        <v>45742</v>
      </c>
      <c r="C707" s="29">
        <v>45747</v>
      </c>
      <c r="D707" s="38" t="s">
        <v>41</v>
      </c>
      <c r="E707" s="38" t="s">
        <v>2816</v>
      </c>
      <c r="G707" s="38" t="s">
        <v>43</v>
      </c>
      <c r="H707" s="38">
        <v>13.59</v>
      </c>
      <c r="I707" s="38" t="s">
        <v>44</v>
      </c>
      <c r="J707" s="38" t="s">
        <v>45</v>
      </c>
      <c r="K707" s="38" t="s">
        <v>2817</v>
      </c>
      <c r="L707" s="30" t="s">
        <v>58</v>
      </c>
      <c r="M707" s="38" t="s">
        <v>48</v>
      </c>
      <c r="N707" s="38" t="s">
        <v>48</v>
      </c>
      <c r="O707" s="31" t="s">
        <v>219</v>
      </c>
      <c r="P707" s="28" t="s">
        <v>220</v>
      </c>
      <c r="Q707" s="38" t="s">
        <v>221</v>
      </c>
      <c r="R707" s="38">
        <v>1</v>
      </c>
      <c r="S707" s="38" t="s">
        <v>68</v>
      </c>
      <c r="T707" s="38" t="s">
        <v>53</v>
      </c>
      <c r="U707" s="38" t="s">
        <v>54</v>
      </c>
      <c r="V707" s="38" t="s">
        <v>61</v>
      </c>
      <c r="Y707" s="38">
        <v>80.77</v>
      </c>
      <c r="Z707" s="38">
        <v>1</v>
      </c>
      <c r="AI707" s="38">
        <v>8</v>
      </c>
      <c r="AJ707" s="38">
        <v>61</v>
      </c>
      <c r="AK707" s="14">
        <f t="shared" si="2"/>
        <v>0.13114754098360656</v>
      </c>
      <c r="AO707" s="28"/>
    </row>
    <row r="708" spans="1:41" ht="12.5" hidden="1">
      <c r="A708" s="28" t="s">
        <v>2818</v>
      </c>
      <c r="B708" s="37">
        <v>45736</v>
      </c>
      <c r="C708" s="29">
        <v>45746</v>
      </c>
      <c r="D708" s="38" t="s">
        <v>41</v>
      </c>
      <c r="E708" s="38" t="s">
        <v>2819</v>
      </c>
      <c r="G708" s="38" t="s">
        <v>43</v>
      </c>
      <c r="H708" s="38">
        <v>13.59</v>
      </c>
      <c r="I708" s="38" t="s">
        <v>44</v>
      </c>
      <c r="J708" s="38" t="s">
        <v>45</v>
      </c>
      <c r="K708" s="38" t="s">
        <v>2820</v>
      </c>
      <c r="L708" s="30" t="s">
        <v>47</v>
      </c>
      <c r="M708" s="38" t="s">
        <v>48</v>
      </c>
      <c r="N708" s="38" t="s">
        <v>48</v>
      </c>
      <c r="O708" s="31" t="s">
        <v>219</v>
      </c>
      <c r="P708" s="28" t="s">
        <v>220</v>
      </c>
      <c r="Q708" s="38" t="s">
        <v>221</v>
      </c>
      <c r="R708" s="38">
        <v>1</v>
      </c>
      <c r="S708" s="38" t="s">
        <v>92</v>
      </c>
      <c r="T708" s="38" t="s">
        <v>53</v>
      </c>
      <c r="U708" s="38" t="s">
        <v>54</v>
      </c>
      <c r="V708" s="38" t="s">
        <v>61</v>
      </c>
      <c r="Y708" s="38">
        <v>84.4</v>
      </c>
      <c r="Z708" s="38">
        <v>1</v>
      </c>
      <c r="AK708" s="14" t="e">
        <f t="shared" si="2"/>
        <v>#DIV/0!</v>
      </c>
      <c r="AO708" s="28"/>
    </row>
    <row r="709" spans="1:41" ht="12.5" hidden="1">
      <c r="A709" s="28" t="s">
        <v>2821</v>
      </c>
      <c r="B709" s="37">
        <v>45739</v>
      </c>
      <c r="C709" s="29">
        <v>45745</v>
      </c>
      <c r="D709" s="38" t="s">
        <v>41</v>
      </c>
      <c r="E709" s="38" t="s">
        <v>2822</v>
      </c>
      <c r="G709" s="38" t="s">
        <v>43</v>
      </c>
      <c r="H709" s="38">
        <v>13.59</v>
      </c>
      <c r="I709" s="38" t="s">
        <v>44</v>
      </c>
      <c r="J709" s="38" t="s">
        <v>45</v>
      </c>
      <c r="K709" s="38" t="s">
        <v>2823</v>
      </c>
      <c r="L709" s="30" t="s">
        <v>58</v>
      </c>
      <c r="M709" s="38" t="s">
        <v>48</v>
      </c>
      <c r="N709" s="38" t="s">
        <v>48</v>
      </c>
      <c r="O709" s="31" t="s">
        <v>219</v>
      </c>
      <c r="P709" s="28" t="s">
        <v>220</v>
      </c>
      <c r="Q709" s="38" t="s">
        <v>221</v>
      </c>
      <c r="R709" s="38">
        <v>1</v>
      </c>
      <c r="S709" s="38" t="s">
        <v>2716</v>
      </c>
      <c r="T709" s="38" t="s">
        <v>53</v>
      </c>
      <c r="U709" s="38" t="s">
        <v>54</v>
      </c>
      <c r="V709" s="38" t="s">
        <v>61</v>
      </c>
      <c r="Y709" s="38">
        <v>82.47</v>
      </c>
      <c r="Z709" s="38">
        <v>1</v>
      </c>
      <c r="AK709" s="14" t="e">
        <f t="shared" si="2"/>
        <v>#DIV/0!</v>
      </c>
      <c r="AO709" s="28"/>
    </row>
    <row r="710" spans="1:41" ht="12.5" hidden="1">
      <c r="A710" s="28" t="s">
        <v>2824</v>
      </c>
      <c r="B710" s="39">
        <v>45725</v>
      </c>
      <c r="C710" s="29">
        <v>45743</v>
      </c>
      <c r="D710" s="38" t="s">
        <v>41</v>
      </c>
      <c r="E710" s="38" t="s">
        <v>2825</v>
      </c>
      <c r="G710" s="38" t="s">
        <v>43</v>
      </c>
      <c r="H710" s="38">
        <v>13.59</v>
      </c>
      <c r="I710" s="38" t="s">
        <v>44</v>
      </c>
      <c r="J710" s="38" t="s">
        <v>45</v>
      </c>
      <c r="K710" s="38" t="s">
        <v>2826</v>
      </c>
      <c r="L710" s="30" t="s">
        <v>58</v>
      </c>
      <c r="M710" s="38" t="s">
        <v>48</v>
      </c>
      <c r="N710" s="38" t="s">
        <v>48</v>
      </c>
      <c r="O710" s="31" t="s">
        <v>219</v>
      </c>
      <c r="P710" s="28" t="s">
        <v>220</v>
      </c>
      <c r="Q710" s="38" t="s">
        <v>221</v>
      </c>
      <c r="R710" s="38">
        <v>1</v>
      </c>
      <c r="S710" s="38" t="s">
        <v>306</v>
      </c>
      <c r="T710" s="38" t="s">
        <v>53</v>
      </c>
      <c r="U710" s="38" t="s">
        <v>54</v>
      </c>
      <c r="V710" s="38" t="s">
        <v>61</v>
      </c>
      <c r="Y710" s="38">
        <v>82.36</v>
      </c>
      <c r="Z710" s="38">
        <v>1</v>
      </c>
      <c r="AK710" s="14" t="e">
        <f t="shared" si="2"/>
        <v>#DIV/0!</v>
      </c>
      <c r="AO710" s="28"/>
    </row>
    <row r="711" spans="1:41" ht="12.5" hidden="1">
      <c r="A711" s="28" t="s">
        <v>2827</v>
      </c>
      <c r="B711" s="37">
        <v>45728</v>
      </c>
      <c r="C711" s="29">
        <v>45740</v>
      </c>
      <c r="D711" s="38" t="s">
        <v>41</v>
      </c>
      <c r="E711" s="38" t="s">
        <v>2828</v>
      </c>
      <c r="G711" s="38" t="s">
        <v>43</v>
      </c>
      <c r="H711" s="38">
        <v>13.59</v>
      </c>
      <c r="I711" s="38" t="s">
        <v>44</v>
      </c>
      <c r="J711" s="38" t="s">
        <v>45</v>
      </c>
      <c r="K711" s="38" t="s">
        <v>2829</v>
      </c>
      <c r="L711" s="30" t="s">
        <v>47</v>
      </c>
      <c r="M711" s="38" t="s">
        <v>48</v>
      </c>
      <c r="N711" s="38" t="s">
        <v>48</v>
      </c>
      <c r="O711" s="31" t="s">
        <v>219</v>
      </c>
      <c r="P711" s="28" t="s">
        <v>220</v>
      </c>
      <c r="Q711" s="38" t="s">
        <v>221</v>
      </c>
      <c r="R711" s="38">
        <v>1</v>
      </c>
      <c r="S711" s="38" t="s">
        <v>99</v>
      </c>
      <c r="T711" s="38" t="s">
        <v>53</v>
      </c>
      <c r="U711" s="38" t="s">
        <v>54</v>
      </c>
      <c r="V711" s="38" t="s">
        <v>61</v>
      </c>
      <c r="Y711" s="38">
        <v>73.8</v>
      </c>
      <c r="Z711" s="38">
        <v>1</v>
      </c>
      <c r="AK711" s="14" t="e">
        <f t="shared" si="2"/>
        <v>#DIV/0!</v>
      </c>
      <c r="AO711" s="28"/>
    </row>
    <row r="712" spans="1:41" ht="12.5" hidden="1">
      <c r="A712" s="28" t="s">
        <v>2830</v>
      </c>
      <c r="B712" s="37">
        <v>45730</v>
      </c>
      <c r="C712" s="29">
        <v>45737</v>
      </c>
      <c r="D712" s="38" t="s">
        <v>41</v>
      </c>
      <c r="E712" s="38" t="s">
        <v>2831</v>
      </c>
      <c r="G712" s="38" t="s">
        <v>43</v>
      </c>
      <c r="H712" s="38">
        <v>13.59</v>
      </c>
      <c r="I712" s="38" t="s">
        <v>44</v>
      </c>
      <c r="J712" s="38" t="s">
        <v>45</v>
      </c>
      <c r="K712" s="38" t="s">
        <v>2832</v>
      </c>
      <c r="L712" s="30" t="s">
        <v>47</v>
      </c>
      <c r="M712" s="38" t="s">
        <v>48</v>
      </c>
      <c r="N712" s="38" t="s">
        <v>48</v>
      </c>
      <c r="O712" s="31" t="s">
        <v>219</v>
      </c>
      <c r="P712" s="28" t="s">
        <v>220</v>
      </c>
      <c r="Q712" s="38" t="s">
        <v>221</v>
      </c>
      <c r="R712" s="38">
        <v>1</v>
      </c>
      <c r="S712" s="38" t="s">
        <v>99</v>
      </c>
      <c r="T712" s="38" t="s">
        <v>53</v>
      </c>
      <c r="U712" s="38" t="s">
        <v>54</v>
      </c>
      <c r="V712" s="38" t="s">
        <v>55</v>
      </c>
      <c r="Y712" s="38">
        <v>81.13</v>
      </c>
      <c r="Z712" s="38">
        <v>1</v>
      </c>
      <c r="AF712" s="38">
        <v>81.13</v>
      </c>
      <c r="AK712" s="14" t="e">
        <f t="shared" si="2"/>
        <v>#DIV/0!</v>
      </c>
      <c r="AO712" s="28"/>
    </row>
    <row r="713" spans="1:41" ht="12.5" hidden="1">
      <c r="A713" s="28" t="s">
        <v>2833</v>
      </c>
      <c r="B713" s="37">
        <v>45716</v>
      </c>
      <c r="C713" s="29">
        <v>45721</v>
      </c>
      <c r="D713" s="38" t="s">
        <v>41</v>
      </c>
      <c r="E713" s="38" t="s">
        <v>2834</v>
      </c>
      <c r="G713" s="38" t="s">
        <v>43</v>
      </c>
      <c r="H713" s="38">
        <v>13.59</v>
      </c>
      <c r="I713" s="38" t="s">
        <v>44</v>
      </c>
      <c r="J713" s="38" t="s">
        <v>45</v>
      </c>
      <c r="K713" s="38" t="s">
        <v>2835</v>
      </c>
      <c r="L713" s="30" t="s">
        <v>47</v>
      </c>
      <c r="M713" s="38" t="s">
        <v>48</v>
      </c>
      <c r="N713" s="38" t="s">
        <v>48</v>
      </c>
      <c r="O713" s="31" t="s">
        <v>219</v>
      </c>
      <c r="P713" s="28" t="s">
        <v>220</v>
      </c>
      <c r="Q713" s="38" t="s">
        <v>221</v>
      </c>
      <c r="R713" s="38">
        <v>1</v>
      </c>
      <c r="S713" s="38" t="s">
        <v>99</v>
      </c>
      <c r="T713" s="38" t="s">
        <v>53</v>
      </c>
      <c r="U713" s="38" t="s">
        <v>54</v>
      </c>
      <c r="V713" s="38" t="s">
        <v>55</v>
      </c>
      <c r="Y713" s="38">
        <v>81.239999999999995</v>
      </c>
      <c r="Z713" s="38">
        <v>1</v>
      </c>
      <c r="AF713" s="38">
        <v>81.239999999999995</v>
      </c>
      <c r="AK713" s="14" t="e">
        <f t="shared" si="2"/>
        <v>#DIV/0!</v>
      </c>
      <c r="AO713" s="28"/>
    </row>
    <row r="714" spans="1:41" ht="12.5" hidden="1">
      <c r="A714" s="28" t="s">
        <v>2836</v>
      </c>
      <c r="B714" s="37">
        <v>45715</v>
      </c>
      <c r="C714" s="29">
        <v>45721</v>
      </c>
      <c r="D714" s="38" t="s">
        <v>41</v>
      </c>
      <c r="E714" s="38" t="s">
        <v>2837</v>
      </c>
      <c r="G714" s="38" t="s">
        <v>43</v>
      </c>
      <c r="H714" s="38">
        <v>13.56</v>
      </c>
      <c r="I714" s="38" t="s">
        <v>44</v>
      </c>
      <c r="J714" s="38" t="s">
        <v>45</v>
      </c>
      <c r="K714" s="38" t="s">
        <v>2838</v>
      </c>
      <c r="L714" s="30" t="s">
        <v>47</v>
      </c>
      <c r="M714" s="38" t="s">
        <v>48</v>
      </c>
      <c r="N714" s="38" t="s">
        <v>48</v>
      </c>
      <c r="O714" s="31" t="s">
        <v>219</v>
      </c>
      <c r="P714" s="28" t="s">
        <v>220</v>
      </c>
      <c r="Q714" s="38" t="s">
        <v>221</v>
      </c>
      <c r="R714" s="38">
        <v>1</v>
      </c>
      <c r="S714" s="38" t="s">
        <v>52</v>
      </c>
      <c r="T714" s="38" t="s">
        <v>53</v>
      </c>
      <c r="U714" s="38" t="s">
        <v>54</v>
      </c>
      <c r="V714" s="38" t="s">
        <v>55</v>
      </c>
      <c r="Y714" s="38">
        <v>80.77</v>
      </c>
      <c r="Z714" s="38">
        <v>1</v>
      </c>
      <c r="AF714" s="38">
        <v>80.77</v>
      </c>
      <c r="AK714" s="14" t="e">
        <f t="shared" si="2"/>
        <v>#DIV/0!</v>
      </c>
      <c r="AO714" s="28"/>
    </row>
    <row r="715" spans="1:41" ht="12.5" hidden="1">
      <c r="A715" s="28" t="s">
        <v>2839</v>
      </c>
      <c r="B715" s="39">
        <v>45695</v>
      </c>
      <c r="C715" s="29">
        <v>45719</v>
      </c>
      <c r="D715" s="38" t="s">
        <v>41</v>
      </c>
      <c r="G715" s="38" t="s">
        <v>137</v>
      </c>
      <c r="H715" s="38">
        <v>0</v>
      </c>
      <c r="L715" s="30" t="s">
        <v>47</v>
      </c>
      <c r="M715" s="38" t="s">
        <v>48</v>
      </c>
      <c r="N715" s="38" t="s">
        <v>48</v>
      </c>
      <c r="O715" s="31" t="s">
        <v>1803</v>
      </c>
      <c r="P715" s="28" t="s">
        <v>1804</v>
      </c>
      <c r="Q715" s="38" t="s">
        <v>1805</v>
      </c>
      <c r="R715" s="38">
        <v>1</v>
      </c>
      <c r="S715" s="38" t="s">
        <v>92</v>
      </c>
      <c r="T715" s="38" t="s">
        <v>53</v>
      </c>
      <c r="U715" s="38" t="s">
        <v>54</v>
      </c>
      <c r="V715" s="38" t="s">
        <v>141</v>
      </c>
      <c r="Y715" s="38">
        <v>31.78</v>
      </c>
      <c r="Z715" s="38">
        <v>1</v>
      </c>
      <c r="AF715" s="38">
        <v>31.78</v>
      </c>
      <c r="AI715" s="38">
        <v>3</v>
      </c>
      <c r="AK715" s="14" t="e">
        <f t="shared" si="2"/>
        <v>#DIV/0!</v>
      </c>
      <c r="AO715" s="28"/>
    </row>
    <row r="716" spans="1:41" ht="12.5" hidden="1">
      <c r="A716" s="28" t="s">
        <v>2840</v>
      </c>
      <c r="B716" s="39">
        <v>45691</v>
      </c>
      <c r="C716" s="29">
        <v>45719</v>
      </c>
      <c r="D716" s="38" t="s">
        <v>41</v>
      </c>
      <c r="G716" s="38" t="s">
        <v>137</v>
      </c>
      <c r="H716" s="38">
        <v>0</v>
      </c>
      <c r="L716" s="30" t="s">
        <v>58</v>
      </c>
      <c r="M716" s="38" t="s">
        <v>48</v>
      </c>
      <c r="N716" s="38" t="s">
        <v>48</v>
      </c>
      <c r="O716" s="31" t="s">
        <v>1803</v>
      </c>
      <c r="P716" s="28" t="s">
        <v>1804</v>
      </c>
      <c r="Q716" s="38" t="s">
        <v>1805</v>
      </c>
      <c r="R716" s="38">
        <v>1</v>
      </c>
      <c r="S716" s="38" t="s">
        <v>68</v>
      </c>
      <c r="T716" s="38" t="s">
        <v>53</v>
      </c>
      <c r="U716" s="38" t="s">
        <v>54</v>
      </c>
      <c r="V716" s="38" t="s">
        <v>141</v>
      </c>
      <c r="Y716" s="38">
        <v>65.14</v>
      </c>
      <c r="Z716" s="38">
        <v>2</v>
      </c>
      <c r="AF716" s="38">
        <v>32.57</v>
      </c>
      <c r="AK716" s="14" t="e">
        <f t="shared" si="2"/>
        <v>#DIV/0!</v>
      </c>
      <c r="AO716" s="28"/>
    </row>
    <row r="717" spans="1:41" ht="12.5" hidden="1">
      <c r="A717" s="28" t="s">
        <v>2841</v>
      </c>
      <c r="B717" s="39">
        <v>45692</v>
      </c>
      <c r="C717" s="29">
        <v>45718</v>
      </c>
      <c r="D717" s="38" t="s">
        <v>41</v>
      </c>
      <c r="G717" s="38" t="s">
        <v>137</v>
      </c>
      <c r="H717" s="38">
        <v>0</v>
      </c>
      <c r="L717" s="30" t="s">
        <v>47</v>
      </c>
      <c r="M717" s="38" t="s">
        <v>48</v>
      </c>
      <c r="N717" s="38" t="s">
        <v>48</v>
      </c>
      <c r="O717" s="31" t="s">
        <v>1803</v>
      </c>
      <c r="P717" s="28" t="s">
        <v>1804</v>
      </c>
      <c r="Q717" s="38" t="s">
        <v>1805</v>
      </c>
      <c r="R717" s="38">
        <v>1</v>
      </c>
      <c r="S717" s="38" t="s">
        <v>92</v>
      </c>
      <c r="T717" s="38" t="s">
        <v>53</v>
      </c>
      <c r="U717" s="38" t="s">
        <v>54</v>
      </c>
      <c r="V717" s="38" t="s">
        <v>141</v>
      </c>
      <c r="Y717" s="38">
        <v>31.84</v>
      </c>
      <c r="Z717" s="38">
        <v>1</v>
      </c>
      <c r="AF717" s="38">
        <v>31.84</v>
      </c>
      <c r="AK717" s="14" t="e">
        <f t="shared" si="2"/>
        <v>#DIV/0!</v>
      </c>
      <c r="AO717" s="28"/>
    </row>
    <row r="718" spans="1:41" ht="12.5" hidden="1">
      <c r="A718" s="28" t="s">
        <v>2842</v>
      </c>
      <c r="B718" s="37">
        <v>45732</v>
      </c>
      <c r="C718" s="29">
        <v>45735</v>
      </c>
      <c r="D718" s="38" t="s">
        <v>41</v>
      </c>
      <c r="E718" s="38" t="s">
        <v>2843</v>
      </c>
      <c r="G718" s="38" t="s">
        <v>43</v>
      </c>
      <c r="H718" s="38">
        <v>6.72</v>
      </c>
      <c r="I718" s="38" t="s">
        <v>44</v>
      </c>
      <c r="J718" s="38" t="s">
        <v>45</v>
      </c>
      <c r="K718" s="38" t="s">
        <v>2844</v>
      </c>
      <c r="L718" s="30" t="s">
        <v>47</v>
      </c>
      <c r="M718" s="38" t="s">
        <v>48</v>
      </c>
      <c r="N718" s="38" t="s">
        <v>48</v>
      </c>
      <c r="O718" s="31" t="s">
        <v>263</v>
      </c>
      <c r="P718" s="28" t="s">
        <v>264</v>
      </c>
      <c r="Q718" s="38" t="s">
        <v>265</v>
      </c>
      <c r="R718" s="38">
        <v>1</v>
      </c>
      <c r="S718" s="38" t="s">
        <v>92</v>
      </c>
      <c r="T718" s="38" t="s">
        <v>53</v>
      </c>
      <c r="U718" s="38" t="s">
        <v>54</v>
      </c>
      <c r="V718" s="38" t="s">
        <v>61</v>
      </c>
      <c r="Y718" s="38">
        <v>131.47999999999999</v>
      </c>
      <c r="Z718" s="38">
        <v>1</v>
      </c>
      <c r="AI718" s="38">
        <v>1</v>
      </c>
      <c r="AJ718" s="38">
        <v>6</v>
      </c>
      <c r="AK718" s="14">
        <f t="shared" si="2"/>
        <v>0.16666666666666666</v>
      </c>
      <c r="AO718" s="28"/>
    </row>
    <row r="719" spans="1:41" ht="12.5" hidden="1">
      <c r="A719" s="28" t="s">
        <v>2845</v>
      </c>
      <c r="B719" s="37">
        <v>45728</v>
      </c>
      <c r="C719" s="29">
        <v>45740</v>
      </c>
      <c r="D719" s="38" t="s">
        <v>41</v>
      </c>
      <c r="E719" s="38" t="s">
        <v>2846</v>
      </c>
      <c r="G719" s="38" t="s">
        <v>43</v>
      </c>
      <c r="H719" s="38">
        <v>10.68</v>
      </c>
      <c r="I719" s="38" t="s">
        <v>44</v>
      </c>
      <c r="J719" s="38" t="s">
        <v>45</v>
      </c>
      <c r="K719" s="38" t="s">
        <v>2847</v>
      </c>
      <c r="L719" s="30" t="s">
        <v>58</v>
      </c>
      <c r="M719" s="38" t="s">
        <v>48</v>
      </c>
      <c r="N719" s="38" t="s">
        <v>48</v>
      </c>
      <c r="O719" s="31" t="s">
        <v>1066</v>
      </c>
      <c r="P719" s="28" t="s">
        <v>1067</v>
      </c>
      <c r="Q719" s="38" t="s">
        <v>1068</v>
      </c>
      <c r="R719" s="38">
        <v>1</v>
      </c>
      <c r="S719" s="38" t="s">
        <v>68</v>
      </c>
      <c r="T719" s="38" t="s">
        <v>53</v>
      </c>
      <c r="U719" s="38" t="s">
        <v>54</v>
      </c>
      <c r="V719" s="38" t="s">
        <v>55</v>
      </c>
      <c r="Y719" s="38">
        <v>72.819999999999993</v>
      </c>
      <c r="Z719" s="38">
        <v>1</v>
      </c>
      <c r="AF719" s="38">
        <v>62.14</v>
      </c>
      <c r="AI719" s="38">
        <v>1</v>
      </c>
      <c r="AJ719" s="38">
        <v>18</v>
      </c>
      <c r="AK719" s="14">
        <f t="shared" si="2"/>
        <v>5.5555555555555552E-2</v>
      </c>
      <c r="AO719" s="28"/>
    </row>
    <row r="720" spans="1:41" ht="12.5" hidden="1">
      <c r="A720" s="28" t="s">
        <v>2848</v>
      </c>
      <c r="B720" s="37">
        <v>45716</v>
      </c>
      <c r="C720" s="29">
        <v>45743</v>
      </c>
      <c r="D720" s="38" t="s">
        <v>41</v>
      </c>
      <c r="E720" s="38" t="s">
        <v>2849</v>
      </c>
      <c r="G720" s="38" t="s">
        <v>43</v>
      </c>
      <c r="H720" s="38">
        <v>7.5</v>
      </c>
      <c r="I720" s="38" t="s">
        <v>44</v>
      </c>
      <c r="J720" s="38" t="s">
        <v>45</v>
      </c>
      <c r="K720" s="38" t="s">
        <v>2850</v>
      </c>
      <c r="L720" s="30" t="s">
        <v>47</v>
      </c>
      <c r="M720" s="38" t="s">
        <v>48</v>
      </c>
      <c r="N720" s="38" t="s">
        <v>48</v>
      </c>
      <c r="O720" s="31" t="s">
        <v>1812</v>
      </c>
      <c r="P720" s="28" t="s">
        <v>1813</v>
      </c>
      <c r="Q720" s="38" t="s">
        <v>1814</v>
      </c>
      <c r="R720" s="38">
        <v>1</v>
      </c>
      <c r="S720" s="38" t="s">
        <v>52</v>
      </c>
      <c r="T720" s="38" t="s">
        <v>53</v>
      </c>
      <c r="U720" s="38" t="s">
        <v>54</v>
      </c>
      <c r="V720" s="38" t="s">
        <v>55</v>
      </c>
      <c r="Y720" s="38">
        <v>55.56</v>
      </c>
      <c r="Z720" s="38">
        <v>1</v>
      </c>
      <c r="AF720" s="38">
        <v>55.56</v>
      </c>
      <c r="AI720" s="38">
        <v>1</v>
      </c>
      <c r="AJ720" s="38">
        <v>10</v>
      </c>
      <c r="AK720" s="14">
        <f t="shared" si="2"/>
        <v>0.1</v>
      </c>
      <c r="AO720" s="28"/>
    </row>
    <row r="721" spans="1:41" ht="12.5" hidden="1">
      <c r="A721" s="28" t="s">
        <v>2851</v>
      </c>
      <c r="B721" s="39">
        <v>45717</v>
      </c>
      <c r="C721" s="29">
        <v>45720</v>
      </c>
      <c r="D721" s="38" t="s">
        <v>57</v>
      </c>
      <c r="L721" s="30" t="s">
        <v>58</v>
      </c>
      <c r="M721" s="38" t="s">
        <v>48</v>
      </c>
      <c r="N721" s="38" t="s">
        <v>48</v>
      </c>
      <c r="O721" s="31" t="s">
        <v>2181</v>
      </c>
      <c r="P721" s="28" t="s">
        <v>2182</v>
      </c>
      <c r="Q721" s="38" t="s">
        <v>2183</v>
      </c>
      <c r="R721" s="38">
        <v>1</v>
      </c>
      <c r="S721" s="38" t="s">
        <v>1722</v>
      </c>
      <c r="T721" s="38" t="s">
        <v>53</v>
      </c>
      <c r="U721" s="38" t="s">
        <v>60</v>
      </c>
      <c r="V721" s="38" t="s">
        <v>61</v>
      </c>
      <c r="Y721" s="38">
        <v>41.35</v>
      </c>
      <c r="Z721" s="38">
        <v>1</v>
      </c>
      <c r="AI721" s="38">
        <v>3</v>
      </c>
      <c r="AJ721" s="38">
        <v>6</v>
      </c>
      <c r="AK721" s="14">
        <f t="shared" si="2"/>
        <v>0.5</v>
      </c>
      <c r="AO721" s="28"/>
    </row>
    <row r="722" spans="1:41" ht="12.5" hidden="1">
      <c r="A722" s="28" t="s">
        <v>2851</v>
      </c>
      <c r="B722" s="39">
        <v>45717</v>
      </c>
      <c r="C722" s="29">
        <v>45720</v>
      </c>
      <c r="D722" s="38" t="s">
        <v>57</v>
      </c>
      <c r="L722" s="30" t="s">
        <v>58</v>
      </c>
      <c r="M722" s="38" t="s">
        <v>48</v>
      </c>
      <c r="N722" s="38" t="s">
        <v>48</v>
      </c>
      <c r="O722" s="31" t="s">
        <v>2181</v>
      </c>
      <c r="P722" s="28" t="s">
        <v>2182</v>
      </c>
      <c r="Q722" s="38" t="s">
        <v>2183</v>
      </c>
      <c r="R722" s="38">
        <v>1</v>
      </c>
      <c r="S722" s="38" t="s">
        <v>59</v>
      </c>
      <c r="T722" s="38" t="s">
        <v>53</v>
      </c>
      <c r="U722" s="38" t="s">
        <v>60</v>
      </c>
      <c r="V722" s="38" t="s">
        <v>61</v>
      </c>
      <c r="Y722" s="38">
        <v>41.35</v>
      </c>
      <c r="Z722" s="38">
        <v>1</v>
      </c>
      <c r="AK722" s="14" t="e">
        <f t="shared" si="2"/>
        <v>#DIV/0!</v>
      </c>
      <c r="AO722" s="28"/>
    </row>
    <row r="723" spans="1:41" ht="12.5" hidden="1">
      <c r="A723" s="28" t="s">
        <v>2851</v>
      </c>
      <c r="B723" s="39">
        <v>45717</v>
      </c>
      <c r="C723" s="29">
        <v>45720</v>
      </c>
      <c r="D723" s="38" t="s">
        <v>41</v>
      </c>
      <c r="E723" s="38" t="s">
        <v>2852</v>
      </c>
      <c r="G723" s="38" t="s">
        <v>43</v>
      </c>
      <c r="H723" s="38">
        <v>7.31</v>
      </c>
      <c r="I723" s="38" t="s">
        <v>44</v>
      </c>
      <c r="J723" s="38" t="s">
        <v>45</v>
      </c>
      <c r="K723" s="38" t="s">
        <v>2853</v>
      </c>
      <c r="L723" s="30" t="s">
        <v>58</v>
      </c>
      <c r="M723" s="38" t="s">
        <v>48</v>
      </c>
      <c r="N723" s="38" t="s">
        <v>48</v>
      </c>
      <c r="O723" s="31" t="s">
        <v>2181</v>
      </c>
      <c r="P723" s="28" t="s">
        <v>2182</v>
      </c>
      <c r="Q723" s="38" t="s">
        <v>2183</v>
      </c>
      <c r="R723" s="38">
        <v>1</v>
      </c>
      <c r="S723" s="38" t="s">
        <v>75</v>
      </c>
      <c r="T723" s="38" t="s">
        <v>53</v>
      </c>
      <c r="U723" s="38" t="s">
        <v>54</v>
      </c>
      <c r="V723" s="38" t="s">
        <v>61</v>
      </c>
      <c r="Y723" s="38">
        <v>41.35</v>
      </c>
      <c r="Z723" s="38">
        <v>1</v>
      </c>
      <c r="AK723" s="14" t="e">
        <f t="shared" si="2"/>
        <v>#DIV/0!</v>
      </c>
      <c r="AO723" s="28"/>
    </row>
    <row r="724" spans="1:41" ht="12.5" hidden="1">
      <c r="A724" s="28" t="s">
        <v>2854</v>
      </c>
      <c r="B724" s="39">
        <v>45717</v>
      </c>
      <c r="C724" s="29">
        <v>45732</v>
      </c>
      <c r="D724" s="38" t="s">
        <v>41</v>
      </c>
      <c r="G724" s="38" t="s">
        <v>137</v>
      </c>
      <c r="H724" s="38">
        <v>0</v>
      </c>
      <c r="L724" s="30" t="s">
        <v>47</v>
      </c>
      <c r="M724" s="38" t="s">
        <v>48</v>
      </c>
      <c r="N724" s="38" t="s">
        <v>48</v>
      </c>
      <c r="O724" s="31" t="s">
        <v>2855</v>
      </c>
      <c r="P724" s="28" t="s">
        <v>2856</v>
      </c>
      <c r="Q724" s="38" t="s">
        <v>2857</v>
      </c>
      <c r="R724" s="38">
        <v>1</v>
      </c>
      <c r="S724" s="38" t="s">
        <v>99</v>
      </c>
      <c r="T724" s="38" t="s">
        <v>53</v>
      </c>
      <c r="U724" s="38" t="s">
        <v>54</v>
      </c>
      <c r="V724" s="38" t="s">
        <v>141</v>
      </c>
      <c r="Y724" s="38">
        <v>29.9</v>
      </c>
      <c r="Z724" s="38">
        <v>1</v>
      </c>
      <c r="AF724" s="38">
        <v>29.9</v>
      </c>
      <c r="AI724" s="38">
        <v>1</v>
      </c>
      <c r="AJ724" s="38">
        <v>2</v>
      </c>
      <c r="AK724" s="14">
        <f t="shared" si="2"/>
        <v>0.5</v>
      </c>
      <c r="AO724" s="28"/>
    </row>
    <row r="725" spans="1:41" ht="12.5" hidden="1">
      <c r="A725" s="28" t="s">
        <v>2858</v>
      </c>
      <c r="B725" s="37">
        <v>45732</v>
      </c>
      <c r="C725" s="29">
        <v>45738</v>
      </c>
      <c r="D725" s="38" t="s">
        <v>41</v>
      </c>
      <c r="E725" s="38" t="s">
        <v>2859</v>
      </c>
      <c r="G725" s="38" t="s">
        <v>43</v>
      </c>
      <c r="H725" s="38">
        <v>64.92</v>
      </c>
      <c r="I725" s="38" t="s">
        <v>44</v>
      </c>
      <c r="J725" s="38" t="s">
        <v>45</v>
      </c>
      <c r="K725" s="38" t="s">
        <v>2860</v>
      </c>
      <c r="L725" s="30" t="s">
        <v>47</v>
      </c>
      <c r="M725" s="38" t="s">
        <v>48</v>
      </c>
      <c r="N725" s="38" t="s">
        <v>48</v>
      </c>
      <c r="O725" s="31" t="s">
        <v>283</v>
      </c>
      <c r="P725" s="28" t="s">
        <v>284</v>
      </c>
      <c r="Q725" s="38" t="s">
        <v>285</v>
      </c>
      <c r="R725" s="38">
        <v>1</v>
      </c>
      <c r="S725" s="38" t="s">
        <v>92</v>
      </c>
      <c r="T725" s="38" t="s">
        <v>53</v>
      </c>
      <c r="U725" s="38" t="s">
        <v>54</v>
      </c>
      <c r="V725" s="38" t="s">
        <v>61</v>
      </c>
      <c r="Y725" s="38">
        <v>195.77</v>
      </c>
      <c r="Z725" s="38">
        <v>1</v>
      </c>
      <c r="AI725" s="38">
        <v>3</v>
      </c>
      <c r="AJ725" s="38">
        <v>8</v>
      </c>
      <c r="AK725" s="14">
        <f t="shared" si="2"/>
        <v>0.375</v>
      </c>
      <c r="AL725" s="43" t="s">
        <v>2861</v>
      </c>
      <c r="AO725" s="28"/>
    </row>
    <row r="726" spans="1:41" ht="12.5" hidden="1">
      <c r="A726" s="28" t="s">
        <v>2862</v>
      </c>
      <c r="B726" s="37">
        <v>45714</v>
      </c>
      <c r="C726" s="29">
        <v>45723</v>
      </c>
      <c r="D726" s="38" t="s">
        <v>41</v>
      </c>
      <c r="E726" s="38" t="s">
        <v>2863</v>
      </c>
      <c r="G726" s="38" t="s">
        <v>43</v>
      </c>
      <c r="H726" s="38">
        <v>57.9</v>
      </c>
      <c r="I726" s="38" t="s">
        <v>44</v>
      </c>
      <c r="J726" s="38" t="s">
        <v>45</v>
      </c>
      <c r="K726" s="38" t="s">
        <v>2864</v>
      </c>
      <c r="L726" s="30" t="s">
        <v>47</v>
      </c>
      <c r="M726" s="38" t="s">
        <v>48</v>
      </c>
      <c r="N726" s="38" t="s">
        <v>48</v>
      </c>
      <c r="O726" s="31" t="s">
        <v>283</v>
      </c>
      <c r="P726" s="28" t="s">
        <v>284</v>
      </c>
      <c r="Q726" s="38" t="s">
        <v>285</v>
      </c>
      <c r="R726" s="38">
        <v>1</v>
      </c>
      <c r="S726" s="38" t="s">
        <v>92</v>
      </c>
      <c r="T726" s="38" t="s">
        <v>53</v>
      </c>
      <c r="U726" s="38" t="s">
        <v>54</v>
      </c>
      <c r="V726" s="38" t="s">
        <v>61</v>
      </c>
      <c r="Y726" s="38">
        <v>198.77</v>
      </c>
      <c r="Z726" s="38">
        <v>1</v>
      </c>
      <c r="AF726" s="38">
        <v>155.82</v>
      </c>
      <c r="AK726" s="14" t="e">
        <f t="shared" si="2"/>
        <v>#DIV/0!</v>
      </c>
      <c r="AL726" s="43" t="s">
        <v>2865</v>
      </c>
      <c r="AO726" s="28"/>
    </row>
    <row r="727" spans="1:41" ht="12.5" hidden="1">
      <c r="A727" s="28" t="s">
        <v>2866</v>
      </c>
      <c r="B727" s="37">
        <v>45705</v>
      </c>
      <c r="C727" s="29">
        <v>45720</v>
      </c>
      <c r="D727" s="38" t="s">
        <v>41</v>
      </c>
      <c r="E727" s="38" t="s">
        <v>2867</v>
      </c>
      <c r="G727" s="38" t="s">
        <v>43</v>
      </c>
      <c r="H727" s="38">
        <v>64.790000000000006</v>
      </c>
      <c r="I727" s="38" t="s">
        <v>44</v>
      </c>
      <c r="J727" s="38" t="s">
        <v>45</v>
      </c>
      <c r="K727" s="38" t="s">
        <v>2868</v>
      </c>
      <c r="L727" s="30" t="s">
        <v>47</v>
      </c>
      <c r="M727" s="38" t="s">
        <v>48</v>
      </c>
      <c r="N727" s="38" t="s">
        <v>48</v>
      </c>
      <c r="O727" s="31" t="s">
        <v>283</v>
      </c>
      <c r="P727" s="28" t="s">
        <v>284</v>
      </c>
      <c r="Q727" s="38" t="s">
        <v>285</v>
      </c>
      <c r="R727" s="38">
        <v>1</v>
      </c>
      <c r="S727" s="38" t="s">
        <v>99</v>
      </c>
      <c r="T727" s="38" t="s">
        <v>53</v>
      </c>
      <c r="U727" s="38" t="s">
        <v>54</v>
      </c>
      <c r="V727" s="38" t="s">
        <v>240</v>
      </c>
      <c r="Y727" s="38">
        <v>200.57</v>
      </c>
      <c r="Z727" s="38">
        <v>1</v>
      </c>
      <c r="AF727" s="38">
        <v>200.57</v>
      </c>
      <c r="AK727" s="14" t="e">
        <f t="shared" si="2"/>
        <v>#DIV/0!</v>
      </c>
      <c r="AL727" s="43" t="s">
        <v>2869</v>
      </c>
      <c r="AO727" s="28"/>
    </row>
    <row r="728" spans="1:41" ht="12.5" hidden="1">
      <c r="A728" s="28" t="s">
        <v>2870</v>
      </c>
      <c r="B728" s="39">
        <v>45721</v>
      </c>
      <c r="C728" s="29">
        <v>45726</v>
      </c>
      <c r="D728" s="38" t="s">
        <v>41</v>
      </c>
      <c r="E728" s="38" t="s">
        <v>2871</v>
      </c>
      <c r="G728" s="38" t="s">
        <v>43</v>
      </c>
      <c r="H728" s="38">
        <v>14.06</v>
      </c>
      <c r="I728" s="38" t="s">
        <v>44</v>
      </c>
      <c r="J728" s="38" t="s">
        <v>45</v>
      </c>
      <c r="K728" s="38" t="s">
        <v>2872</v>
      </c>
      <c r="L728" s="30" t="s">
        <v>58</v>
      </c>
      <c r="M728" s="38" t="s">
        <v>48</v>
      </c>
      <c r="N728" s="38" t="s">
        <v>48</v>
      </c>
      <c r="O728" s="31" t="s">
        <v>2873</v>
      </c>
      <c r="P728" s="28" t="s">
        <v>2874</v>
      </c>
      <c r="Q728" s="38" t="s">
        <v>2875</v>
      </c>
      <c r="R728" s="38">
        <v>1</v>
      </c>
      <c r="S728" s="38" t="s">
        <v>68</v>
      </c>
      <c r="T728" s="38" t="s">
        <v>53</v>
      </c>
      <c r="U728" s="38" t="s">
        <v>54</v>
      </c>
      <c r="V728" s="38" t="s">
        <v>55</v>
      </c>
      <c r="Y728" s="38">
        <v>105.58</v>
      </c>
      <c r="Z728" s="38">
        <v>1</v>
      </c>
      <c r="AF728" s="38">
        <v>91.52</v>
      </c>
      <c r="AI728" s="38">
        <v>2</v>
      </c>
      <c r="AJ728" s="38">
        <v>9</v>
      </c>
      <c r="AK728" s="14">
        <f t="shared" si="2"/>
        <v>0.22222222222222221</v>
      </c>
      <c r="AO728" s="28"/>
    </row>
    <row r="729" spans="1:41" ht="12.5" hidden="1">
      <c r="A729" s="28" t="s">
        <v>2876</v>
      </c>
      <c r="B729" s="39">
        <v>45721</v>
      </c>
      <c r="C729" s="29">
        <v>45726</v>
      </c>
      <c r="D729" s="38" t="s">
        <v>41</v>
      </c>
      <c r="E729" s="38" t="s">
        <v>2877</v>
      </c>
      <c r="G729" s="38" t="s">
        <v>43</v>
      </c>
      <c r="H729" s="38">
        <v>14.06</v>
      </c>
      <c r="I729" s="38" t="s">
        <v>44</v>
      </c>
      <c r="J729" s="38" t="s">
        <v>45</v>
      </c>
      <c r="K729" s="38" t="s">
        <v>2878</v>
      </c>
      <c r="L729" s="30" t="s">
        <v>58</v>
      </c>
      <c r="M729" s="38" t="s">
        <v>48</v>
      </c>
      <c r="N729" s="38" t="s">
        <v>48</v>
      </c>
      <c r="O729" s="31" t="s">
        <v>2873</v>
      </c>
      <c r="P729" s="28" t="s">
        <v>2874</v>
      </c>
      <c r="Q729" s="38" t="s">
        <v>2875</v>
      </c>
      <c r="R729" s="38">
        <v>1</v>
      </c>
      <c r="S729" s="38" t="s">
        <v>59</v>
      </c>
      <c r="T729" s="38" t="s">
        <v>53</v>
      </c>
      <c r="U729" s="38" t="s">
        <v>60</v>
      </c>
      <c r="V729" s="38" t="s">
        <v>61</v>
      </c>
      <c r="Y729" s="38">
        <v>104.78</v>
      </c>
      <c r="Z729" s="38">
        <v>1</v>
      </c>
      <c r="AF729" s="38">
        <v>104.78</v>
      </c>
      <c r="AK729" s="14" t="e">
        <f t="shared" si="2"/>
        <v>#DIV/0!</v>
      </c>
      <c r="AO729" s="28"/>
    </row>
    <row r="730" spans="1:41" ht="12.5" hidden="1">
      <c r="A730" s="28" t="s">
        <v>2879</v>
      </c>
      <c r="B730" s="39">
        <v>45719</v>
      </c>
      <c r="C730" s="29">
        <v>45743</v>
      </c>
      <c r="D730" s="38" t="s">
        <v>41</v>
      </c>
      <c r="E730" s="38" t="s">
        <v>2880</v>
      </c>
      <c r="G730" s="38" t="s">
        <v>43</v>
      </c>
      <c r="H730" s="38">
        <v>6.29</v>
      </c>
      <c r="I730" s="38" t="s">
        <v>44</v>
      </c>
      <c r="J730" s="38" t="s">
        <v>45</v>
      </c>
      <c r="K730" s="38" t="s">
        <v>2881</v>
      </c>
      <c r="L730" s="30" t="s">
        <v>47</v>
      </c>
      <c r="M730" s="38" t="s">
        <v>48</v>
      </c>
      <c r="N730" s="38" t="s">
        <v>48</v>
      </c>
      <c r="O730" s="31" t="s">
        <v>1116</v>
      </c>
      <c r="P730" s="28" t="s">
        <v>1117</v>
      </c>
      <c r="Q730" s="38" t="s">
        <v>1833</v>
      </c>
      <c r="R730" s="38">
        <v>1</v>
      </c>
      <c r="S730" s="38" t="s">
        <v>99</v>
      </c>
      <c r="T730" s="38" t="s">
        <v>53</v>
      </c>
      <c r="U730" s="38" t="s">
        <v>54</v>
      </c>
      <c r="V730" s="38" t="s">
        <v>61</v>
      </c>
      <c r="Y730" s="38">
        <v>82.02</v>
      </c>
      <c r="Z730" s="38">
        <v>1</v>
      </c>
      <c r="AI730" s="38">
        <v>2</v>
      </c>
      <c r="AJ730" s="38">
        <v>17</v>
      </c>
      <c r="AK730" s="14">
        <f t="shared" si="2"/>
        <v>0.11764705882352941</v>
      </c>
      <c r="AO730" s="28"/>
    </row>
    <row r="731" spans="1:41" ht="12.5" hidden="1">
      <c r="A731" s="28" t="s">
        <v>2882</v>
      </c>
      <c r="B731" s="39">
        <v>45721</v>
      </c>
      <c r="C731" s="29">
        <v>45728</v>
      </c>
      <c r="D731" s="38" t="s">
        <v>41</v>
      </c>
      <c r="E731" s="38" t="s">
        <v>2883</v>
      </c>
      <c r="G731" s="38" t="s">
        <v>43</v>
      </c>
      <c r="H731" s="38">
        <v>6.29</v>
      </c>
      <c r="I731" s="38" t="s">
        <v>44</v>
      </c>
      <c r="J731" s="38" t="s">
        <v>45</v>
      </c>
      <c r="K731" s="38" t="s">
        <v>2884</v>
      </c>
      <c r="L731" s="30" t="s">
        <v>58</v>
      </c>
      <c r="M731" s="38" t="s">
        <v>48</v>
      </c>
      <c r="N731" s="38" t="s">
        <v>48</v>
      </c>
      <c r="O731" s="31" t="s">
        <v>1116</v>
      </c>
      <c r="P731" s="28" t="s">
        <v>1117</v>
      </c>
      <c r="Q731" s="38" t="s">
        <v>1833</v>
      </c>
      <c r="R731" s="38">
        <v>1</v>
      </c>
      <c r="S731" s="38" t="s">
        <v>75</v>
      </c>
      <c r="T731" s="38" t="s">
        <v>53</v>
      </c>
      <c r="U731" s="38" t="s">
        <v>54</v>
      </c>
      <c r="V731" s="38" t="s">
        <v>240</v>
      </c>
      <c r="Y731" s="38">
        <v>163.56</v>
      </c>
      <c r="Z731" s="38">
        <v>2</v>
      </c>
      <c r="AF731" s="38">
        <v>63.69</v>
      </c>
      <c r="AK731" s="14" t="e">
        <f t="shared" si="2"/>
        <v>#DIV/0!</v>
      </c>
      <c r="AO731" s="28"/>
    </row>
    <row r="732" spans="1:41" ht="12.5" hidden="1">
      <c r="A732" s="28" t="s">
        <v>2885</v>
      </c>
      <c r="B732" s="37">
        <v>45727</v>
      </c>
      <c r="C732" s="29">
        <v>45740</v>
      </c>
      <c r="D732" s="38" t="s">
        <v>41</v>
      </c>
      <c r="E732" s="38" t="s">
        <v>2886</v>
      </c>
      <c r="G732" s="38" t="s">
        <v>43</v>
      </c>
      <c r="H732" s="38">
        <v>11.52</v>
      </c>
      <c r="I732" s="38" t="s">
        <v>44</v>
      </c>
      <c r="J732" s="38" t="s">
        <v>45</v>
      </c>
      <c r="K732" s="38" t="s">
        <v>2887</v>
      </c>
      <c r="L732" s="30" t="s">
        <v>47</v>
      </c>
      <c r="M732" s="38" t="s">
        <v>48</v>
      </c>
      <c r="N732" s="38" t="s">
        <v>48</v>
      </c>
      <c r="O732" s="31" t="s">
        <v>2888</v>
      </c>
      <c r="P732" s="28" t="s">
        <v>2889</v>
      </c>
      <c r="Q732" s="38" t="s">
        <v>2890</v>
      </c>
      <c r="R732" s="38">
        <v>1</v>
      </c>
      <c r="S732" s="38" t="s">
        <v>99</v>
      </c>
      <c r="T732" s="38" t="s">
        <v>53</v>
      </c>
      <c r="U732" s="38" t="s">
        <v>54</v>
      </c>
      <c r="V732" s="38" t="s">
        <v>61</v>
      </c>
      <c r="Y732" s="38">
        <v>90.74</v>
      </c>
      <c r="Z732" s="38">
        <v>1</v>
      </c>
      <c r="AI732" s="38">
        <v>2</v>
      </c>
      <c r="AJ732" s="38">
        <v>16</v>
      </c>
      <c r="AK732" s="14">
        <f t="shared" si="2"/>
        <v>0.125</v>
      </c>
      <c r="AO732" s="28"/>
    </row>
    <row r="733" spans="1:41" ht="12.5" hidden="1">
      <c r="A733" s="28" t="s">
        <v>2891</v>
      </c>
      <c r="B733" s="39">
        <v>45723</v>
      </c>
      <c r="C733" s="29">
        <v>45732</v>
      </c>
      <c r="D733" s="38" t="s">
        <v>41</v>
      </c>
      <c r="E733" s="38" t="s">
        <v>2892</v>
      </c>
      <c r="G733" s="38" t="s">
        <v>43</v>
      </c>
      <c r="H733" s="38">
        <v>11.52</v>
      </c>
      <c r="I733" s="38" t="s">
        <v>44</v>
      </c>
      <c r="J733" s="38" t="s">
        <v>45</v>
      </c>
      <c r="K733" s="38" t="s">
        <v>2893</v>
      </c>
      <c r="L733" s="30" t="s">
        <v>58</v>
      </c>
      <c r="M733" s="38" t="s">
        <v>48</v>
      </c>
      <c r="N733" s="38" t="s">
        <v>48</v>
      </c>
      <c r="O733" s="31" t="s">
        <v>2888</v>
      </c>
      <c r="P733" s="28" t="s">
        <v>2889</v>
      </c>
      <c r="Q733" s="38" t="s">
        <v>2890</v>
      </c>
      <c r="R733" s="38">
        <v>1</v>
      </c>
      <c r="S733" s="38" t="s">
        <v>68</v>
      </c>
      <c r="T733" s="38" t="s">
        <v>53</v>
      </c>
      <c r="U733" s="38" t="s">
        <v>54</v>
      </c>
      <c r="V733" s="38" t="s">
        <v>55</v>
      </c>
      <c r="Y733" s="38">
        <v>91.7</v>
      </c>
      <c r="Z733" s="38">
        <v>1</v>
      </c>
      <c r="AF733" s="38">
        <v>80.180000000000007</v>
      </c>
      <c r="AK733" s="14" t="e">
        <f t="shared" si="2"/>
        <v>#DIV/0!</v>
      </c>
      <c r="AO733" s="28"/>
    </row>
    <row r="734" spans="1:41" ht="12.5" hidden="1">
      <c r="A734" s="28" t="s">
        <v>2894</v>
      </c>
      <c r="B734" s="39">
        <v>45724</v>
      </c>
      <c r="C734" s="29">
        <v>45731</v>
      </c>
      <c r="D734" s="38" t="s">
        <v>41</v>
      </c>
      <c r="G734" s="38" t="s">
        <v>137</v>
      </c>
      <c r="H734" s="38">
        <v>0</v>
      </c>
      <c r="L734" s="30" t="s">
        <v>58</v>
      </c>
      <c r="M734" s="38" t="s">
        <v>48</v>
      </c>
      <c r="N734" s="38" t="s">
        <v>48</v>
      </c>
      <c r="O734" s="31" t="s">
        <v>2515</v>
      </c>
      <c r="P734" s="28" t="s">
        <v>2516</v>
      </c>
      <c r="Q734" s="38" t="s">
        <v>2517</v>
      </c>
      <c r="R734" s="38">
        <v>1</v>
      </c>
      <c r="S734" s="38" t="s">
        <v>75</v>
      </c>
      <c r="T734" s="38" t="s">
        <v>53</v>
      </c>
      <c r="U734" s="38" t="s">
        <v>54</v>
      </c>
      <c r="V734" s="38" t="s">
        <v>141</v>
      </c>
      <c r="Y734" s="38">
        <v>13.95</v>
      </c>
      <c r="Z734" s="38">
        <v>1</v>
      </c>
      <c r="AF734" s="38">
        <v>13.95</v>
      </c>
      <c r="AI734" s="38">
        <v>1</v>
      </c>
      <c r="AJ734" s="38">
        <v>7</v>
      </c>
      <c r="AK734" s="14">
        <f t="shared" si="2"/>
        <v>0.14285714285714285</v>
      </c>
      <c r="AO734" s="28"/>
    </row>
    <row r="735" spans="1:41" ht="12.5" hidden="1">
      <c r="A735" s="28" t="s">
        <v>2895</v>
      </c>
      <c r="B735" s="37">
        <v>45727</v>
      </c>
      <c r="C735" s="29">
        <v>45736</v>
      </c>
      <c r="D735" s="38" t="s">
        <v>41</v>
      </c>
      <c r="E735" s="38" t="s">
        <v>2896</v>
      </c>
      <c r="G735" s="38" t="s">
        <v>43</v>
      </c>
      <c r="H735" s="38">
        <v>68.59</v>
      </c>
      <c r="I735" s="38" t="s">
        <v>44</v>
      </c>
      <c r="J735" s="38" t="s">
        <v>45</v>
      </c>
      <c r="K735" s="38" t="s">
        <v>2897</v>
      </c>
      <c r="L735" s="30" t="s">
        <v>47</v>
      </c>
      <c r="M735" s="38" t="s">
        <v>48</v>
      </c>
      <c r="N735" s="38" t="s">
        <v>48</v>
      </c>
      <c r="O735" s="31" t="s">
        <v>2898</v>
      </c>
      <c r="P735" s="28" t="s">
        <v>2899</v>
      </c>
      <c r="Q735" s="38" t="s">
        <v>2900</v>
      </c>
      <c r="R735" s="38">
        <v>1</v>
      </c>
      <c r="S735" s="38" t="s">
        <v>52</v>
      </c>
      <c r="T735" s="38" t="s">
        <v>53</v>
      </c>
      <c r="U735" s="38" t="s">
        <v>54</v>
      </c>
      <c r="V735" s="38" t="s">
        <v>61</v>
      </c>
      <c r="Y735" s="38">
        <v>280.89999999999998</v>
      </c>
      <c r="Z735" s="38">
        <v>1</v>
      </c>
      <c r="AI735" s="38">
        <v>1</v>
      </c>
      <c r="AJ735" s="38">
        <v>1</v>
      </c>
      <c r="AK735" s="14">
        <f t="shared" si="2"/>
        <v>1</v>
      </c>
      <c r="AO735" s="28"/>
    </row>
    <row r="736" spans="1:41" ht="12.5" hidden="1">
      <c r="A736" s="28" t="s">
        <v>2901</v>
      </c>
      <c r="B736" s="37">
        <v>45734</v>
      </c>
      <c r="C736" s="29">
        <v>45747</v>
      </c>
      <c r="D736" s="38" t="s">
        <v>41</v>
      </c>
      <c r="E736" s="38" t="s">
        <v>2902</v>
      </c>
      <c r="G736" s="38" t="s">
        <v>43</v>
      </c>
      <c r="H736" s="38">
        <v>11.13</v>
      </c>
      <c r="I736" s="38" t="s">
        <v>44</v>
      </c>
      <c r="J736" s="38" t="s">
        <v>45</v>
      </c>
      <c r="K736" s="38" t="s">
        <v>2903</v>
      </c>
      <c r="L736" s="30" t="s">
        <v>58</v>
      </c>
      <c r="M736" s="38" t="s">
        <v>48</v>
      </c>
      <c r="N736" s="38" t="s">
        <v>48</v>
      </c>
      <c r="O736" s="31" t="s">
        <v>2904</v>
      </c>
      <c r="P736" s="28" t="s">
        <v>2905</v>
      </c>
      <c r="Q736" s="38" t="s">
        <v>2906</v>
      </c>
      <c r="R736" s="38">
        <v>1</v>
      </c>
      <c r="S736" s="38" t="s">
        <v>75</v>
      </c>
      <c r="T736" s="38" t="s">
        <v>53</v>
      </c>
      <c r="U736" s="38" t="s">
        <v>54</v>
      </c>
      <c r="V736" s="38" t="s">
        <v>61</v>
      </c>
      <c r="Y736" s="38">
        <v>93.08</v>
      </c>
      <c r="Z736" s="38">
        <v>1</v>
      </c>
      <c r="AI736" s="38">
        <v>2</v>
      </c>
      <c r="AJ736" s="38">
        <v>20</v>
      </c>
      <c r="AK736" s="14">
        <f t="shared" si="2"/>
        <v>0.1</v>
      </c>
      <c r="AO736" s="28"/>
    </row>
    <row r="737" spans="1:41" ht="12.5" hidden="1">
      <c r="A737" s="28" t="s">
        <v>2907</v>
      </c>
      <c r="B737" s="37">
        <v>45739</v>
      </c>
      <c r="C737" s="29">
        <v>45743</v>
      </c>
      <c r="D737" s="38" t="s">
        <v>41</v>
      </c>
      <c r="E737" s="38" t="s">
        <v>2908</v>
      </c>
      <c r="G737" s="38" t="s">
        <v>43</v>
      </c>
      <c r="H737" s="38">
        <v>11.13</v>
      </c>
      <c r="I737" s="38" t="s">
        <v>44</v>
      </c>
      <c r="J737" s="38" t="s">
        <v>45</v>
      </c>
      <c r="K737" s="38" t="s">
        <v>2909</v>
      </c>
      <c r="L737" s="30" t="s">
        <v>47</v>
      </c>
      <c r="M737" s="38" t="s">
        <v>48</v>
      </c>
      <c r="N737" s="38" t="s">
        <v>48</v>
      </c>
      <c r="O737" s="31" t="s">
        <v>2904</v>
      </c>
      <c r="P737" s="28" t="s">
        <v>2905</v>
      </c>
      <c r="Q737" s="38" t="s">
        <v>2906</v>
      </c>
      <c r="R737" s="38">
        <v>1</v>
      </c>
      <c r="S737" s="38" t="s">
        <v>52</v>
      </c>
      <c r="T737" s="38" t="s">
        <v>53</v>
      </c>
      <c r="U737" s="38" t="s">
        <v>54</v>
      </c>
      <c r="V737" s="38" t="s">
        <v>61</v>
      </c>
      <c r="Y737" s="38">
        <v>95.26</v>
      </c>
      <c r="Z737" s="38">
        <v>1</v>
      </c>
      <c r="AK737" s="14" t="e">
        <f t="shared" si="2"/>
        <v>#DIV/0!</v>
      </c>
      <c r="AO737" s="28"/>
    </row>
    <row r="738" spans="1:41" ht="12.5" hidden="1">
      <c r="A738" s="28" t="s">
        <v>2910</v>
      </c>
      <c r="B738" s="37">
        <v>45727</v>
      </c>
      <c r="C738" s="29">
        <v>45741</v>
      </c>
      <c r="D738" s="38" t="s">
        <v>41</v>
      </c>
      <c r="E738" s="38" t="s">
        <v>2911</v>
      </c>
      <c r="G738" s="38" t="s">
        <v>43</v>
      </c>
      <c r="H738" s="38">
        <v>11.13</v>
      </c>
      <c r="I738" s="38" t="s">
        <v>44</v>
      </c>
      <c r="J738" s="38" t="s">
        <v>45</v>
      </c>
      <c r="K738" s="38" t="s">
        <v>2912</v>
      </c>
      <c r="L738" s="30" t="s">
        <v>47</v>
      </c>
      <c r="M738" s="38" t="s">
        <v>48</v>
      </c>
      <c r="N738" s="38" t="s">
        <v>48</v>
      </c>
      <c r="O738" s="31" t="s">
        <v>2193</v>
      </c>
      <c r="P738" s="28" t="s">
        <v>2194</v>
      </c>
      <c r="Q738" s="38" t="s">
        <v>2195</v>
      </c>
      <c r="R738" s="38">
        <v>1</v>
      </c>
      <c r="S738" s="38" t="s">
        <v>52</v>
      </c>
      <c r="T738" s="38" t="s">
        <v>53</v>
      </c>
      <c r="U738" s="38" t="s">
        <v>54</v>
      </c>
      <c r="V738" s="38" t="s">
        <v>55</v>
      </c>
      <c r="Y738" s="38">
        <v>83.24</v>
      </c>
      <c r="Z738" s="38">
        <v>1</v>
      </c>
      <c r="AF738" s="38">
        <v>83.24</v>
      </c>
      <c r="AI738" s="38">
        <v>1</v>
      </c>
      <c r="AJ738" s="38">
        <v>42</v>
      </c>
      <c r="AK738" s="14">
        <f t="shared" si="2"/>
        <v>2.3809523809523808E-2</v>
      </c>
      <c r="AO738" s="28"/>
    </row>
    <row r="739" spans="1:41" ht="12.5" hidden="1">
      <c r="A739" s="28" t="s">
        <v>2913</v>
      </c>
      <c r="B739" s="37">
        <v>45733</v>
      </c>
      <c r="C739" s="29">
        <v>45736</v>
      </c>
      <c r="D739" s="38" t="s">
        <v>41</v>
      </c>
      <c r="E739" s="38" t="s">
        <v>2914</v>
      </c>
      <c r="G739" s="38" t="s">
        <v>43</v>
      </c>
      <c r="H739" s="38">
        <v>11.13</v>
      </c>
      <c r="I739" s="38" t="s">
        <v>44</v>
      </c>
      <c r="J739" s="38" t="s">
        <v>45</v>
      </c>
      <c r="K739" s="38" t="s">
        <v>2915</v>
      </c>
      <c r="L739" s="30" t="s">
        <v>58</v>
      </c>
      <c r="M739" s="38" t="s">
        <v>48</v>
      </c>
      <c r="N739" s="38" t="s">
        <v>48</v>
      </c>
      <c r="O739" s="31" t="s">
        <v>310</v>
      </c>
      <c r="P739" s="28" t="s">
        <v>311</v>
      </c>
      <c r="Q739" s="38" t="s">
        <v>312</v>
      </c>
      <c r="R739" s="38">
        <v>1</v>
      </c>
      <c r="S739" s="38" t="s">
        <v>68</v>
      </c>
      <c r="T739" s="38" t="s">
        <v>53</v>
      </c>
      <c r="U739" s="38" t="s">
        <v>54</v>
      </c>
      <c r="V739" s="38" t="s">
        <v>61</v>
      </c>
      <c r="Y739" s="38">
        <v>144.52000000000001</v>
      </c>
      <c r="Z739" s="38">
        <v>1</v>
      </c>
      <c r="AI739" s="38">
        <v>5</v>
      </c>
      <c r="AJ739" s="38">
        <v>24</v>
      </c>
      <c r="AK739" s="14">
        <f t="shared" si="2"/>
        <v>0.20833333333333334</v>
      </c>
      <c r="AO739" s="28"/>
    </row>
    <row r="740" spans="1:41" ht="12.5" hidden="1">
      <c r="A740" s="28" t="s">
        <v>2916</v>
      </c>
      <c r="B740" s="37">
        <v>45727</v>
      </c>
      <c r="C740" s="29">
        <v>45735</v>
      </c>
      <c r="D740" s="38" t="s">
        <v>41</v>
      </c>
      <c r="E740" s="38" t="s">
        <v>2917</v>
      </c>
      <c r="G740" s="38" t="s">
        <v>43</v>
      </c>
      <c r="H740" s="38">
        <v>11.13</v>
      </c>
      <c r="I740" s="38" t="s">
        <v>44</v>
      </c>
      <c r="J740" s="38" t="s">
        <v>45</v>
      </c>
      <c r="K740" s="38" t="s">
        <v>2918</v>
      </c>
      <c r="L740" s="30" t="s">
        <v>58</v>
      </c>
      <c r="M740" s="38" t="s">
        <v>48</v>
      </c>
      <c r="N740" s="38" t="s">
        <v>48</v>
      </c>
      <c r="O740" s="31" t="s">
        <v>310</v>
      </c>
      <c r="P740" s="28" t="s">
        <v>311</v>
      </c>
      <c r="Q740" s="38" t="s">
        <v>312</v>
      </c>
      <c r="R740" s="38">
        <v>1</v>
      </c>
      <c r="S740" s="38" t="s">
        <v>75</v>
      </c>
      <c r="T740" s="38" t="s">
        <v>53</v>
      </c>
      <c r="U740" s="38" t="s">
        <v>54</v>
      </c>
      <c r="V740" s="38" t="s">
        <v>61</v>
      </c>
      <c r="Y740" s="38">
        <v>144.52000000000001</v>
      </c>
      <c r="Z740" s="38">
        <v>1</v>
      </c>
      <c r="AK740" s="14" t="e">
        <f t="shared" si="2"/>
        <v>#DIV/0!</v>
      </c>
      <c r="AO740" s="28"/>
    </row>
    <row r="741" spans="1:41" ht="12.5" hidden="1">
      <c r="A741" s="28" t="s">
        <v>2919</v>
      </c>
      <c r="B741" s="37">
        <v>45716</v>
      </c>
      <c r="C741" s="29">
        <v>45726</v>
      </c>
      <c r="D741" s="38" t="s">
        <v>41</v>
      </c>
      <c r="E741" s="38" t="s">
        <v>2920</v>
      </c>
      <c r="G741" s="38" t="s">
        <v>43</v>
      </c>
      <c r="H741" s="38">
        <v>11.13</v>
      </c>
      <c r="I741" s="38" t="s">
        <v>44</v>
      </c>
      <c r="J741" s="38" t="s">
        <v>45</v>
      </c>
      <c r="K741" s="38" t="s">
        <v>2921</v>
      </c>
      <c r="L741" s="30" t="s">
        <v>47</v>
      </c>
      <c r="M741" s="38" t="s">
        <v>48</v>
      </c>
      <c r="N741" s="38" t="s">
        <v>48</v>
      </c>
      <c r="O741" s="31" t="s">
        <v>310</v>
      </c>
      <c r="P741" s="28" t="s">
        <v>311</v>
      </c>
      <c r="Q741" s="38" t="s">
        <v>312</v>
      </c>
      <c r="R741" s="38">
        <v>1</v>
      </c>
      <c r="S741" s="38" t="s">
        <v>99</v>
      </c>
      <c r="T741" s="38" t="s">
        <v>53</v>
      </c>
      <c r="U741" s="38" t="s">
        <v>54</v>
      </c>
      <c r="V741" s="38" t="s">
        <v>560</v>
      </c>
      <c r="Y741" s="38">
        <v>146.49</v>
      </c>
      <c r="Z741" s="38">
        <v>1</v>
      </c>
      <c r="AK741" s="14" t="e">
        <f t="shared" si="2"/>
        <v>#DIV/0!</v>
      </c>
      <c r="AO741" s="28"/>
    </row>
    <row r="742" spans="1:41" ht="12.5" hidden="1">
      <c r="A742" s="28" t="s">
        <v>2922</v>
      </c>
      <c r="B742" s="39">
        <v>45717</v>
      </c>
      <c r="C742" s="29">
        <v>45722</v>
      </c>
      <c r="D742" s="38" t="s">
        <v>41</v>
      </c>
      <c r="E742" s="38" t="s">
        <v>2923</v>
      </c>
      <c r="G742" s="38" t="s">
        <v>43</v>
      </c>
      <c r="H742" s="38">
        <v>11.13</v>
      </c>
      <c r="I742" s="38" t="s">
        <v>44</v>
      </c>
      <c r="J742" s="38" t="s">
        <v>45</v>
      </c>
      <c r="K742" s="38" t="s">
        <v>2924</v>
      </c>
      <c r="L742" s="30" t="s">
        <v>47</v>
      </c>
      <c r="M742" s="38" t="s">
        <v>48</v>
      </c>
      <c r="N742" s="38" t="s">
        <v>48</v>
      </c>
      <c r="O742" s="31" t="s">
        <v>310</v>
      </c>
      <c r="P742" s="28" t="s">
        <v>311</v>
      </c>
      <c r="Q742" s="38" t="s">
        <v>312</v>
      </c>
      <c r="R742" s="38">
        <v>1</v>
      </c>
      <c r="S742" s="38" t="s">
        <v>92</v>
      </c>
      <c r="T742" s="38" t="s">
        <v>53</v>
      </c>
      <c r="U742" s="38" t="s">
        <v>54</v>
      </c>
      <c r="V742" s="38" t="s">
        <v>61</v>
      </c>
      <c r="Y742" s="38">
        <v>145.44</v>
      </c>
      <c r="Z742" s="38">
        <v>1</v>
      </c>
      <c r="AK742" s="14" t="e">
        <f t="shared" si="2"/>
        <v>#DIV/0!</v>
      </c>
      <c r="AO742" s="28"/>
    </row>
    <row r="743" spans="1:41" ht="12.5" hidden="1">
      <c r="A743" s="28" t="s">
        <v>2925</v>
      </c>
      <c r="B743" s="37">
        <v>45710</v>
      </c>
      <c r="C743" s="29">
        <v>45719</v>
      </c>
      <c r="D743" s="38" t="s">
        <v>41</v>
      </c>
      <c r="E743" s="38" t="s">
        <v>2926</v>
      </c>
      <c r="G743" s="38" t="s">
        <v>43</v>
      </c>
      <c r="H743" s="38">
        <v>11.1</v>
      </c>
      <c r="I743" s="38" t="s">
        <v>44</v>
      </c>
      <c r="J743" s="38" t="s">
        <v>45</v>
      </c>
      <c r="K743" s="38" t="s">
        <v>2927</v>
      </c>
      <c r="L743" s="30" t="s">
        <v>47</v>
      </c>
      <c r="M743" s="38" t="s">
        <v>48</v>
      </c>
      <c r="N743" s="38" t="s">
        <v>48</v>
      </c>
      <c r="O743" s="31" t="s">
        <v>310</v>
      </c>
      <c r="P743" s="28" t="s">
        <v>311</v>
      </c>
      <c r="Q743" s="38" t="s">
        <v>312</v>
      </c>
      <c r="R743" s="38">
        <v>1</v>
      </c>
      <c r="S743" s="38" t="s">
        <v>52</v>
      </c>
      <c r="T743" s="38" t="s">
        <v>53</v>
      </c>
      <c r="U743" s="38" t="s">
        <v>54</v>
      </c>
      <c r="V743" s="38" t="s">
        <v>61</v>
      </c>
      <c r="Y743" s="38">
        <v>145.44999999999999</v>
      </c>
      <c r="Z743" s="38">
        <v>1</v>
      </c>
      <c r="AF743" s="38">
        <v>145.44999999999999</v>
      </c>
      <c r="AK743" s="14" t="e">
        <f t="shared" si="2"/>
        <v>#DIV/0!</v>
      </c>
      <c r="AO743" s="28"/>
    </row>
    <row r="744" spans="1:41" ht="12.5" hidden="1">
      <c r="A744" s="28" t="s">
        <v>2928</v>
      </c>
      <c r="B744" s="37">
        <v>45709</v>
      </c>
      <c r="C744" s="29">
        <v>45744</v>
      </c>
      <c r="D744" s="38" t="s">
        <v>41</v>
      </c>
      <c r="E744" s="38" t="s">
        <v>2929</v>
      </c>
      <c r="G744" s="38" t="s">
        <v>43</v>
      </c>
      <c r="H744" s="38">
        <v>13.59</v>
      </c>
      <c r="I744" s="38" t="s">
        <v>44</v>
      </c>
      <c r="J744" s="38" t="s">
        <v>45</v>
      </c>
      <c r="K744" s="38" t="s">
        <v>2930</v>
      </c>
      <c r="L744" s="30" t="s">
        <v>58</v>
      </c>
      <c r="M744" s="38" t="s">
        <v>48</v>
      </c>
      <c r="N744" s="38" t="s">
        <v>48</v>
      </c>
      <c r="O744" s="31" t="s">
        <v>1134</v>
      </c>
      <c r="P744" s="28" t="s">
        <v>1135</v>
      </c>
      <c r="Q744" s="38" t="s">
        <v>1136</v>
      </c>
      <c r="R744" s="38">
        <v>1</v>
      </c>
      <c r="S744" s="38" t="s">
        <v>68</v>
      </c>
      <c r="T744" s="38" t="s">
        <v>53</v>
      </c>
      <c r="U744" s="38" t="s">
        <v>54</v>
      </c>
      <c r="V744" s="38" t="s">
        <v>55</v>
      </c>
      <c r="Y744" s="38">
        <v>78.59</v>
      </c>
      <c r="Z744" s="38">
        <v>1</v>
      </c>
      <c r="AF744" s="38">
        <v>65</v>
      </c>
      <c r="AI744" s="38">
        <v>3</v>
      </c>
      <c r="AJ744" s="38">
        <v>9</v>
      </c>
      <c r="AK744" s="14">
        <f t="shared" si="2"/>
        <v>0.33333333333333331</v>
      </c>
      <c r="AO744" s="28"/>
    </row>
    <row r="745" spans="1:41" ht="12.5" hidden="1">
      <c r="A745" s="28" t="s">
        <v>2931</v>
      </c>
      <c r="B745" s="37">
        <v>45741</v>
      </c>
      <c r="C745" s="29">
        <v>45743</v>
      </c>
      <c r="D745" s="38" t="s">
        <v>41</v>
      </c>
      <c r="E745" s="38" t="s">
        <v>2932</v>
      </c>
      <c r="G745" s="38" t="s">
        <v>43</v>
      </c>
      <c r="H745" s="38">
        <v>13.59</v>
      </c>
      <c r="I745" s="38" t="s">
        <v>44</v>
      </c>
      <c r="J745" s="38" t="s">
        <v>45</v>
      </c>
      <c r="K745" s="38" t="s">
        <v>2933</v>
      </c>
      <c r="L745" s="30" t="s">
        <v>47</v>
      </c>
      <c r="M745" s="38" t="s">
        <v>48</v>
      </c>
      <c r="N745" s="38" t="s">
        <v>48</v>
      </c>
      <c r="O745" s="31" t="s">
        <v>1134</v>
      </c>
      <c r="P745" s="28" t="s">
        <v>1135</v>
      </c>
      <c r="Q745" s="38" t="s">
        <v>1136</v>
      </c>
      <c r="R745" s="38">
        <v>1</v>
      </c>
      <c r="S745" s="38" t="s">
        <v>92</v>
      </c>
      <c r="T745" s="38" t="s">
        <v>53</v>
      </c>
      <c r="U745" s="38" t="s">
        <v>54</v>
      </c>
      <c r="V745" s="38" t="s">
        <v>55</v>
      </c>
      <c r="Y745" s="38">
        <v>77.58</v>
      </c>
      <c r="Z745" s="38">
        <v>1</v>
      </c>
      <c r="AF745" s="38">
        <v>77.58</v>
      </c>
      <c r="AK745" s="14" t="e">
        <f t="shared" si="2"/>
        <v>#DIV/0!</v>
      </c>
      <c r="AO745" s="28"/>
    </row>
    <row r="746" spans="1:41" ht="12.5" hidden="1">
      <c r="A746" s="28" t="s">
        <v>2934</v>
      </c>
      <c r="B746" s="39">
        <v>45720</v>
      </c>
      <c r="C746" s="29">
        <v>45726</v>
      </c>
      <c r="D746" s="38" t="s">
        <v>41</v>
      </c>
      <c r="E746" s="38" t="s">
        <v>2935</v>
      </c>
      <c r="G746" s="38" t="s">
        <v>43</v>
      </c>
      <c r="H746" s="38">
        <v>12.67</v>
      </c>
      <c r="I746" s="38" t="s">
        <v>44</v>
      </c>
      <c r="J746" s="38" t="s">
        <v>45</v>
      </c>
      <c r="K746" s="38" t="s">
        <v>2936</v>
      </c>
      <c r="L746" s="30" t="s">
        <v>47</v>
      </c>
      <c r="M746" s="38" t="s">
        <v>48</v>
      </c>
      <c r="N746" s="38" t="s">
        <v>48</v>
      </c>
      <c r="O746" s="31" t="s">
        <v>1134</v>
      </c>
      <c r="P746" s="28" t="s">
        <v>1135</v>
      </c>
      <c r="Q746" s="38" t="s">
        <v>1136</v>
      </c>
      <c r="R746" s="38">
        <v>1</v>
      </c>
      <c r="S746" s="38" t="s">
        <v>52</v>
      </c>
      <c r="T746" s="38" t="s">
        <v>53</v>
      </c>
      <c r="U746" s="38" t="s">
        <v>54</v>
      </c>
      <c r="V746" s="38" t="s">
        <v>55</v>
      </c>
      <c r="Y746" s="38">
        <v>81.2</v>
      </c>
      <c r="Z746" s="38">
        <v>1</v>
      </c>
      <c r="AF746" s="38">
        <v>81.2</v>
      </c>
      <c r="AK746" s="14" t="e">
        <f t="shared" si="2"/>
        <v>#DIV/0!</v>
      </c>
      <c r="AO746" s="28"/>
    </row>
    <row r="747" spans="1:41" ht="12.5" hidden="1">
      <c r="A747" s="28" t="s">
        <v>2937</v>
      </c>
      <c r="B747" s="37">
        <v>45732</v>
      </c>
      <c r="C747" s="29">
        <v>45747</v>
      </c>
      <c r="D747" s="38" t="s">
        <v>41</v>
      </c>
      <c r="E747" s="38" t="s">
        <v>2938</v>
      </c>
      <c r="G747" s="38" t="s">
        <v>43</v>
      </c>
      <c r="H747" s="38">
        <v>10.68</v>
      </c>
      <c r="I747" s="38" t="s">
        <v>44</v>
      </c>
      <c r="J747" s="38" t="s">
        <v>45</v>
      </c>
      <c r="K747" s="38" t="s">
        <v>2939</v>
      </c>
      <c r="L747" s="30" t="s">
        <v>47</v>
      </c>
      <c r="M747" s="38" t="s">
        <v>48</v>
      </c>
      <c r="N747" s="38" t="s">
        <v>48</v>
      </c>
      <c r="O747" s="31" t="s">
        <v>325</v>
      </c>
      <c r="P747" s="28" t="s">
        <v>326</v>
      </c>
      <c r="Q747" s="38" t="s">
        <v>327</v>
      </c>
      <c r="R747" s="38">
        <v>1</v>
      </c>
      <c r="S747" s="38" t="s">
        <v>52</v>
      </c>
      <c r="T747" s="38" t="s">
        <v>53</v>
      </c>
      <c r="U747" s="38" t="s">
        <v>54</v>
      </c>
      <c r="V747" s="38" t="s">
        <v>61</v>
      </c>
      <c r="Y747" s="38">
        <v>95.79</v>
      </c>
      <c r="Z747" s="38">
        <v>1</v>
      </c>
      <c r="AI747" s="38">
        <v>2</v>
      </c>
      <c r="AJ747" s="38">
        <v>6</v>
      </c>
      <c r="AK747" s="14">
        <f t="shared" si="2"/>
        <v>0.33333333333333331</v>
      </c>
      <c r="AO747" s="28"/>
    </row>
    <row r="748" spans="1:41" ht="12.5" hidden="1">
      <c r="A748" s="28" t="s">
        <v>2940</v>
      </c>
      <c r="B748" s="37">
        <v>45727</v>
      </c>
      <c r="C748" s="29">
        <v>45740</v>
      </c>
      <c r="D748" s="38" t="s">
        <v>41</v>
      </c>
      <c r="E748" s="38" t="s">
        <v>2941</v>
      </c>
      <c r="G748" s="38" t="s">
        <v>43</v>
      </c>
      <c r="H748" s="38">
        <v>10.68</v>
      </c>
      <c r="I748" s="38" t="s">
        <v>44</v>
      </c>
      <c r="J748" s="38" t="s">
        <v>45</v>
      </c>
      <c r="K748" s="38" t="s">
        <v>2942</v>
      </c>
      <c r="L748" s="30" t="s">
        <v>47</v>
      </c>
      <c r="M748" s="38" t="s">
        <v>48</v>
      </c>
      <c r="N748" s="38" t="s">
        <v>48</v>
      </c>
      <c r="O748" s="31" t="s">
        <v>325</v>
      </c>
      <c r="P748" s="28" t="s">
        <v>326</v>
      </c>
      <c r="Q748" s="38" t="s">
        <v>327</v>
      </c>
      <c r="R748" s="38">
        <v>1</v>
      </c>
      <c r="S748" s="38" t="s">
        <v>421</v>
      </c>
      <c r="T748" s="38" t="s">
        <v>53</v>
      </c>
      <c r="U748" s="38" t="s">
        <v>54</v>
      </c>
      <c r="V748" s="38" t="s">
        <v>55</v>
      </c>
      <c r="Y748" s="38">
        <v>97.57</v>
      </c>
      <c r="Z748" s="38">
        <v>1</v>
      </c>
      <c r="AF748" s="38">
        <v>97.57</v>
      </c>
      <c r="AK748" s="14" t="e">
        <f t="shared" si="2"/>
        <v>#DIV/0!</v>
      </c>
      <c r="AO748" s="28"/>
    </row>
    <row r="749" spans="1:41" ht="12.5" hidden="1">
      <c r="A749" s="28" t="s">
        <v>2943</v>
      </c>
      <c r="B749" s="37">
        <v>45732</v>
      </c>
      <c r="C749" s="29">
        <v>45737</v>
      </c>
      <c r="D749" s="38" t="s">
        <v>41</v>
      </c>
      <c r="E749" s="38" t="s">
        <v>2944</v>
      </c>
      <c r="G749" s="38" t="s">
        <v>43</v>
      </c>
      <c r="H749" s="38">
        <v>10.68</v>
      </c>
      <c r="I749" s="38" t="s">
        <v>44</v>
      </c>
      <c r="J749" s="38" t="s">
        <v>45</v>
      </c>
      <c r="K749" s="38" t="s">
        <v>2945</v>
      </c>
      <c r="L749" s="30" t="s">
        <v>47</v>
      </c>
      <c r="M749" s="38" t="s">
        <v>48</v>
      </c>
      <c r="N749" s="38" t="s">
        <v>48</v>
      </c>
      <c r="O749" s="31" t="s">
        <v>331</v>
      </c>
      <c r="P749" s="28" t="s">
        <v>332</v>
      </c>
      <c r="Q749" s="38" t="s">
        <v>333</v>
      </c>
      <c r="R749" s="38">
        <v>1</v>
      </c>
      <c r="S749" s="38" t="s">
        <v>99</v>
      </c>
      <c r="T749" s="38" t="s">
        <v>53</v>
      </c>
      <c r="U749" s="38" t="s">
        <v>54</v>
      </c>
      <c r="V749" s="38" t="s">
        <v>61</v>
      </c>
      <c r="Y749" s="38">
        <v>81.08</v>
      </c>
      <c r="Z749" s="38">
        <v>1</v>
      </c>
      <c r="AI749" s="38">
        <v>1</v>
      </c>
      <c r="AJ749" s="38">
        <v>6</v>
      </c>
      <c r="AK749" s="14">
        <f t="shared" si="2"/>
        <v>0.16666666666666666</v>
      </c>
      <c r="AO749" s="28"/>
    </row>
    <row r="750" spans="1:41" ht="12.5" hidden="1">
      <c r="A750" s="28" t="s">
        <v>2946</v>
      </c>
      <c r="B750" s="37">
        <v>45739</v>
      </c>
      <c r="C750" s="29">
        <v>45746</v>
      </c>
      <c r="D750" s="38" t="s">
        <v>41</v>
      </c>
      <c r="E750" s="38" t="s">
        <v>2947</v>
      </c>
      <c r="G750" s="38" t="s">
        <v>43</v>
      </c>
      <c r="H750" s="38">
        <v>10.4</v>
      </c>
      <c r="I750" s="38" t="s">
        <v>44</v>
      </c>
      <c r="J750" s="38" t="s">
        <v>45</v>
      </c>
      <c r="K750" s="38" t="s">
        <v>2948</v>
      </c>
      <c r="L750" s="30" t="s">
        <v>58</v>
      </c>
      <c r="M750" s="38" t="s">
        <v>48</v>
      </c>
      <c r="N750" s="38" t="s">
        <v>48</v>
      </c>
      <c r="O750" s="31" t="s">
        <v>337</v>
      </c>
      <c r="P750" s="28" t="s">
        <v>338</v>
      </c>
      <c r="Q750" s="38" t="s">
        <v>1846</v>
      </c>
      <c r="R750" s="38">
        <v>1</v>
      </c>
      <c r="S750" s="38" t="s">
        <v>68</v>
      </c>
      <c r="T750" s="38" t="s">
        <v>53</v>
      </c>
      <c r="U750" s="38" t="s">
        <v>54</v>
      </c>
      <c r="V750" s="38" t="s">
        <v>61</v>
      </c>
      <c r="Y750" s="38">
        <v>73.040000000000006</v>
      </c>
      <c r="Z750" s="38">
        <v>1</v>
      </c>
      <c r="AI750" s="38">
        <v>5</v>
      </c>
      <c r="AJ750" s="38">
        <v>32</v>
      </c>
      <c r="AK750" s="14">
        <f t="shared" si="2"/>
        <v>0.15625</v>
      </c>
      <c r="AO750" s="28"/>
    </row>
    <row r="751" spans="1:41" ht="12.5" hidden="1">
      <c r="A751" s="28" t="s">
        <v>2949</v>
      </c>
      <c r="B751" s="39">
        <v>45719</v>
      </c>
      <c r="C751" s="29">
        <v>45745</v>
      </c>
      <c r="D751" s="38" t="s">
        <v>41</v>
      </c>
      <c r="E751" s="38" t="s">
        <v>2950</v>
      </c>
      <c r="G751" s="38" t="s">
        <v>43</v>
      </c>
      <c r="H751" s="38">
        <v>10.4</v>
      </c>
      <c r="I751" s="38" t="s">
        <v>44</v>
      </c>
      <c r="J751" s="38" t="s">
        <v>45</v>
      </c>
      <c r="K751" s="38" t="s">
        <v>2951</v>
      </c>
      <c r="L751" s="30" t="s">
        <v>58</v>
      </c>
      <c r="M751" s="38" t="s">
        <v>48</v>
      </c>
      <c r="N751" s="38" t="s">
        <v>48</v>
      </c>
      <c r="O751" s="31" t="s">
        <v>337</v>
      </c>
      <c r="P751" s="28" t="s">
        <v>338</v>
      </c>
      <c r="Q751" s="38" t="s">
        <v>1846</v>
      </c>
      <c r="R751" s="38">
        <v>1</v>
      </c>
      <c r="S751" s="38" t="s">
        <v>75</v>
      </c>
      <c r="T751" s="38" t="s">
        <v>53</v>
      </c>
      <c r="U751" s="38" t="s">
        <v>54</v>
      </c>
      <c r="V751" s="38" t="s">
        <v>61</v>
      </c>
      <c r="Y751" s="38">
        <v>72.680000000000007</v>
      </c>
      <c r="Z751" s="38">
        <v>1</v>
      </c>
      <c r="AK751" s="14" t="e">
        <f t="shared" si="2"/>
        <v>#DIV/0!</v>
      </c>
      <c r="AO751" s="28"/>
    </row>
    <row r="752" spans="1:41" ht="12.5" hidden="1">
      <c r="A752" s="28" t="s">
        <v>2952</v>
      </c>
      <c r="B752" s="39">
        <v>45725</v>
      </c>
      <c r="C752" s="29">
        <v>45728</v>
      </c>
      <c r="D752" s="38" t="s">
        <v>41</v>
      </c>
      <c r="E752" s="38" t="s">
        <v>2953</v>
      </c>
      <c r="G752" s="38" t="s">
        <v>43</v>
      </c>
      <c r="H752" s="38">
        <v>10.4</v>
      </c>
      <c r="I752" s="38" t="s">
        <v>44</v>
      </c>
      <c r="J752" s="38" t="s">
        <v>45</v>
      </c>
      <c r="K752" s="38" t="s">
        <v>2954</v>
      </c>
      <c r="L752" s="30" t="s">
        <v>58</v>
      </c>
      <c r="M752" s="38" t="s">
        <v>48</v>
      </c>
      <c r="N752" s="38" t="s">
        <v>48</v>
      </c>
      <c r="O752" s="31" t="s">
        <v>337</v>
      </c>
      <c r="P752" s="28" t="s">
        <v>338</v>
      </c>
      <c r="Q752" s="38" t="s">
        <v>1846</v>
      </c>
      <c r="R752" s="38">
        <v>1</v>
      </c>
      <c r="S752" s="38" t="s">
        <v>68</v>
      </c>
      <c r="T752" s="38" t="s">
        <v>53</v>
      </c>
      <c r="U752" s="38" t="s">
        <v>54</v>
      </c>
      <c r="V752" s="38" t="s">
        <v>55</v>
      </c>
      <c r="Y752" s="38">
        <v>73.349999999999994</v>
      </c>
      <c r="Z752" s="38">
        <v>1</v>
      </c>
      <c r="AF752" s="38">
        <v>62.95</v>
      </c>
      <c r="AK752" s="14" t="e">
        <f t="shared" si="2"/>
        <v>#DIV/0!</v>
      </c>
      <c r="AO752" s="28"/>
    </row>
    <row r="753" spans="1:41" ht="12.5" hidden="1">
      <c r="A753" s="28" t="s">
        <v>2955</v>
      </c>
      <c r="B753" s="37">
        <v>45688</v>
      </c>
      <c r="C753" s="29">
        <v>45728</v>
      </c>
      <c r="D753" s="38" t="s">
        <v>41</v>
      </c>
      <c r="E753" s="38" t="s">
        <v>2956</v>
      </c>
      <c r="G753" s="38" t="s">
        <v>43</v>
      </c>
      <c r="H753" s="38">
        <v>10.4</v>
      </c>
      <c r="I753" s="38" t="s">
        <v>44</v>
      </c>
      <c r="J753" s="38" t="s">
        <v>45</v>
      </c>
      <c r="K753" s="38" t="s">
        <v>2957</v>
      </c>
      <c r="L753" s="30" t="s">
        <v>47</v>
      </c>
      <c r="M753" s="38" t="s">
        <v>48</v>
      </c>
      <c r="N753" s="38" t="s">
        <v>48</v>
      </c>
      <c r="O753" s="31" t="s">
        <v>337</v>
      </c>
      <c r="P753" s="28" t="s">
        <v>338</v>
      </c>
      <c r="Q753" s="38" t="s">
        <v>1846</v>
      </c>
      <c r="R753" s="38">
        <v>1</v>
      </c>
      <c r="S753" s="38" t="s">
        <v>52</v>
      </c>
      <c r="T753" s="38" t="s">
        <v>53</v>
      </c>
      <c r="U753" s="38" t="s">
        <v>54</v>
      </c>
      <c r="V753" s="38" t="s">
        <v>55</v>
      </c>
      <c r="Y753" s="38">
        <v>74.58</v>
      </c>
      <c r="Z753" s="38">
        <v>1</v>
      </c>
      <c r="AF753" s="38">
        <v>74.58</v>
      </c>
      <c r="AK753" s="14" t="e">
        <f t="shared" si="2"/>
        <v>#DIV/0!</v>
      </c>
      <c r="AO753" s="28"/>
    </row>
    <row r="754" spans="1:41" ht="12.5" hidden="1">
      <c r="A754" s="28" t="s">
        <v>2958</v>
      </c>
      <c r="B754" s="39">
        <v>45695</v>
      </c>
      <c r="C754" s="29">
        <v>45717</v>
      </c>
      <c r="D754" s="38" t="s">
        <v>41</v>
      </c>
      <c r="E754" s="38" t="s">
        <v>2959</v>
      </c>
      <c r="G754" s="38" t="s">
        <v>43</v>
      </c>
      <c r="H754" s="38">
        <v>10.38</v>
      </c>
      <c r="I754" s="38" t="s">
        <v>44</v>
      </c>
      <c r="J754" s="38" t="s">
        <v>45</v>
      </c>
      <c r="K754" s="38" t="s">
        <v>2960</v>
      </c>
      <c r="L754" s="30" t="s">
        <v>58</v>
      </c>
      <c r="M754" s="38" t="s">
        <v>48</v>
      </c>
      <c r="N754" s="38" t="s">
        <v>48</v>
      </c>
      <c r="O754" s="31" t="s">
        <v>337</v>
      </c>
      <c r="P754" s="28" t="s">
        <v>338</v>
      </c>
      <c r="Q754" s="38" t="s">
        <v>1846</v>
      </c>
      <c r="R754" s="38">
        <v>1</v>
      </c>
      <c r="S754" s="38" t="s">
        <v>75</v>
      </c>
      <c r="T754" s="38" t="s">
        <v>53</v>
      </c>
      <c r="U754" s="38" t="s">
        <v>54</v>
      </c>
      <c r="V754" s="38" t="s">
        <v>61</v>
      </c>
      <c r="Y754" s="38">
        <v>72.680000000000007</v>
      </c>
      <c r="Z754" s="38">
        <v>1</v>
      </c>
      <c r="AK754" s="14" t="e">
        <f t="shared" si="2"/>
        <v>#DIV/0!</v>
      </c>
      <c r="AO754" s="28"/>
    </row>
    <row r="755" spans="1:41" ht="12.5" hidden="1">
      <c r="A755" s="28" t="s">
        <v>2961</v>
      </c>
      <c r="B755" s="37">
        <v>45728</v>
      </c>
      <c r="C755" s="29">
        <v>45732</v>
      </c>
      <c r="D755" s="38" t="s">
        <v>41</v>
      </c>
      <c r="E755" s="38" t="s">
        <v>2962</v>
      </c>
      <c r="G755" s="38" t="s">
        <v>43</v>
      </c>
      <c r="H755" s="38">
        <v>12.67</v>
      </c>
      <c r="I755" s="38" t="s">
        <v>44</v>
      </c>
      <c r="J755" s="38" t="s">
        <v>45</v>
      </c>
      <c r="K755" s="38" t="s">
        <v>2963</v>
      </c>
      <c r="L755" s="30" t="s">
        <v>47</v>
      </c>
      <c r="M755" s="38" t="s">
        <v>48</v>
      </c>
      <c r="N755" s="38" t="s">
        <v>48</v>
      </c>
      <c r="O755" s="31" t="s">
        <v>357</v>
      </c>
      <c r="P755" s="28" t="s">
        <v>358</v>
      </c>
      <c r="Q755" s="38" t="s">
        <v>359</v>
      </c>
      <c r="R755" s="38">
        <v>1</v>
      </c>
      <c r="S755" s="38" t="s">
        <v>52</v>
      </c>
      <c r="T755" s="38" t="s">
        <v>53</v>
      </c>
      <c r="U755" s="38" t="s">
        <v>54</v>
      </c>
      <c r="V755" s="38" t="s">
        <v>55</v>
      </c>
      <c r="Y755" s="38">
        <v>74.540000000000006</v>
      </c>
      <c r="Z755" s="38">
        <v>1</v>
      </c>
      <c r="AF755" s="38">
        <v>74.540000000000006</v>
      </c>
      <c r="AI755" s="38">
        <v>2</v>
      </c>
      <c r="AJ755" s="38">
        <v>5</v>
      </c>
      <c r="AK755" s="14">
        <f t="shared" si="2"/>
        <v>0.4</v>
      </c>
      <c r="AO755" s="28"/>
    </row>
    <row r="756" spans="1:41" ht="12.5" hidden="1">
      <c r="A756" s="28" t="s">
        <v>2964</v>
      </c>
      <c r="B756" s="39">
        <v>45718</v>
      </c>
      <c r="C756" s="29">
        <v>45725</v>
      </c>
      <c r="D756" s="38" t="s">
        <v>41</v>
      </c>
      <c r="E756" s="38" t="s">
        <v>2965</v>
      </c>
      <c r="G756" s="38" t="s">
        <v>43</v>
      </c>
      <c r="H756" s="38">
        <v>12.67</v>
      </c>
      <c r="I756" s="38" t="s">
        <v>44</v>
      </c>
      <c r="J756" s="38" t="s">
        <v>45</v>
      </c>
      <c r="K756" s="38" t="s">
        <v>2966</v>
      </c>
      <c r="L756" s="30" t="s">
        <v>47</v>
      </c>
      <c r="M756" s="38" t="s">
        <v>48</v>
      </c>
      <c r="N756" s="38" t="s">
        <v>48</v>
      </c>
      <c r="O756" s="31" t="s">
        <v>357</v>
      </c>
      <c r="P756" s="28" t="s">
        <v>358</v>
      </c>
      <c r="Q756" s="38" t="s">
        <v>359</v>
      </c>
      <c r="R756" s="38">
        <v>1</v>
      </c>
      <c r="S756" s="38" t="s">
        <v>82</v>
      </c>
      <c r="T756" s="38" t="s">
        <v>53</v>
      </c>
      <c r="U756" s="38" t="s">
        <v>54</v>
      </c>
      <c r="V756" s="38" t="s">
        <v>61</v>
      </c>
      <c r="Y756" s="38">
        <v>77.11</v>
      </c>
      <c r="Z756" s="38">
        <v>1</v>
      </c>
      <c r="AK756" s="14" t="e">
        <f t="shared" si="2"/>
        <v>#DIV/0!</v>
      </c>
      <c r="AO756" s="28"/>
    </row>
    <row r="757" spans="1:41" ht="12.5" hidden="1">
      <c r="A757" s="28" t="s">
        <v>2967</v>
      </c>
      <c r="B757" s="39">
        <v>45719</v>
      </c>
      <c r="C757" s="29">
        <v>45739</v>
      </c>
      <c r="D757" s="38" t="s">
        <v>41</v>
      </c>
      <c r="E757" s="38" t="s">
        <v>2968</v>
      </c>
      <c r="G757" s="38" t="s">
        <v>43</v>
      </c>
      <c r="H757" s="38">
        <v>10.4</v>
      </c>
      <c r="I757" s="38" t="s">
        <v>44</v>
      </c>
      <c r="J757" s="38" t="s">
        <v>45</v>
      </c>
      <c r="K757" s="38" t="s">
        <v>2969</v>
      </c>
      <c r="L757" s="30" t="s">
        <v>47</v>
      </c>
      <c r="M757" s="38" t="s">
        <v>48</v>
      </c>
      <c r="N757" s="38" t="s">
        <v>48</v>
      </c>
      <c r="O757" s="31" t="s">
        <v>369</v>
      </c>
      <c r="P757" s="28" t="s">
        <v>370</v>
      </c>
      <c r="Q757" s="38" t="s">
        <v>2970</v>
      </c>
      <c r="R757" s="38">
        <v>1</v>
      </c>
      <c r="S757" s="38" t="s">
        <v>421</v>
      </c>
      <c r="T757" s="38" t="s">
        <v>53</v>
      </c>
      <c r="U757" s="38" t="s">
        <v>54</v>
      </c>
      <c r="V757" s="38" t="s">
        <v>61</v>
      </c>
      <c r="Y757" s="38">
        <v>80.56</v>
      </c>
      <c r="Z757" s="38">
        <v>1</v>
      </c>
      <c r="AI757" s="38">
        <v>1</v>
      </c>
      <c r="AJ757" s="38">
        <v>11</v>
      </c>
      <c r="AK757" s="14">
        <f t="shared" si="2"/>
        <v>9.0909090909090912E-2</v>
      </c>
      <c r="AO757" s="28"/>
    </row>
    <row r="758" spans="1:41" ht="12.5" hidden="1">
      <c r="A758" s="28" t="s">
        <v>2971</v>
      </c>
      <c r="B758" s="37">
        <v>45733</v>
      </c>
      <c r="C758" s="29">
        <v>45744</v>
      </c>
      <c r="D758" s="38" t="s">
        <v>41</v>
      </c>
      <c r="E758" s="38" t="s">
        <v>2972</v>
      </c>
      <c r="G758" s="38" t="s">
        <v>43</v>
      </c>
      <c r="H758" s="38">
        <v>11.77</v>
      </c>
      <c r="I758" s="38" t="s">
        <v>44</v>
      </c>
      <c r="J758" s="38" t="s">
        <v>45</v>
      </c>
      <c r="K758" s="38" t="s">
        <v>2973</v>
      </c>
      <c r="L758" s="30" t="s">
        <v>47</v>
      </c>
      <c r="M758" s="38" t="s">
        <v>48</v>
      </c>
      <c r="N758" s="38" t="s">
        <v>48</v>
      </c>
      <c r="O758" s="31" t="s">
        <v>384</v>
      </c>
      <c r="P758" s="28" t="s">
        <v>385</v>
      </c>
      <c r="Q758" s="38" t="s">
        <v>386</v>
      </c>
      <c r="R758" s="38">
        <v>1</v>
      </c>
      <c r="S758" s="38" t="s">
        <v>99</v>
      </c>
      <c r="T758" s="38" t="s">
        <v>53</v>
      </c>
      <c r="U758" s="38" t="s">
        <v>54</v>
      </c>
      <c r="V758" s="38" t="s">
        <v>55</v>
      </c>
      <c r="Y758" s="38">
        <v>93.68</v>
      </c>
      <c r="Z758" s="38">
        <v>1</v>
      </c>
      <c r="AF758" s="38">
        <v>93.68</v>
      </c>
      <c r="AI758" s="38">
        <v>2</v>
      </c>
      <c r="AJ758" s="38">
        <v>2</v>
      </c>
      <c r="AK758" s="14">
        <f t="shared" si="2"/>
        <v>1</v>
      </c>
      <c r="AO758" s="28"/>
    </row>
    <row r="759" spans="1:41" ht="12.5" hidden="1">
      <c r="A759" s="28" t="s">
        <v>2974</v>
      </c>
      <c r="B759" s="37">
        <v>45715</v>
      </c>
      <c r="C759" s="29">
        <v>45723</v>
      </c>
      <c r="D759" s="38" t="s">
        <v>41</v>
      </c>
      <c r="E759" s="38" t="s">
        <v>2975</v>
      </c>
      <c r="G759" s="38" t="s">
        <v>43</v>
      </c>
      <c r="H759" s="38">
        <v>11.77</v>
      </c>
      <c r="I759" s="38" t="s">
        <v>44</v>
      </c>
      <c r="J759" s="38" t="s">
        <v>45</v>
      </c>
      <c r="K759" s="38" t="s">
        <v>2976</v>
      </c>
      <c r="L759" s="30" t="s">
        <v>47</v>
      </c>
      <c r="M759" s="38" t="s">
        <v>48</v>
      </c>
      <c r="N759" s="38" t="s">
        <v>48</v>
      </c>
      <c r="O759" s="31" t="s">
        <v>384</v>
      </c>
      <c r="P759" s="28" t="s">
        <v>385</v>
      </c>
      <c r="Q759" s="38" t="s">
        <v>386</v>
      </c>
      <c r="R759" s="38">
        <v>1</v>
      </c>
      <c r="S759" s="38" t="s">
        <v>99</v>
      </c>
      <c r="T759" s="38" t="s">
        <v>53</v>
      </c>
      <c r="U759" s="38" t="s">
        <v>54</v>
      </c>
      <c r="V759" s="38" t="s">
        <v>55</v>
      </c>
      <c r="Y759" s="38">
        <v>92.99</v>
      </c>
      <c r="Z759" s="38">
        <v>1</v>
      </c>
      <c r="AF759" s="38">
        <v>92.99</v>
      </c>
      <c r="AK759" s="14" t="e">
        <f t="shared" si="2"/>
        <v>#DIV/0!</v>
      </c>
      <c r="AO759" s="28"/>
    </row>
    <row r="760" spans="1:41" ht="12.5" hidden="1">
      <c r="A760" s="28" t="s">
        <v>2977</v>
      </c>
      <c r="B760" s="37">
        <v>45726</v>
      </c>
      <c r="C760" s="29">
        <v>45738</v>
      </c>
      <c r="D760" s="38" t="s">
        <v>41</v>
      </c>
      <c r="E760" s="38" t="s">
        <v>2978</v>
      </c>
      <c r="G760" s="38" t="s">
        <v>43</v>
      </c>
      <c r="H760" s="38">
        <v>7.33</v>
      </c>
      <c r="I760" s="38" t="s">
        <v>44</v>
      </c>
      <c r="J760" s="38" t="s">
        <v>45</v>
      </c>
      <c r="K760" s="38" t="s">
        <v>2979</v>
      </c>
      <c r="L760" s="30" t="s">
        <v>58</v>
      </c>
      <c r="M760" s="38" t="s">
        <v>48</v>
      </c>
      <c r="N760" s="38" t="s">
        <v>48</v>
      </c>
      <c r="O760" s="31" t="s">
        <v>390</v>
      </c>
      <c r="P760" s="28" t="s">
        <v>391</v>
      </c>
      <c r="Q760" s="38" t="s">
        <v>2980</v>
      </c>
      <c r="R760" s="38">
        <v>1</v>
      </c>
      <c r="S760" s="38" t="s">
        <v>75</v>
      </c>
      <c r="T760" s="38" t="s">
        <v>53</v>
      </c>
      <c r="U760" s="38" t="s">
        <v>54</v>
      </c>
      <c r="V760" s="38" t="s">
        <v>55</v>
      </c>
      <c r="Y760" s="38">
        <v>46.07</v>
      </c>
      <c r="Z760" s="38">
        <v>1</v>
      </c>
      <c r="AF760" s="38">
        <v>38.74</v>
      </c>
      <c r="AI760" s="38">
        <v>3</v>
      </c>
      <c r="AJ760" s="38">
        <v>58</v>
      </c>
      <c r="AK760" s="14">
        <f t="shared" si="2"/>
        <v>5.1724137931034482E-2</v>
      </c>
      <c r="AO760" s="28"/>
    </row>
    <row r="761" spans="1:41" ht="12.5" hidden="1">
      <c r="A761" s="28" t="s">
        <v>2981</v>
      </c>
      <c r="B761" s="37">
        <v>45715</v>
      </c>
      <c r="C761" s="29">
        <v>45721</v>
      </c>
      <c r="D761" s="38" t="s">
        <v>41</v>
      </c>
      <c r="E761" s="38" t="s">
        <v>2982</v>
      </c>
      <c r="G761" s="38" t="s">
        <v>43</v>
      </c>
      <c r="H761" s="38">
        <v>7.31</v>
      </c>
      <c r="I761" s="38" t="s">
        <v>44</v>
      </c>
      <c r="J761" s="38" t="s">
        <v>45</v>
      </c>
      <c r="K761" s="38" t="s">
        <v>2983</v>
      </c>
      <c r="L761" s="30" t="s">
        <v>47</v>
      </c>
      <c r="M761" s="38" t="s">
        <v>48</v>
      </c>
      <c r="N761" s="38" t="s">
        <v>48</v>
      </c>
      <c r="O761" s="31" t="s">
        <v>390</v>
      </c>
      <c r="P761" s="28" t="s">
        <v>391</v>
      </c>
      <c r="Q761" s="38" t="s">
        <v>2980</v>
      </c>
      <c r="R761" s="38">
        <v>1</v>
      </c>
      <c r="S761" s="38" t="s">
        <v>99</v>
      </c>
      <c r="T761" s="38" t="s">
        <v>53</v>
      </c>
      <c r="U761" s="38" t="s">
        <v>54</v>
      </c>
      <c r="V761" s="38" t="s">
        <v>61</v>
      </c>
      <c r="Y761" s="38">
        <v>47.54</v>
      </c>
      <c r="Z761" s="38">
        <v>1</v>
      </c>
      <c r="AF761" s="38">
        <v>47.54</v>
      </c>
      <c r="AK761" s="14" t="e">
        <f t="shared" si="2"/>
        <v>#DIV/0!</v>
      </c>
      <c r="AO761" s="28"/>
    </row>
    <row r="762" spans="1:41" ht="12.5" hidden="1">
      <c r="A762" s="28" t="s">
        <v>2984</v>
      </c>
      <c r="B762" s="37">
        <v>45688</v>
      </c>
      <c r="C762" s="29">
        <v>45718</v>
      </c>
      <c r="D762" s="38" t="s">
        <v>41</v>
      </c>
      <c r="E762" s="38" t="s">
        <v>2985</v>
      </c>
      <c r="G762" s="38" t="s">
        <v>43</v>
      </c>
      <c r="H762" s="38">
        <v>7.31</v>
      </c>
      <c r="I762" s="38" t="s">
        <v>44</v>
      </c>
      <c r="J762" s="38" t="s">
        <v>45</v>
      </c>
      <c r="K762" s="38" t="s">
        <v>2986</v>
      </c>
      <c r="L762" s="30" t="s">
        <v>58</v>
      </c>
      <c r="M762" s="38" t="s">
        <v>48</v>
      </c>
      <c r="N762" s="38" t="s">
        <v>48</v>
      </c>
      <c r="O762" s="31" t="s">
        <v>390</v>
      </c>
      <c r="P762" s="28" t="s">
        <v>391</v>
      </c>
      <c r="Q762" s="38" t="s">
        <v>2980</v>
      </c>
      <c r="R762" s="38">
        <v>1</v>
      </c>
      <c r="S762" s="38" t="s">
        <v>68</v>
      </c>
      <c r="T762" s="38" t="s">
        <v>53</v>
      </c>
      <c r="U762" s="38" t="s">
        <v>54</v>
      </c>
      <c r="V762" s="38" t="s">
        <v>55</v>
      </c>
      <c r="Y762" s="38">
        <v>46.86</v>
      </c>
      <c r="Z762" s="38">
        <v>1</v>
      </c>
      <c r="AF762" s="38">
        <v>39.549999999999997</v>
      </c>
      <c r="AK762" s="14" t="e">
        <f t="shared" si="2"/>
        <v>#DIV/0!</v>
      </c>
      <c r="AO762" s="28"/>
    </row>
    <row r="763" spans="1:41" ht="12.5" hidden="1">
      <c r="A763" s="28" t="s">
        <v>2987</v>
      </c>
      <c r="B763" s="37">
        <v>45729</v>
      </c>
      <c r="C763" s="29">
        <v>45734</v>
      </c>
      <c r="D763" s="38" t="s">
        <v>41</v>
      </c>
      <c r="E763" s="38" t="s">
        <v>2988</v>
      </c>
      <c r="G763" s="38" t="s">
        <v>43</v>
      </c>
      <c r="H763" s="38">
        <v>10.68</v>
      </c>
      <c r="I763" s="38" t="s">
        <v>44</v>
      </c>
      <c r="J763" s="38" t="s">
        <v>45</v>
      </c>
      <c r="K763" s="38" t="s">
        <v>2989</v>
      </c>
      <c r="L763" s="30" t="s">
        <v>58</v>
      </c>
      <c r="M763" s="38" t="s">
        <v>48</v>
      </c>
      <c r="N763" s="38" t="s">
        <v>48</v>
      </c>
      <c r="O763" s="31" t="s">
        <v>396</v>
      </c>
      <c r="P763" s="28" t="s">
        <v>397</v>
      </c>
      <c r="Q763" s="38" t="s">
        <v>402</v>
      </c>
      <c r="R763" s="38">
        <v>1</v>
      </c>
      <c r="S763" s="38" t="s">
        <v>2990</v>
      </c>
      <c r="T763" s="38" t="s">
        <v>53</v>
      </c>
      <c r="U763" s="38" t="s">
        <v>54</v>
      </c>
      <c r="V763" s="38" t="s">
        <v>61</v>
      </c>
      <c r="Y763" s="38">
        <v>66</v>
      </c>
      <c r="Z763" s="38">
        <v>1</v>
      </c>
      <c r="AI763" s="38">
        <v>2</v>
      </c>
      <c r="AJ763" s="38">
        <v>6</v>
      </c>
      <c r="AK763" s="14">
        <f t="shared" si="2"/>
        <v>0.33333333333333331</v>
      </c>
      <c r="AO763" s="28"/>
    </row>
    <row r="764" spans="1:41" ht="12.5" hidden="1">
      <c r="A764" s="28" t="s">
        <v>2991</v>
      </c>
      <c r="B764" s="39">
        <v>45717</v>
      </c>
      <c r="C764" s="29">
        <v>45722</v>
      </c>
      <c r="D764" s="38" t="s">
        <v>41</v>
      </c>
      <c r="E764" s="38" t="s">
        <v>2992</v>
      </c>
      <c r="G764" s="38" t="s">
        <v>43</v>
      </c>
      <c r="H764" s="38">
        <v>10.68</v>
      </c>
      <c r="I764" s="38" t="s">
        <v>44</v>
      </c>
      <c r="J764" s="38" t="s">
        <v>45</v>
      </c>
      <c r="K764" s="38" t="s">
        <v>2993</v>
      </c>
      <c r="L764" s="30" t="s">
        <v>58</v>
      </c>
      <c r="M764" s="38" t="s">
        <v>48</v>
      </c>
      <c r="N764" s="38" t="s">
        <v>48</v>
      </c>
      <c r="O764" s="31" t="s">
        <v>396</v>
      </c>
      <c r="P764" s="28" t="s">
        <v>397</v>
      </c>
      <c r="Q764" s="38" t="s">
        <v>402</v>
      </c>
      <c r="R764" s="38">
        <v>1</v>
      </c>
      <c r="S764" s="38" t="s">
        <v>68</v>
      </c>
      <c r="T764" s="38" t="s">
        <v>53</v>
      </c>
      <c r="U764" s="38" t="s">
        <v>54</v>
      </c>
      <c r="V764" s="38" t="s">
        <v>61</v>
      </c>
      <c r="Y764" s="38">
        <v>60.9</v>
      </c>
      <c r="Z764" s="38">
        <v>1</v>
      </c>
      <c r="AF764" s="38">
        <v>45.95</v>
      </c>
      <c r="AK764" s="14" t="e">
        <f t="shared" si="2"/>
        <v>#DIV/0!</v>
      </c>
      <c r="AO764" s="28"/>
    </row>
    <row r="765" spans="1:41" ht="12.5" hidden="1">
      <c r="A765" s="28" t="s">
        <v>2994</v>
      </c>
      <c r="B765" s="37">
        <v>45732</v>
      </c>
      <c r="C765" s="29">
        <v>45737</v>
      </c>
      <c r="D765" s="38" t="s">
        <v>41</v>
      </c>
      <c r="E765" s="38" t="s">
        <v>2995</v>
      </c>
      <c r="G765" s="38" t="s">
        <v>43</v>
      </c>
      <c r="H765" s="38">
        <v>64.2</v>
      </c>
      <c r="I765" s="38" t="s">
        <v>44</v>
      </c>
      <c r="J765" s="38" t="s">
        <v>45</v>
      </c>
      <c r="K765" s="38" t="s">
        <v>2996</v>
      </c>
      <c r="L765" s="30" t="s">
        <v>47</v>
      </c>
      <c r="M765" s="38" t="s">
        <v>48</v>
      </c>
      <c r="N765" s="38" t="s">
        <v>48</v>
      </c>
      <c r="O765" s="31" t="s">
        <v>412</v>
      </c>
      <c r="P765" s="28" t="s">
        <v>413</v>
      </c>
      <c r="Q765" s="38" t="s">
        <v>1193</v>
      </c>
      <c r="R765" s="38">
        <v>1</v>
      </c>
      <c r="S765" s="38" t="s">
        <v>82</v>
      </c>
      <c r="T765" s="38" t="s">
        <v>53</v>
      </c>
      <c r="U765" s="38" t="s">
        <v>54</v>
      </c>
      <c r="V765" s="38" t="s">
        <v>61</v>
      </c>
      <c r="Y765" s="38">
        <v>194.92</v>
      </c>
      <c r="Z765" s="38">
        <v>1</v>
      </c>
      <c r="AI765" s="38">
        <v>2</v>
      </c>
      <c r="AJ765" s="38">
        <v>12</v>
      </c>
      <c r="AK765" s="14">
        <f t="shared" si="2"/>
        <v>0.16666666666666666</v>
      </c>
      <c r="AO765" s="28"/>
    </row>
    <row r="766" spans="1:41" ht="12.5" hidden="1">
      <c r="A766" s="28" t="s">
        <v>2997</v>
      </c>
      <c r="B766" s="37">
        <v>45681</v>
      </c>
      <c r="C766" s="29">
        <v>45718</v>
      </c>
      <c r="D766" s="38" t="s">
        <v>41</v>
      </c>
      <c r="E766" s="38" t="s">
        <v>2998</v>
      </c>
      <c r="G766" s="38" t="s">
        <v>43</v>
      </c>
      <c r="H766" s="38">
        <v>68.45</v>
      </c>
      <c r="I766" s="38" t="s">
        <v>44</v>
      </c>
      <c r="J766" s="38" t="s">
        <v>45</v>
      </c>
      <c r="K766" s="38" t="s">
        <v>2999</v>
      </c>
      <c r="L766" s="30" t="s">
        <v>58</v>
      </c>
      <c r="M766" s="38" t="s">
        <v>48</v>
      </c>
      <c r="N766" s="38" t="s">
        <v>48</v>
      </c>
      <c r="O766" s="31" t="s">
        <v>412</v>
      </c>
      <c r="P766" s="28" t="s">
        <v>413</v>
      </c>
      <c r="Q766" s="38" t="s">
        <v>1193</v>
      </c>
      <c r="R766" s="38">
        <v>1</v>
      </c>
      <c r="S766" s="38" t="s">
        <v>2990</v>
      </c>
      <c r="T766" s="38" t="s">
        <v>53</v>
      </c>
      <c r="U766" s="38" t="s">
        <v>54</v>
      </c>
      <c r="V766" s="38" t="s">
        <v>55</v>
      </c>
      <c r="Y766" s="38">
        <v>148.30000000000001</v>
      </c>
      <c r="Z766" s="38">
        <v>1</v>
      </c>
      <c r="AF766" s="38">
        <v>79.849999999999994</v>
      </c>
      <c r="AK766" s="14" t="e">
        <f t="shared" si="2"/>
        <v>#DIV/0!</v>
      </c>
      <c r="AO766" s="28"/>
    </row>
    <row r="767" spans="1:41" ht="12.5" hidden="1">
      <c r="A767" s="28" t="s">
        <v>3000</v>
      </c>
      <c r="B767" s="37">
        <v>45739</v>
      </c>
      <c r="C767" s="29">
        <v>45743</v>
      </c>
      <c r="D767" s="38" t="s">
        <v>41</v>
      </c>
      <c r="E767" s="38" t="s">
        <v>3001</v>
      </c>
      <c r="G767" s="38" t="s">
        <v>43</v>
      </c>
      <c r="H767" s="38">
        <v>7.09</v>
      </c>
      <c r="I767" s="38" t="s">
        <v>44</v>
      </c>
      <c r="J767" s="38" t="s">
        <v>45</v>
      </c>
      <c r="K767" s="38" t="s">
        <v>3002</v>
      </c>
      <c r="L767" s="30" t="s">
        <v>58</v>
      </c>
      <c r="M767" s="38" t="s">
        <v>48</v>
      </c>
      <c r="N767" s="38" t="s">
        <v>48</v>
      </c>
      <c r="O767" s="31" t="s">
        <v>2230</v>
      </c>
      <c r="P767" s="28" t="s">
        <v>2231</v>
      </c>
      <c r="Q767" s="38" t="s">
        <v>3003</v>
      </c>
      <c r="R767" s="38">
        <v>1</v>
      </c>
      <c r="S767" s="38" t="s">
        <v>68</v>
      </c>
      <c r="T767" s="38" t="s">
        <v>53</v>
      </c>
      <c r="U767" s="38" t="s">
        <v>54</v>
      </c>
      <c r="V767" s="38" t="s">
        <v>55</v>
      </c>
      <c r="Y767" s="38">
        <v>83.06</v>
      </c>
      <c r="Z767" s="38">
        <v>1</v>
      </c>
      <c r="AF767" s="38">
        <v>75.97</v>
      </c>
      <c r="AI767" s="38">
        <v>1</v>
      </c>
      <c r="AJ767" s="38">
        <v>1</v>
      </c>
      <c r="AK767" s="14">
        <f t="shared" ref="AK767:AK1021" si="3">AI767/AJ767*1</f>
        <v>1</v>
      </c>
      <c r="AO767" s="28"/>
    </row>
    <row r="768" spans="1:41" ht="12.5" hidden="1">
      <c r="A768" s="28" t="s">
        <v>3004</v>
      </c>
      <c r="B768" s="37">
        <v>45710</v>
      </c>
      <c r="C768" s="29">
        <v>45722</v>
      </c>
      <c r="D768" s="38" t="s">
        <v>41</v>
      </c>
      <c r="E768" s="38" t="s">
        <v>3005</v>
      </c>
      <c r="G768" s="38" t="s">
        <v>43</v>
      </c>
      <c r="H768" s="38">
        <v>10.4</v>
      </c>
      <c r="I768" s="38" t="s">
        <v>44</v>
      </c>
      <c r="J768" s="38" t="s">
        <v>45</v>
      </c>
      <c r="K768" s="38" t="s">
        <v>3006</v>
      </c>
      <c r="L768" s="30" t="s">
        <v>58</v>
      </c>
      <c r="M768" s="38" t="s">
        <v>48</v>
      </c>
      <c r="N768" s="38" t="s">
        <v>48</v>
      </c>
      <c r="O768" s="31" t="s">
        <v>3007</v>
      </c>
      <c r="P768" s="28" t="s">
        <v>3008</v>
      </c>
      <c r="Q768" s="38" t="s">
        <v>3009</v>
      </c>
      <c r="R768" s="38">
        <v>1</v>
      </c>
      <c r="S768" s="38" t="s">
        <v>75</v>
      </c>
      <c r="T768" s="38" t="s">
        <v>53</v>
      </c>
      <c r="U768" s="38" t="s">
        <v>54</v>
      </c>
      <c r="V768" s="38" t="s">
        <v>55</v>
      </c>
      <c r="Y768" s="38">
        <v>87.9</v>
      </c>
      <c r="Z768" s="38">
        <v>1</v>
      </c>
      <c r="AF768" s="38">
        <v>77.5</v>
      </c>
      <c r="AI768" s="38">
        <v>1</v>
      </c>
      <c r="AJ768" s="38">
        <v>2</v>
      </c>
      <c r="AK768" s="14">
        <f t="shared" si="3"/>
        <v>0.5</v>
      </c>
      <c r="AO768" s="28"/>
    </row>
    <row r="769" spans="1:41" ht="12.5" hidden="1">
      <c r="A769" s="28" t="s">
        <v>3010</v>
      </c>
      <c r="B769" s="37">
        <v>45742</v>
      </c>
      <c r="C769" s="29">
        <v>45745</v>
      </c>
      <c r="D769" s="38" t="s">
        <v>41</v>
      </c>
      <c r="E769" s="38" t="s">
        <v>3011</v>
      </c>
      <c r="G769" s="38" t="s">
        <v>43</v>
      </c>
      <c r="H769" s="38">
        <v>12.67</v>
      </c>
      <c r="I769" s="38" t="s">
        <v>44</v>
      </c>
      <c r="J769" s="38" t="s">
        <v>45</v>
      </c>
      <c r="K769" s="38" t="s">
        <v>3012</v>
      </c>
      <c r="L769" s="30" t="s">
        <v>47</v>
      </c>
      <c r="M769" s="38" t="s">
        <v>48</v>
      </c>
      <c r="N769" s="38" t="s">
        <v>48</v>
      </c>
      <c r="O769" s="31" t="s">
        <v>2236</v>
      </c>
      <c r="P769" s="28" t="s">
        <v>2237</v>
      </c>
      <c r="Q769" s="38" t="s">
        <v>2238</v>
      </c>
      <c r="R769" s="38">
        <v>1</v>
      </c>
      <c r="S769" s="38" t="s">
        <v>99</v>
      </c>
      <c r="T769" s="38" t="s">
        <v>53</v>
      </c>
      <c r="U769" s="38" t="s">
        <v>54</v>
      </c>
      <c r="V769" s="38" t="s">
        <v>61</v>
      </c>
      <c r="Y769" s="38">
        <v>85.85</v>
      </c>
      <c r="Z769" s="38">
        <v>1</v>
      </c>
      <c r="AI769" s="38">
        <v>1</v>
      </c>
      <c r="AJ769" s="38">
        <v>3</v>
      </c>
      <c r="AK769" s="14">
        <f t="shared" si="3"/>
        <v>0.33333333333333331</v>
      </c>
      <c r="AO769" s="28"/>
    </row>
    <row r="770" spans="1:41" ht="12.5" hidden="1">
      <c r="A770" s="28" t="s">
        <v>3013</v>
      </c>
      <c r="B770" s="37">
        <v>45712</v>
      </c>
      <c r="C770" s="29">
        <v>45726</v>
      </c>
      <c r="D770" s="38" t="s">
        <v>41</v>
      </c>
      <c r="E770" s="38" t="s">
        <v>3014</v>
      </c>
      <c r="G770" s="38" t="s">
        <v>43</v>
      </c>
      <c r="H770" s="38">
        <v>14.06</v>
      </c>
      <c r="I770" s="38" t="s">
        <v>44</v>
      </c>
      <c r="J770" s="38" t="s">
        <v>45</v>
      </c>
      <c r="K770" s="38" t="s">
        <v>3015</v>
      </c>
      <c r="L770" s="30" t="s">
        <v>58</v>
      </c>
      <c r="M770" s="38" t="s">
        <v>48</v>
      </c>
      <c r="N770" s="38" t="s">
        <v>48</v>
      </c>
      <c r="O770" s="31" t="s">
        <v>425</v>
      </c>
      <c r="P770" s="28" t="s">
        <v>2560</v>
      </c>
      <c r="Q770" s="38" t="s">
        <v>427</v>
      </c>
      <c r="R770" s="38">
        <v>1</v>
      </c>
      <c r="S770" s="38" t="s">
        <v>2990</v>
      </c>
      <c r="T770" s="38" t="s">
        <v>53</v>
      </c>
      <c r="U770" s="38" t="s">
        <v>54</v>
      </c>
      <c r="V770" s="38" t="s">
        <v>61</v>
      </c>
      <c r="Y770" s="38">
        <v>142.52000000000001</v>
      </c>
      <c r="Z770" s="38">
        <v>1</v>
      </c>
      <c r="AI770" s="38">
        <v>1</v>
      </c>
      <c r="AJ770" s="38">
        <v>13</v>
      </c>
      <c r="AK770" s="14">
        <f t="shared" si="3"/>
        <v>7.6923076923076927E-2</v>
      </c>
      <c r="AO770" s="28"/>
    </row>
    <row r="771" spans="1:41" ht="12.5" hidden="1">
      <c r="A771" s="28" t="s">
        <v>3016</v>
      </c>
      <c r="B771" s="37">
        <v>45731</v>
      </c>
      <c r="C771" s="29">
        <v>45739</v>
      </c>
      <c r="D771" s="38" t="s">
        <v>41</v>
      </c>
      <c r="E771" s="38" t="s">
        <v>3017</v>
      </c>
      <c r="G771" s="38" t="s">
        <v>43</v>
      </c>
      <c r="H771" s="38">
        <v>14.06</v>
      </c>
      <c r="I771" s="38" t="s">
        <v>44</v>
      </c>
      <c r="J771" s="38" t="s">
        <v>45</v>
      </c>
      <c r="K771" s="38" t="s">
        <v>3018</v>
      </c>
      <c r="L771" s="30" t="s">
        <v>58</v>
      </c>
      <c r="M771" s="38" t="s">
        <v>48</v>
      </c>
      <c r="N771" s="38" t="s">
        <v>48</v>
      </c>
      <c r="O771" s="31" t="s">
        <v>1214</v>
      </c>
      <c r="P771" s="28" t="s">
        <v>1215</v>
      </c>
      <c r="Q771" s="38" t="s">
        <v>1216</v>
      </c>
      <c r="R771" s="38">
        <v>1</v>
      </c>
      <c r="S771" s="38" t="s">
        <v>2716</v>
      </c>
      <c r="T771" s="38" t="s">
        <v>53</v>
      </c>
      <c r="U771" s="38" t="s">
        <v>54</v>
      </c>
      <c r="V771" s="38" t="s">
        <v>55</v>
      </c>
      <c r="Y771" s="38">
        <v>73.569999999999993</v>
      </c>
      <c r="Z771" s="38">
        <v>1</v>
      </c>
      <c r="AF771" s="38">
        <v>59.51</v>
      </c>
      <c r="AI771" s="38">
        <v>3</v>
      </c>
      <c r="AJ771" s="38">
        <v>9</v>
      </c>
      <c r="AK771" s="14">
        <f t="shared" si="3"/>
        <v>0.33333333333333331</v>
      </c>
      <c r="AO771" s="28"/>
    </row>
    <row r="772" spans="1:41" ht="12.5" hidden="1">
      <c r="A772" s="28" t="s">
        <v>3019</v>
      </c>
      <c r="B772" s="37">
        <v>45726</v>
      </c>
      <c r="C772" s="29">
        <v>45731</v>
      </c>
      <c r="D772" s="38" t="s">
        <v>41</v>
      </c>
      <c r="E772" s="38" t="s">
        <v>3020</v>
      </c>
      <c r="G772" s="38" t="s">
        <v>43</v>
      </c>
      <c r="H772" s="38">
        <v>14.06</v>
      </c>
      <c r="I772" s="38" t="s">
        <v>44</v>
      </c>
      <c r="J772" s="38" t="s">
        <v>45</v>
      </c>
      <c r="K772" s="38" t="s">
        <v>3021</v>
      </c>
      <c r="L772" s="30" t="s">
        <v>47</v>
      </c>
      <c r="M772" s="38" t="s">
        <v>48</v>
      </c>
      <c r="N772" s="38" t="s">
        <v>48</v>
      </c>
      <c r="O772" s="31" t="s">
        <v>1214</v>
      </c>
      <c r="P772" s="28" t="s">
        <v>1215</v>
      </c>
      <c r="Q772" s="38" t="s">
        <v>1216</v>
      </c>
      <c r="R772" s="38">
        <v>1</v>
      </c>
      <c r="S772" s="38" t="s">
        <v>99</v>
      </c>
      <c r="T772" s="38" t="s">
        <v>53</v>
      </c>
      <c r="U772" s="38" t="s">
        <v>54</v>
      </c>
      <c r="V772" s="38" t="s">
        <v>55</v>
      </c>
      <c r="Y772" s="38">
        <v>71.61</v>
      </c>
      <c r="Z772" s="38">
        <v>1</v>
      </c>
      <c r="AF772" s="38">
        <v>71.61</v>
      </c>
      <c r="AK772" s="14" t="e">
        <f t="shared" si="3"/>
        <v>#DIV/0!</v>
      </c>
      <c r="AO772" s="28"/>
    </row>
    <row r="773" spans="1:41" ht="12.5" hidden="1">
      <c r="A773" s="28" t="s">
        <v>3022</v>
      </c>
      <c r="B773" s="39">
        <v>45723</v>
      </c>
      <c r="C773" s="29">
        <v>45730</v>
      </c>
      <c r="D773" s="38" t="s">
        <v>41</v>
      </c>
      <c r="E773" s="38" t="s">
        <v>3023</v>
      </c>
      <c r="G773" s="38" t="s">
        <v>43</v>
      </c>
      <c r="H773" s="38">
        <v>14.06</v>
      </c>
      <c r="I773" s="38" t="s">
        <v>44</v>
      </c>
      <c r="J773" s="38" t="s">
        <v>45</v>
      </c>
      <c r="K773" s="38" t="s">
        <v>3024</v>
      </c>
      <c r="L773" s="30" t="s">
        <v>47</v>
      </c>
      <c r="M773" s="38" t="s">
        <v>48</v>
      </c>
      <c r="N773" s="38" t="s">
        <v>48</v>
      </c>
      <c r="O773" s="31" t="s">
        <v>1214</v>
      </c>
      <c r="P773" s="28" t="s">
        <v>1215</v>
      </c>
      <c r="Q773" s="38" t="s">
        <v>1216</v>
      </c>
      <c r="R773" s="38">
        <v>1</v>
      </c>
      <c r="S773" s="38" t="s">
        <v>82</v>
      </c>
      <c r="T773" s="38" t="s">
        <v>53</v>
      </c>
      <c r="U773" s="38" t="s">
        <v>54</v>
      </c>
      <c r="V773" s="38" t="s">
        <v>55</v>
      </c>
      <c r="Y773" s="38">
        <v>71.98</v>
      </c>
      <c r="Z773" s="38">
        <v>1</v>
      </c>
      <c r="AF773" s="38">
        <v>71.98</v>
      </c>
      <c r="AK773" s="14" t="e">
        <f t="shared" si="3"/>
        <v>#DIV/0!</v>
      </c>
      <c r="AO773" s="28"/>
    </row>
    <row r="774" spans="1:41" ht="12.5" hidden="1">
      <c r="A774" s="28" t="s">
        <v>3025</v>
      </c>
      <c r="B774" s="37">
        <v>45741</v>
      </c>
      <c r="C774" s="29">
        <v>45745</v>
      </c>
      <c r="D774" s="38" t="s">
        <v>41</v>
      </c>
      <c r="E774" s="38" t="s">
        <v>3026</v>
      </c>
      <c r="G774" s="38" t="s">
        <v>43</v>
      </c>
      <c r="H774" s="38">
        <v>17.48</v>
      </c>
      <c r="I774" s="38" t="s">
        <v>44</v>
      </c>
      <c r="J774" s="38" t="s">
        <v>45</v>
      </c>
      <c r="K774" s="38" t="s">
        <v>3027</v>
      </c>
      <c r="L774" s="30" t="s">
        <v>47</v>
      </c>
      <c r="M774" s="38" t="s">
        <v>48</v>
      </c>
      <c r="N774" s="38" t="s">
        <v>48</v>
      </c>
      <c r="O774" s="31" t="s">
        <v>431</v>
      </c>
      <c r="P774" s="28" t="s">
        <v>432</v>
      </c>
      <c r="Q774" s="38" t="s">
        <v>2242</v>
      </c>
      <c r="R774" s="38">
        <v>1</v>
      </c>
      <c r="S774" s="38" t="s">
        <v>1927</v>
      </c>
      <c r="T774" s="38" t="s">
        <v>53</v>
      </c>
      <c r="U774" s="38" t="s">
        <v>54</v>
      </c>
      <c r="V774" s="38" t="s">
        <v>1928</v>
      </c>
      <c r="Y774" s="38">
        <v>124.02</v>
      </c>
      <c r="Z774" s="38">
        <v>1</v>
      </c>
      <c r="AI774" s="38">
        <v>1</v>
      </c>
      <c r="AJ774" s="38">
        <v>2</v>
      </c>
      <c r="AK774" s="14">
        <f t="shared" si="3"/>
        <v>0.5</v>
      </c>
      <c r="AO774" s="28"/>
    </row>
    <row r="775" spans="1:41" ht="12.5" hidden="1">
      <c r="A775" s="28" t="s">
        <v>3028</v>
      </c>
      <c r="B775" s="37">
        <v>45742</v>
      </c>
      <c r="C775" s="29">
        <v>45747</v>
      </c>
      <c r="D775" s="38" t="s">
        <v>41</v>
      </c>
      <c r="E775" s="38" t="s">
        <v>3029</v>
      </c>
      <c r="G775" s="38" t="s">
        <v>43</v>
      </c>
      <c r="H775" s="38">
        <v>12.22</v>
      </c>
      <c r="I775" s="38" t="s">
        <v>44</v>
      </c>
      <c r="J775" s="38" t="s">
        <v>45</v>
      </c>
      <c r="K775" s="38" t="s">
        <v>3030</v>
      </c>
      <c r="L775" s="30" t="s">
        <v>47</v>
      </c>
      <c r="M775" s="38" t="s">
        <v>48</v>
      </c>
      <c r="N775" s="38" t="s">
        <v>48</v>
      </c>
      <c r="O775" s="31" t="s">
        <v>1223</v>
      </c>
      <c r="P775" s="28" t="s">
        <v>1224</v>
      </c>
      <c r="Q775" s="38" t="s">
        <v>1225</v>
      </c>
      <c r="R775" s="38">
        <v>1</v>
      </c>
      <c r="S775" s="38" t="s">
        <v>99</v>
      </c>
      <c r="T775" s="38" t="s">
        <v>53</v>
      </c>
      <c r="U775" s="38" t="s">
        <v>54</v>
      </c>
      <c r="V775" s="38" t="s">
        <v>55</v>
      </c>
      <c r="Y775" s="38">
        <v>103.94</v>
      </c>
      <c r="Z775" s="38">
        <v>1</v>
      </c>
      <c r="AF775" s="38">
        <v>103.94</v>
      </c>
      <c r="AI775" s="38">
        <v>3</v>
      </c>
      <c r="AJ775" s="38">
        <v>8</v>
      </c>
      <c r="AK775" s="14">
        <f t="shared" si="3"/>
        <v>0.375</v>
      </c>
      <c r="AO775" s="28"/>
    </row>
    <row r="776" spans="1:41" ht="12.5" hidden="1">
      <c r="A776" s="28" t="s">
        <v>3031</v>
      </c>
      <c r="B776" s="37">
        <v>45735</v>
      </c>
      <c r="C776" s="29">
        <v>45742</v>
      </c>
      <c r="D776" s="38" t="s">
        <v>41</v>
      </c>
      <c r="E776" s="38" t="s">
        <v>3032</v>
      </c>
      <c r="G776" s="38" t="s">
        <v>43</v>
      </c>
      <c r="H776" s="38">
        <v>12.22</v>
      </c>
      <c r="I776" s="38" t="s">
        <v>44</v>
      </c>
      <c r="J776" s="38" t="s">
        <v>45</v>
      </c>
      <c r="K776" s="38" t="s">
        <v>3033</v>
      </c>
      <c r="L776" s="30" t="s">
        <v>47</v>
      </c>
      <c r="M776" s="38" t="s">
        <v>48</v>
      </c>
      <c r="N776" s="38" t="s">
        <v>48</v>
      </c>
      <c r="O776" s="31" t="s">
        <v>1223</v>
      </c>
      <c r="P776" s="28" t="s">
        <v>1224</v>
      </c>
      <c r="Q776" s="38" t="s">
        <v>1225</v>
      </c>
      <c r="R776" s="38">
        <v>1</v>
      </c>
      <c r="S776" s="38" t="s">
        <v>99</v>
      </c>
      <c r="T776" s="38" t="s">
        <v>53</v>
      </c>
      <c r="U776" s="38" t="s">
        <v>54</v>
      </c>
      <c r="V776" s="38" t="s">
        <v>55</v>
      </c>
      <c r="Y776" s="38">
        <v>105.2</v>
      </c>
      <c r="Z776" s="38">
        <v>1</v>
      </c>
      <c r="AF776" s="38">
        <v>105.2</v>
      </c>
      <c r="AK776" s="14" t="e">
        <f t="shared" si="3"/>
        <v>#DIV/0!</v>
      </c>
      <c r="AO776" s="28"/>
    </row>
    <row r="777" spans="1:41" ht="12.5" hidden="1">
      <c r="A777" s="28" t="s">
        <v>3034</v>
      </c>
      <c r="B777" s="37">
        <v>45732</v>
      </c>
      <c r="C777" s="29">
        <v>45736</v>
      </c>
      <c r="D777" s="38" t="s">
        <v>41</v>
      </c>
      <c r="E777" s="38" t="s">
        <v>3035</v>
      </c>
      <c r="G777" s="38" t="s">
        <v>43</v>
      </c>
      <c r="H777" s="38">
        <v>12.22</v>
      </c>
      <c r="I777" s="38" t="s">
        <v>44</v>
      </c>
      <c r="J777" s="38" t="s">
        <v>45</v>
      </c>
      <c r="K777" s="38" t="s">
        <v>3036</v>
      </c>
      <c r="L777" s="30" t="s">
        <v>58</v>
      </c>
      <c r="M777" s="38" t="s">
        <v>48</v>
      </c>
      <c r="N777" s="38" t="s">
        <v>48</v>
      </c>
      <c r="O777" s="31" t="s">
        <v>1223</v>
      </c>
      <c r="P777" s="28" t="s">
        <v>1224</v>
      </c>
      <c r="Q777" s="38" t="s">
        <v>1225</v>
      </c>
      <c r="R777" s="38">
        <v>1</v>
      </c>
      <c r="S777" s="38" t="s">
        <v>68</v>
      </c>
      <c r="T777" s="38" t="s">
        <v>53</v>
      </c>
      <c r="U777" s="38" t="s">
        <v>54</v>
      </c>
      <c r="V777" s="38" t="s">
        <v>55</v>
      </c>
      <c r="Y777" s="38">
        <v>107.33</v>
      </c>
      <c r="Z777" s="38">
        <v>1</v>
      </c>
      <c r="AF777" s="38">
        <v>95.11</v>
      </c>
      <c r="AK777" s="14" t="e">
        <f t="shared" si="3"/>
        <v>#DIV/0!</v>
      </c>
      <c r="AO777" s="28"/>
    </row>
    <row r="778" spans="1:41" ht="12.5" hidden="1">
      <c r="A778" s="28" t="s">
        <v>3037</v>
      </c>
      <c r="B778" s="37">
        <v>45712</v>
      </c>
      <c r="C778" s="29">
        <v>45739</v>
      </c>
      <c r="D778" s="38" t="s">
        <v>41</v>
      </c>
      <c r="E778" s="38" t="s">
        <v>3038</v>
      </c>
      <c r="G778" s="38" t="s">
        <v>43</v>
      </c>
      <c r="H778" s="38">
        <v>17.48</v>
      </c>
      <c r="I778" s="38" t="s">
        <v>44</v>
      </c>
      <c r="J778" s="38" t="s">
        <v>45</v>
      </c>
      <c r="K778" s="38" t="s">
        <v>3039</v>
      </c>
      <c r="L778" s="30" t="s">
        <v>47</v>
      </c>
      <c r="M778" s="38" t="s">
        <v>48</v>
      </c>
      <c r="N778" s="38" t="s">
        <v>48</v>
      </c>
      <c r="O778" s="31" t="s">
        <v>437</v>
      </c>
      <c r="P778" s="28" t="s">
        <v>438</v>
      </c>
      <c r="Q778" s="38" t="s">
        <v>2246</v>
      </c>
      <c r="R778" s="38">
        <v>1</v>
      </c>
      <c r="S778" s="38" t="s">
        <v>52</v>
      </c>
      <c r="T778" s="38" t="s">
        <v>53</v>
      </c>
      <c r="U778" s="38" t="s">
        <v>54</v>
      </c>
      <c r="V778" s="38" t="s">
        <v>61</v>
      </c>
      <c r="Y778" s="38">
        <v>124.88</v>
      </c>
      <c r="Z778" s="38">
        <v>1</v>
      </c>
      <c r="AI778" s="38">
        <v>2</v>
      </c>
      <c r="AJ778" s="38">
        <v>9</v>
      </c>
      <c r="AK778" s="14">
        <f t="shared" si="3"/>
        <v>0.22222222222222221</v>
      </c>
      <c r="AO778" s="28"/>
    </row>
    <row r="779" spans="1:41" ht="12.5" hidden="1">
      <c r="A779" s="28" t="s">
        <v>3040</v>
      </c>
      <c r="B779" s="37">
        <v>45733</v>
      </c>
      <c r="C779" s="29">
        <v>45735</v>
      </c>
      <c r="D779" s="38" t="s">
        <v>41</v>
      </c>
      <c r="E779" s="38" t="s">
        <v>3041</v>
      </c>
      <c r="G779" s="38" t="s">
        <v>43</v>
      </c>
      <c r="H779" s="38">
        <v>17.48</v>
      </c>
      <c r="I779" s="38" t="s">
        <v>44</v>
      </c>
      <c r="J779" s="38" t="s">
        <v>45</v>
      </c>
      <c r="K779" s="38" t="s">
        <v>3042</v>
      </c>
      <c r="L779" s="30" t="s">
        <v>47</v>
      </c>
      <c r="M779" s="38" t="s">
        <v>48</v>
      </c>
      <c r="N779" s="38" t="s">
        <v>48</v>
      </c>
      <c r="O779" s="31" t="s">
        <v>437</v>
      </c>
      <c r="P779" s="28" t="s">
        <v>438</v>
      </c>
      <c r="Q779" s="38" t="s">
        <v>2246</v>
      </c>
      <c r="R779" s="38">
        <v>1</v>
      </c>
      <c r="S779" s="38" t="s">
        <v>92</v>
      </c>
      <c r="T779" s="38" t="s">
        <v>53</v>
      </c>
      <c r="U779" s="38" t="s">
        <v>54</v>
      </c>
      <c r="V779" s="38" t="s">
        <v>61</v>
      </c>
      <c r="Y779" s="38">
        <v>125.46</v>
      </c>
      <c r="Z779" s="38">
        <v>1</v>
      </c>
      <c r="AK779" s="14" t="e">
        <f t="shared" si="3"/>
        <v>#DIV/0!</v>
      </c>
      <c r="AO779" s="28"/>
    </row>
    <row r="780" spans="1:41" ht="12.5" hidden="1">
      <c r="A780" s="28" t="s">
        <v>3043</v>
      </c>
      <c r="B780" s="37">
        <v>45729</v>
      </c>
      <c r="C780" s="29">
        <v>45733</v>
      </c>
      <c r="D780" s="38" t="s">
        <v>41</v>
      </c>
      <c r="E780" s="38" t="s">
        <v>3044</v>
      </c>
      <c r="G780" s="38" t="s">
        <v>43</v>
      </c>
      <c r="H780" s="38">
        <v>11.52</v>
      </c>
      <c r="I780" s="38" t="s">
        <v>44</v>
      </c>
      <c r="J780" s="38" t="s">
        <v>45</v>
      </c>
      <c r="K780" s="38" t="s">
        <v>3045</v>
      </c>
      <c r="L780" s="30" t="s">
        <v>58</v>
      </c>
      <c r="M780" s="38" t="s">
        <v>48</v>
      </c>
      <c r="N780" s="38" t="s">
        <v>48</v>
      </c>
      <c r="O780" s="31" t="s">
        <v>443</v>
      </c>
      <c r="P780" s="28" t="s">
        <v>444</v>
      </c>
      <c r="Q780" s="38" t="s">
        <v>445</v>
      </c>
      <c r="R780" s="38">
        <v>1</v>
      </c>
      <c r="S780" s="38" t="s">
        <v>68</v>
      </c>
      <c r="T780" s="38" t="s">
        <v>53</v>
      </c>
      <c r="U780" s="38" t="s">
        <v>54</v>
      </c>
      <c r="V780" s="38" t="s">
        <v>55</v>
      </c>
      <c r="Y780" s="38">
        <v>121.8</v>
      </c>
      <c r="Z780" s="38">
        <v>1</v>
      </c>
      <c r="AF780" s="38">
        <v>110.28</v>
      </c>
      <c r="AI780" s="38">
        <v>3</v>
      </c>
      <c r="AJ780" s="38">
        <v>15</v>
      </c>
      <c r="AK780" s="14">
        <f t="shared" si="3"/>
        <v>0.2</v>
      </c>
      <c r="AO780" s="28"/>
    </row>
    <row r="781" spans="1:41" ht="12.5" hidden="1">
      <c r="A781" s="28" t="s">
        <v>3046</v>
      </c>
      <c r="B781" s="39">
        <v>45725</v>
      </c>
      <c r="C781" s="29">
        <v>45732</v>
      </c>
      <c r="D781" s="38" t="s">
        <v>41</v>
      </c>
      <c r="E781" s="38" t="s">
        <v>3047</v>
      </c>
      <c r="G781" s="38" t="s">
        <v>43</v>
      </c>
      <c r="H781" s="38">
        <v>11.52</v>
      </c>
      <c r="I781" s="38" t="s">
        <v>44</v>
      </c>
      <c r="J781" s="38" t="s">
        <v>45</v>
      </c>
      <c r="K781" s="38" t="s">
        <v>3048</v>
      </c>
      <c r="L781" s="30" t="s">
        <v>47</v>
      </c>
      <c r="M781" s="38" t="s">
        <v>48</v>
      </c>
      <c r="N781" s="38" t="s">
        <v>48</v>
      </c>
      <c r="O781" s="31" t="s">
        <v>443</v>
      </c>
      <c r="P781" s="28" t="s">
        <v>444</v>
      </c>
      <c r="Q781" s="38" t="s">
        <v>445</v>
      </c>
      <c r="R781" s="38">
        <v>1</v>
      </c>
      <c r="S781" s="38" t="s">
        <v>99</v>
      </c>
      <c r="T781" s="38" t="s">
        <v>53</v>
      </c>
      <c r="U781" s="38" t="s">
        <v>54</v>
      </c>
      <c r="V781" s="38" t="s">
        <v>55</v>
      </c>
      <c r="Y781" s="38">
        <v>121.8</v>
      </c>
      <c r="Z781" s="38">
        <v>1</v>
      </c>
      <c r="AF781" s="38">
        <v>121.8</v>
      </c>
      <c r="AK781" s="14" t="e">
        <f t="shared" si="3"/>
        <v>#DIV/0!</v>
      </c>
      <c r="AO781" s="28"/>
    </row>
    <row r="782" spans="1:41" ht="12.5" hidden="1">
      <c r="A782" s="28" t="s">
        <v>3049</v>
      </c>
      <c r="B782" s="37">
        <v>45643</v>
      </c>
      <c r="C782" s="29">
        <v>45717</v>
      </c>
      <c r="D782" s="38" t="s">
        <v>41</v>
      </c>
      <c r="E782" s="38" t="s">
        <v>3050</v>
      </c>
      <c r="G782" s="38" t="s">
        <v>137</v>
      </c>
      <c r="H782" s="38">
        <v>0</v>
      </c>
      <c r="L782" s="30" t="s">
        <v>58</v>
      </c>
      <c r="M782" s="38" t="s">
        <v>48</v>
      </c>
      <c r="N782" s="38" t="s">
        <v>48</v>
      </c>
      <c r="O782" s="31" t="s">
        <v>443</v>
      </c>
      <c r="P782" s="28" t="s">
        <v>444</v>
      </c>
      <c r="Q782" s="38" t="s">
        <v>445</v>
      </c>
      <c r="R782" s="38">
        <v>1</v>
      </c>
      <c r="S782" s="38" t="s">
        <v>59</v>
      </c>
      <c r="T782" s="38" t="s">
        <v>48</v>
      </c>
      <c r="U782" s="38" t="s">
        <v>60</v>
      </c>
      <c r="V782" s="38" t="s">
        <v>61</v>
      </c>
      <c r="Y782" s="38">
        <v>119.57</v>
      </c>
      <c r="Z782" s="38">
        <v>1</v>
      </c>
      <c r="AK782" s="14" t="e">
        <f t="shared" si="3"/>
        <v>#DIV/0!</v>
      </c>
      <c r="AO782" s="28"/>
    </row>
    <row r="783" spans="1:41" ht="12.5" hidden="1">
      <c r="A783" s="28" t="s">
        <v>3051</v>
      </c>
      <c r="B783" s="37">
        <v>45740</v>
      </c>
      <c r="C783" s="29">
        <v>45745</v>
      </c>
      <c r="D783" s="38" t="s">
        <v>41</v>
      </c>
      <c r="E783" s="38" t="s">
        <v>3052</v>
      </c>
      <c r="G783" s="38" t="s">
        <v>137</v>
      </c>
      <c r="H783" s="38">
        <v>0</v>
      </c>
      <c r="L783" s="30" t="s">
        <v>58</v>
      </c>
      <c r="M783" s="38" t="s">
        <v>48</v>
      </c>
      <c r="N783" s="38" t="s">
        <v>48</v>
      </c>
      <c r="O783" s="31" t="s">
        <v>455</v>
      </c>
      <c r="P783" s="28" t="s">
        <v>456</v>
      </c>
      <c r="Q783" s="38" t="s">
        <v>2575</v>
      </c>
      <c r="R783" s="38">
        <v>1</v>
      </c>
      <c r="S783" s="38" t="s">
        <v>68</v>
      </c>
      <c r="T783" s="38" t="s">
        <v>53</v>
      </c>
      <c r="U783" s="38" t="s">
        <v>54</v>
      </c>
      <c r="V783" s="38" t="s">
        <v>61</v>
      </c>
      <c r="Y783" s="38">
        <v>67.900000000000006</v>
      </c>
      <c r="Z783" s="38">
        <v>1</v>
      </c>
      <c r="AI783" s="38">
        <v>3</v>
      </c>
      <c r="AJ783" s="38">
        <v>10</v>
      </c>
      <c r="AK783" s="14">
        <f t="shared" si="3"/>
        <v>0.3</v>
      </c>
      <c r="AO783" s="28"/>
    </row>
    <row r="784" spans="1:41" ht="12.5" hidden="1">
      <c r="A784" s="28" t="s">
        <v>3053</v>
      </c>
      <c r="B784" s="37">
        <v>45731</v>
      </c>
      <c r="C784" s="29">
        <v>45742</v>
      </c>
      <c r="D784" s="38" t="s">
        <v>41</v>
      </c>
      <c r="E784" s="38" t="s">
        <v>3054</v>
      </c>
      <c r="G784" s="38" t="s">
        <v>137</v>
      </c>
      <c r="H784" s="38">
        <v>0</v>
      </c>
      <c r="L784" s="30" t="s">
        <v>58</v>
      </c>
      <c r="M784" s="38" t="s">
        <v>48</v>
      </c>
      <c r="N784" s="38" t="s">
        <v>48</v>
      </c>
      <c r="O784" s="31" t="s">
        <v>455</v>
      </c>
      <c r="P784" s="28" t="s">
        <v>456</v>
      </c>
      <c r="Q784" s="38" t="s">
        <v>2575</v>
      </c>
      <c r="R784" s="38">
        <v>1</v>
      </c>
      <c r="S784" s="38" t="s">
        <v>68</v>
      </c>
      <c r="T784" s="38" t="s">
        <v>53</v>
      </c>
      <c r="U784" s="38" t="s">
        <v>54</v>
      </c>
      <c r="V784" s="38" t="s">
        <v>61</v>
      </c>
      <c r="Y784" s="38">
        <v>72.48</v>
      </c>
      <c r="Z784" s="38">
        <v>1</v>
      </c>
      <c r="AK784" s="14" t="e">
        <f t="shared" si="3"/>
        <v>#DIV/0!</v>
      </c>
      <c r="AO784" s="28"/>
    </row>
    <row r="785" spans="1:41" ht="12.5" hidden="1">
      <c r="A785" s="28" t="s">
        <v>3055</v>
      </c>
      <c r="B785" s="37">
        <v>45736</v>
      </c>
      <c r="C785" s="29">
        <v>45741</v>
      </c>
      <c r="D785" s="38" t="s">
        <v>41</v>
      </c>
      <c r="E785" s="38" t="s">
        <v>3056</v>
      </c>
      <c r="G785" s="38" t="s">
        <v>137</v>
      </c>
      <c r="H785" s="38">
        <v>0</v>
      </c>
      <c r="L785" s="30" t="s">
        <v>47</v>
      </c>
      <c r="M785" s="38" t="s">
        <v>48</v>
      </c>
      <c r="N785" s="38" t="s">
        <v>48</v>
      </c>
      <c r="O785" s="31" t="s">
        <v>455</v>
      </c>
      <c r="P785" s="28" t="s">
        <v>456</v>
      </c>
      <c r="Q785" s="38" t="s">
        <v>2575</v>
      </c>
      <c r="R785" s="38">
        <v>1</v>
      </c>
      <c r="S785" s="38" t="s">
        <v>99</v>
      </c>
      <c r="T785" s="38" t="s">
        <v>53</v>
      </c>
      <c r="U785" s="38" t="s">
        <v>54</v>
      </c>
      <c r="V785" s="38" t="s">
        <v>61</v>
      </c>
      <c r="Y785" s="38">
        <v>71.98</v>
      </c>
      <c r="Z785" s="38">
        <v>1</v>
      </c>
      <c r="AK785" s="14" t="e">
        <f t="shared" si="3"/>
        <v>#DIV/0!</v>
      </c>
      <c r="AO785" s="28"/>
    </row>
    <row r="786" spans="1:41" ht="12.5" hidden="1">
      <c r="A786" s="28" t="s">
        <v>3057</v>
      </c>
      <c r="B786" s="37">
        <v>45738</v>
      </c>
      <c r="C786" s="29">
        <v>45747</v>
      </c>
      <c r="D786" s="38" t="s">
        <v>41</v>
      </c>
      <c r="E786" s="38" t="s">
        <v>3058</v>
      </c>
      <c r="G786" s="38" t="s">
        <v>43</v>
      </c>
      <c r="H786" s="38">
        <v>10.4</v>
      </c>
      <c r="I786" s="38" t="s">
        <v>44</v>
      </c>
      <c r="J786" s="38" t="s">
        <v>45</v>
      </c>
      <c r="K786" s="38" t="s">
        <v>3059</v>
      </c>
      <c r="L786" s="30" t="s">
        <v>47</v>
      </c>
      <c r="M786" s="38" t="s">
        <v>48</v>
      </c>
      <c r="N786" s="38" t="s">
        <v>48</v>
      </c>
      <c r="O786" s="31" t="s">
        <v>463</v>
      </c>
      <c r="P786" s="28" t="s">
        <v>464</v>
      </c>
      <c r="Q786" s="38" t="s">
        <v>465</v>
      </c>
      <c r="R786" s="38">
        <v>1</v>
      </c>
      <c r="S786" s="38" t="s">
        <v>421</v>
      </c>
      <c r="T786" s="38" t="s">
        <v>53</v>
      </c>
      <c r="U786" s="38" t="s">
        <v>54</v>
      </c>
      <c r="V786" s="38" t="s">
        <v>61</v>
      </c>
      <c r="Y786" s="38">
        <v>78.650000000000006</v>
      </c>
      <c r="Z786" s="38">
        <v>1</v>
      </c>
      <c r="AI786" s="38">
        <v>1</v>
      </c>
      <c r="AJ786" s="38">
        <v>4</v>
      </c>
      <c r="AK786" s="14">
        <f t="shared" si="3"/>
        <v>0.25</v>
      </c>
      <c r="AO786" s="28"/>
    </row>
    <row r="787" spans="1:41" ht="12.5" hidden="1">
      <c r="A787" s="28" t="s">
        <v>3060</v>
      </c>
      <c r="B787" s="37">
        <v>45707</v>
      </c>
      <c r="C787" s="29">
        <v>45727</v>
      </c>
      <c r="D787" s="38" t="s">
        <v>41</v>
      </c>
      <c r="E787" s="38" t="s">
        <v>3061</v>
      </c>
      <c r="G787" s="38" t="s">
        <v>43</v>
      </c>
      <c r="H787" s="38">
        <v>11.77</v>
      </c>
      <c r="I787" s="38" t="s">
        <v>44</v>
      </c>
      <c r="J787" s="38" t="s">
        <v>45</v>
      </c>
      <c r="K787" s="38" t="s">
        <v>3062</v>
      </c>
      <c r="L787" s="30" t="s">
        <v>47</v>
      </c>
      <c r="M787" s="38" t="s">
        <v>48</v>
      </c>
      <c r="N787" s="38" t="s">
        <v>48</v>
      </c>
      <c r="O787" s="31" t="s">
        <v>2582</v>
      </c>
      <c r="P787" s="28" t="s">
        <v>2583</v>
      </c>
      <c r="Q787" s="38" t="s">
        <v>2584</v>
      </c>
      <c r="R787" s="38">
        <v>1</v>
      </c>
      <c r="S787" s="38" t="s">
        <v>82</v>
      </c>
      <c r="T787" s="38" t="s">
        <v>53</v>
      </c>
      <c r="U787" s="38" t="s">
        <v>54</v>
      </c>
      <c r="V787" s="38" t="s">
        <v>560</v>
      </c>
      <c r="Y787" s="38">
        <v>117.72</v>
      </c>
      <c r="Z787" s="38">
        <v>1</v>
      </c>
      <c r="AI787" s="38">
        <v>1</v>
      </c>
      <c r="AJ787" s="38">
        <v>8</v>
      </c>
      <c r="AK787" s="14">
        <f t="shared" si="3"/>
        <v>0.125</v>
      </c>
      <c r="AO787" s="28"/>
    </row>
    <row r="788" spans="1:41" ht="12.5" hidden="1">
      <c r="A788" s="28" t="s">
        <v>3063</v>
      </c>
      <c r="B788" s="39">
        <v>45718</v>
      </c>
      <c r="C788" s="29">
        <v>45725</v>
      </c>
      <c r="D788" s="38" t="s">
        <v>41</v>
      </c>
      <c r="E788" s="38" t="s">
        <v>3064</v>
      </c>
      <c r="G788" s="38" t="s">
        <v>43</v>
      </c>
      <c r="H788" s="38">
        <v>13.14</v>
      </c>
      <c r="I788" s="38" t="s">
        <v>44</v>
      </c>
      <c r="J788" s="38" t="s">
        <v>45</v>
      </c>
      <c r="K788" s="38" t="s">
        <v>3065</v>
      </c>
      <c r="L788" s="30" t="s">
        <v>58</v>
      </c>
      <c r="M788" s="38" t="s">
        <v>48</v>
      </c>
      <c r="N788" s="38" t="s">
        <v>48</v>
      </c>
      <c r="O788" s="31" t="s">
        <v>486</v>
      </c>
      <c r="P788" s="28" t="s">
        <v>487</v>
      </c>
      <c r="Q788" s="38" t="s">
        <v>488</v>
      </c>
      <c r="R788" s="38">
        <v>1</v>
      </c>
      <c r="S788" s="38" t="s">
        <v>68</v>
      </c>
      <c r="T788" s="38" t="s">
        <v>53</v>
      </c>
      <c r="U788" s="38" t="s">
        <v>54</v>
      </c>
      <c r="V788" s="38" t="s">
        <v>55</v>
      </c>
      <c r="Y788" s="38">
        <v>114.38</v>
      </c>
      <c r="Z788" s="38">
        <v>1</v>
      </c>
      <c r="AF788" s="38">
        <v>100.45</v>
      </c>
      <c r="AI788" s="38">
        <v>1</v>
      </c>
      <c r="AJ788" s="38">
        <v>4</v>
      </c>
      <c r="AK788" s="14">
        <f t="shared" si="3"/>
        <v>0.25</v>
      </c>
      <c r="AO788" s="28"/>
    </row>
    <row r="789" spans="1:41" ht="12.5" hidden="1">
      <c r="A789" s="28" t="s">
        <v>3066</v>
      </c>
      <c r="B789" s="37">
        <v>45732</v>
      </c>
      <c r="C789" s="29">
        <v>45734</v>
      </c>
      <c r="D789" s="38" t="s">
        <v>41</v>
      </c>
      <c r="E789" s="38" t="s">
        <v>3067</v>
      </c>
      <c r="G789" s="38" t="s">
        <v>43</v>
      </c>
      <c r="H789" s="38">
        <v>67.569999999999993</v>
      </c>
      <c r="I789" s="38" t="s">
        <v>44</v>
      </c>
      <c r="J789" s="38" t="s">
        <v>45</v>
      </c>
      <c r="K789" s="38" t="s">
        <v>3068</v>
      </c>
      <c r="L789" s="30" t="s">
        <v>47</v>
      </c>
      <c r="M789" s="38" t="s">
        <v>48</v>
      </c>
      <c r="N789" s="38" t="s">
        <v>48</v>
      </c>
      <c r="O789" s="31" t="s">
        <v>511</v>
      </c>
      <c r="P789" s="44" t="s">
        <v>512</v>
      </c>
      <c r="Q789" s="38" t="s">
        <v>513</v>
      </c>
      <c r="R789" s="38">
        <v>1</v>
      </c>
      <c r="S789" s="38" t="s">
        <v>99</v>
      </c>
      <c r="T789" s="38" t="s">
        <v>53</v>
      </c>
      <c r="U789" s="38" t="s">
        <v>54</v>
      </c>
      <c r="V789" s="38" t="s">
        <v>55</v>
      </c>
      <c r="Y789" s="38">
        <v>74.260000000000005</v>
      </c>
      <c r="Z789" s="38">
        <v>1</v>
      </c>
      <c r="AF789" s="38">
        <v>74.260000000000005</v>
      </c>
      <c r="AI789" s="38">
        <v>4</v>
      </c>
      <c r="AJ789" s="38">
        <v>30</v>
      </c>
      <c r="AK789" s="14">
        <f t="shared" si="3"/>
        <v>0.13333333333333333</v>
      </c>
      <c r="AN789" s="45" t="s">
        <v>953</v>
      </c>
      <c r="AO789" s="28"/>
    </row>
    <row r="790" spans="1:41" ht="12.5" hidden="1">
      <c r="A790" s="28" t="s">
        <v>3069</v>
      </c>
      <c r="B790" s="39">
        <v>45721</v>
      </c>
      <c r="C790" s="29">
        <v>45728</v>
      </c>
      <c r="D790" s="38" t="s">
        <v>41</v>
      </c>
      <c r="E790" s="38" t="s">
        <v>3070</v>
      </c>
      <c r="G790" s="38" t="s">
        <v>43</v>
      </c>
      <c r="H790" s="38">
        <v>67.569999999999993</v>
      </c>
      <c r="I790" s="38" t="s">
        <v>44</v>
      </c>
      <c r="J790" s="38" t="s">
        <v>45</v>
      </c>
      <c r="K790" s="38" t="s">
        <v>3071</v>
      </c>
      <c r="L790" s="30" t="s">
        <v>47</v>
      </c>
      <c r="M790" s="38" t="s">
        <v>48</v>
      </c>
      <c r="N790" s="38" t="s">
        <v>48</v>
      </c>
      <c r="O790" s="31" t="s">
        <v>511</v>
      </c>
      <c r="P790" s="44" t="s">
        <v>512</v>
      </c>
      <c r="Q790" s="38" t="s">
        <v>513</v>
      </c>
      <c r="R790" s="38">
        <v>1</v>
      </c>
      <c r="S790" s="38" t="s">
        <v>99</v>
      </c>
      <c r="T790" s="38" t="s">
        <v>53</v>
      </c>
      <c r="U790" s="38" t="s">
        <v>54</v>
      </c>
      <c r="V790" s="38" t="s">
        <v>55</v>
      </c>
      <c r="Y790" s="38">
        <v>75.69</v>
      </c>
      <c r="Z790" s="38">
        <v>1</v>
      </c>
      <c r="AF790" s="38">
        <v>75.69</v>
      </c>
      <c r="AK790" s="14" t="e">
        <f t="shared" si="3"/>
        <v>#DIV/0!</v>
      </c>
      <c r="AN790" s="45" t="s">
        <v>953</v>
      </c>
      <c r="AO790" s="28"/>
    </row>
    <row r="791" spans="1:41" ht="12.5" hidden="1">
      <c r="A791" s="28" t="s">
        <v>3072</v>
      </c>
      <c r="B791" s="39">
        <v>45718</v>
      </c>
      <c r="C791" s="29">
        <v>45725</v>
      </c>
      <c r="D791" s="38" t="s">
        <v>41</v>
      </c>
      <c r="E791" s="38" t="s">
        <v>3073</v>
      </c>
      <c r="G791" s="38" t="s">
        <v>43</v>
      </c>
      <c r="H791" s="38">
        <v>67.569999999999993</v>
      </c>
      <c r="I791" s="38" t="s">
        <v>44</v>
      </c>
      <c r="J791" s="38" t="s">
        <v>45</v>
      </c>
      <c r="K791" s="38" t="s">
        <v>3074</v>
      </c>
      <c r="L791" s="30" t="s">
        <v>47</v>
      </c>
      <c r="M791" s="38" t="s">
        <v>48</v>
      </c>
      <c r="N791" s="38" t="s">
        <v>48</v>
      </c>
      <c r="O791" s="31" t="s">
        <v>511</v>
      </c>
      <c r="P791" s="44" t="s">
        <v>512</v>
      </c>
      <c r="Q791" s="38" t="s">
        <v>513</v>
      </c>
      <c r="R791" s="38">
        <v>1</v>
      </c>
      <c r="S791" s="38" t="s">
        <v>184</v>
      </c>
      <c r="T791" s="38" t="s">
        <v>53</v>
      </c>
      <c r="U791" s="38" t="s">
        <v>54</v>
      </c>
      <c r="V791" s="38" t="s">
        <v>61</v>
      </c>
      <c r="Y791" s="38">
        <v>75.16</v>
      </c>
      <c r="Z791" s="38">
        <v>1</v>
      </c>
      <c r="AF791" s="38">
        <v>59.31</v>
      </c>
      <c r="AK791" s="14" t="e">
        <f t="shared" si="3"/>
        <v>#DIV/0!</v>
      </c>
      <c r="AN791" s="42" t="s">
        <v>3075</v>
      </c>
      <c r="AO791" s="28"/>
    </row>
    <row r="792" spans="1:41" ht="12.5" hidden="1">
      <c r="A792" s="28" t="s">
        <v>3076</v>
      </c>
      <c r="B792" s="37">
        <v>45714</v>
      </c>
      <c r="C792" s="29">
        <v>45719</v>
      </c>
      <c r="D792" s="38" t="s">
        <v>41</v>
      </c>
      <c r="E792" s="38" t="s">
        <v>3077</v>
      </c>
      <c r="G792" s="38" t="s">
        <v>43</v>
      </c>
      <c r="H792" s="38">
        <v>67.44</v>
      </c>
      <c r="I792" s="38" t="s">
        <v>44</v>
      </c>
      <c r="J792" s="38" t="s">
        <v>45</v>
      </c>
      <c r="K792" s="38" t="s">
        <v>3078</v>
      </c>
      <c r="L792" s="30" t="s">
        <v>58</v>
      </c>
      <c r="M792" s="38" t="s">
        <v>48</v>
      </c>
      <c r="N792" s="38" t="s">
        <v>48</v>
      </c>
      <c r="O792" s="31" t="s">
        <v>511</v>
      </c>
      <c r="P792" s="46" t="s">
        <v>512</v>
      </c>
      <c r="Q792" s="38" t="s">
        <v>513</v>
      </c>
      <c r="R792" s="38">
        <v>1</v>
      </c>
      <c r="S792" s="38" t="s">
        <v>68</v>
      </c>
      <c r="T792" s="38" t="s">
        <v>53</v>
      </c>
      <c r="U792" s="38" t="s">
        <v>54</v>
      </c>
      <c r="V792" s="38" t="s">
        <v>61</v>
      </c>
      <c r="Y792" s="38">
        <v>74.819999999999993</v>
      </c>
      <c r="Z792" s="38">
        <v>1</v>
      </c>
      <c r="AK792" s="14" t="e">
        <f t="shared" si="3"/>
        <v>#DIV/0!</v>
      </c>
      <c r="AO792" s="28"/>
    </row>
    <row r="793" spans="1:41" ht="12.5" hidden="1">
      <c r="A793" s="28" t="s">
        <v>3079</v>
      </c>
      <c r="B793" s="37">
        <v>45732</v>
      </c>
      <c r="C793" s="29">
        <v>45736</v>
      </c>
      <c r="D793" s="38" t="s">
        <v>41</v>
      </c>
      <c r="E793" s="38" t="s">
        <v>3080</v>
      </c>
      <c r="G793" s="38" t="s">
        <v>43</v>
      </c>
      <c r="H793" s="38">
        <v>12.67</v>
      </c>
      <c r="I793" s="38" t="s">
        <v>44</v>
      </c>
      <c r="J793" s="38" t="s">
        <v>45</v>
      </c>
      <c r="K793" s="38" t="s">
        <v>3081</v>
      </c>
      <c r="L793" s="30" t="s">
        <v>47</v>
      </c>
      <c r="M793" s="38" t="s">
        <v>48</v>
      </c>
      <c r="N793" s="38" t="s">
        <v>48</v>
      </c>
      <c r="O793" s="31" t="s">
        <v>1286</v>
      </c>
      <c r="P793" s="28" t="s">
        <v>1287</v>
      </c>
      <c r="Q793" s="38" t="s">
        <v>1288</v>
      </c>
      <c r="R793" s="38">
        <v>1</v>
      </c>
      <c r="S793" s="38" t="s">
        <v>82</v>
      </c>
      <c r="T793" s="38" t="s">
        <v>53</v>
      </c>
      <c r="U793" s="38" t="s">
        <v>54</v>
      </c>
      <c r="V793" s="38" t="s">
        <v>560</v>
      </c>
      <c r="Y793" s="38">
        <v>84.14</v>
      </c>
      <c r="Z793" s="38">
        <v>1</v>
      </c>
      <c r="AI793" s="38">
        <v>2</v>
      </c>
      <c r="AJ793" s="38">
        <v>8</v>
      </c>
      <c r="AK793" s="14">
        <f t="shared" si="3"/>
        <v>0.25</v>
      </c>
      <c r="AO793" s="28"/>
    </row>
    <row r="794" spans="1:41" ht="12.5" hidden="1">
      <c r="A794" s="28" t="s">
        <v>3082</v>
      </c>
      <c r="B794" s="39">
        <v>45719</v>
      </c>
      <c r="C794" s="29">
        <v>45734</v>
      </c>
      <c r="D794" s="38" t="s">
        <v>41</v>
      </c>
      <c r="E794" s="38" t="s">
        <v>3083</v>
      </c>
      <c r="G794" s="38" t="s">
        <v>43</v>
      </c>
      <c r="H794" s="38">
        <v>12.67</v>
      </c>
      <c r="I794" s="38" t="s">
        <v>44</v>
      </c>
      <c r="J794" s="38" t="s">
        <v>45</v>
      </c>
      <c r="K794" s="38" t="s">
        <v>3084</v>
      </c>
      <c r="L794" s="30" t="s">
        <v>47</v>
      </c>
      <c r="M794" s="38" t="s">
        <v>48</v>
      </c>
      <c r="N794" s="38" t="s">
        <v>48</v>
      </c>
      <c r="O794" s="31" t="s">
        <v>1286</v>
      </c>
      <c r="P794" s="28" t="s">
        <v>1287</v>
      </c>
      <c r="Q794" s="38" t="s">
        <v>1288</v>
      </c>
      <c r="R794" s="38">
        <v>1</v>
      </c>
      <c r="S794" s="38" t="s">
        <v>184</v>
      </c>
      <c r="T794" s="38" t="s">
        <v>53</v>
      </c>
      <c r="U794" s="38" t="s">
        <v>54</v>
      </c>
      <c r="V794" s="38" t="s">
        <v>61</v>
      </c>
      <c r="Y794" s="38">
        <v>83.55</v>
      </c>
      <c r="Z794" s="38">
        <v>1</v>
      </c>
      <c r="AF794" s="38">
        <v>83.55</v>
      </c>
      <c r="AK794" s="14" t="e">
        <f t="shared" si="3"/>
        <v>#DIV/0!</v>
      </c>
      <c r="AO794" s="28"/>
    </row>
    <row r="795" spans="1:41" ht="12.5" hidden="1">
      <c r="A795" s="28" t="s">
        <v>3085</v>
      </c>
      <c r="B795" s="37">
        <v>45726</v>
      </c>
      <c r="C795" s="29">
        <v>45736</v>
      </c>
      <c r="D795" s="38" t="s">
        <v>41</v>
      </c>
      <c r="E795" s="38" t="s">
        <v>3086</v>
      </c>
      <c r="G795" s="38" t="s">
        <v>43</v>
      </c>
      <c r="H795" s="38">
        <v>14.06</v>
      </c>
      <c r="I795" s="38" t="s">
        <v>44</v>
      </c>
      <c r="J795" s="38" t="s">
        <v>45</v>
      </c>
      <c r="K795" s="38" t="s">
        <v>3087</v>
      </c>
      <c r="L795" s="30" t="s">
        <v>58</v>
      </c>
      <c r="M795" s="38" t="s">
        <v>48</v>
      </c>
      <c r="N795" s="38" t="s">
        <v>48</v>
      </c>
      <c r="O795" s="31" t="s">
        <v>2593</v>
      </c>
      <c r="P795" s="28" t="s">
        <v>2594</v>
      </c>
      <c r="Q795" s="38" t="s">
        <v>2595</v>
      </c>
      <c r="R795" s="38">
        <v>1</v>
      </c>
      <c r="S795" s="38" t="s">
        <v>75</v>
      </c>
      <c r="T795" s="38" t="s">
        <v>53</v>
      </c>
      <c r="U795" s="38" t="s">
        <v>54</v>
      </c>
      <c r="V795" s="38" t="s">
        <v>61</v>
      </c>
      <c r="Y795" s="38">
        <v>82.9</v>
      </c>
      <c r="Z795" s="38">
        <v>1</v>
      </c>
      <c r="AI795" s="38">
        <v>1</v>
      </c>
      <c r="AJ795" s="38">
        <v>7</v>
      </c>
      <c r="AK795" s="14">
        <f t="shared" si="3"/>
        <v>0.14285714285714285</v>
      </c>
      <c r="AO795" s="28"/>
    </row>
    <row r="796" spans="1:41" ht="12.5" hidden="1">
      <c r="A796" s="28" t="s">
        <v>3088</v>
      </c>
      <c r="B796" s="37">
        <v>45727</v>
      </c>
      <c r="C796" s="29">
        <v>45735</v>
      </c>
      <c r="D796" s="38" t="s">
        <v>41</v>
      </c>
      <c r="E796" s="38" t="s">
        <v>3089</v>
      </c>
      <c r="G796" s="38" t="s">
        <v>43</v>
      </c>
      <c r="H796" s="38">
        <v>7.09</v>
      </c>
      <c r="I796" s="38" t="s">
        <v>44</v>
      </c>
      <c r="J796" s="38" t="s">
        <v>45</v>
      </c>
      <c r="K796" s="38" t="s">
        <v>3090</v>
      </c>
      <c r="L796" s="30" t="s">
        <v>47</v>
      </c>
      <c r="M796" s="38" t="s">
        <v>48</v>
      </c>
      <c r="N796" s="38" t="s">
        <v>48</v>
      </c>
      <c r="O796" s="31" t="s">
        <v>1292</v>
      </c>
      <c r="P796" s="28" t="s">
        <v>1293</v>
      </c>
      <c r="Q796" s="38" t="s">
        <v>1294</v>
      </c>
      <c r="R796" s="38">
        <v>1</v>
      </c>
      <c r="S796" s="38" t="s">
        <v>52</v>
      </c>
      <c r="T796" s="38" t="s">
        <v>53</v>
      </c>
      <c r="U796" s="38" t="s">
        <v>54</v>
      </c>
      <c r="V796" s="38" t="s">
        <v>55</v>
      </c>
      <c r="Y796" s="38">
        <v>76.400000000000006</v>
      </c>
      <c r="Z796" s="38">
        <v>1</v>
      </c>
      <c r="AF796" s="38">
        <v>76.400000000000006</v>
      </c>
      <c r="AI796" s="38">
        <v>1</v>
      </c>
      <c r="AJ796" s="38">
        <v>8</v>
      </c>
      <c r="AK796" s="14">
        <f t="shared" si="3"/>
        <v>0.125</v>
      </c>
      <c r="AO796" s="28"/>
    </row>
    <row r="797" spans="1:41" ht="12.5" hidden="1">
      <c r="A797" s="28" t="s">
        <v>3091</v>
      </c>
      <c r="B797" s="39">
        <v>45717</v>
      </c>
      <c r="C797" s="29">
        <v>45724</v>
      </c>
      <c r="D797" s="38" t="s">
        <v>41</v>
      </c>
      <c r="E797" s="38" t="s">
        <v>3092</v>
      </c>
      <c r="G797" s="38" t="s">
        <v>43</v>
      </c>
      <c r="H797" s="38">
        <v>11.13</v>
      </c>
      <c r="I797" s="38" t="s">
        <v>44</v>
      </c>
      <c r="J797" s="38" t="s">
        <v>45</v>
      </c>
      <c r="K797" s="38" t="s">
        <v>3093</v>
      </c>
      <c r="L797" s="30" t="s">
        <v>47</v>
      </c>
      <c r="M797" s="38" t="s">
        <v>48</v>
      </c>
      <c r="N797" s="38" t="s">
        <v>48</v>
      </c>
      <c r="O797" s="31" t="s">
        <v>517</v>
      </c>
      <c r="P797" s="28" t="s">
        <v>518</v>
      </c>
      <c r="Q797" s="38" t="s">
        <v>519</v>
      </c>
      <c r="R797" s="38">
        <v>1</v>
      </c>
      <c r="S797" s="38" t="s">
        <v>82</v>
      </c>
      <c r="T797" s="38" t="s">
        <v>53</v>
      </c>
      <c r="U797" s="38" t="s">
        <v>54</v>
      </c>
      <c r="V797" s="38" t="s">
        <v>61</v>
      </c>
      <c r="Y797" s="38">
        <v>71.61</v>
      </c>
      <c r="Z797" s="38">
        <v>1</v>
      </c>
      <c r="AI797" s="38">
        <v>1</v>
      </c>
      <c r="AJ797" s="38">
        <v>23</v>
      </c>
      <c r="AK797" s="14">
        <f t="shared" si="3"/>
        <v>4.3478260869565216E-2</v>
      </c>
      <c r="AO797" s="28"/>
    </row>
    <row r="798" spans="1:41" ht="12.5" hidden="1">
      <c r="A798" s="28" t="s">
        <v>3094</v>
      </c>
      <c r="B798" s="39">
        <v>45724</v>
      </c>
      <c r="C798" s="29">
        <v>45731</v>
      </c>
      <c r="D798" s="38" t="s">
        <v>41</v>
      </c>
      <c r="E798" s="38" t="s">
        <v>3095</v>
      </c>
      <c r="G798" s="38" t="s">
        <v>43</v>
      </c>
      <c r="H798" s="38">
        <v>11.13</v>
      </c>
      <c r="I798" s="38" t="s">
        <v>44</v>
      </c>
      <c r="J798" s="38" t="s">
        <v>45</v>
      </c>
      <c r="K798" s="38" t="s">
        <v>3096</v>
      </c>
      <c r="L798" s="30" t="s">
        <v>58</v>
      </c>
      <c r="M798" s="38" t="s">
        <v>48</v>
      </c>
      <c r="N798" s="38" t="s">
        <v>48</v>
      </c>
      <c r="O798" s="31" t="s">
        <v>3097</v>
      </c>
      <c r="P798" s="28" t="s">
        <v>3098</v>
      </c>
      <c r="Q798" s="38" t="s">
        <v>3099</v>
      </c>
      <c r="R798" s="38">
        <v>1</v>
      </c>
      <c r="S798" s="38" t="s">
        <v>68</v>
      </c>
      <c r="T798" s="38" t="s">
        <v>53</v>
      </c>
      <c r="U798" s="38" t="s">
        <v>54</v>
      </c>
      <c r="V798" s="38" t="s">
        <v>61</v>
      </c>
      <c r="Y798" s="38">
        <v>79</v>
      </c>
      <c r="Z798" s="38">
        <v>1</v>
      </c>
      <c r="AI798" s="38">
        <v>1</v>
      </c>
      <c r="AJ798" s="38">
        <v>7</v>
      </c>
      <c r="AK798" s="14">
        <f t="shared" si="3"/>
        <v>0.14285714285714285</v>
      </c>
      <c r="AO798" s="28"/>
    </row>
    <row r="799" spans="1:41" ht="12.5" hidden="1">
      <c r="A799" s="28" t="s">
        <v>3100</v>
      </c>
      <c r="B799" s="39">
        <v>45719</v>
      </c>
      <c r="C799" s="29">
        <v>45727</v>
      </c>
      <c r="D799" s="38" t="s">
        <v>41</v>
      </c>
      <c r="E799" s="38" t="s">
        <v>3101</v>
      </c>
      <c r="G799" s="38" t="s">
        <v>43</v>
      </c>
      <c r="H799" s="38">
        <v>12.67</v>
      </c>
      <c r="I799" s="38" t="s">
        <v>44</v>
      </c>
      <c r="J799" s="38" t="s">
        <v>45</v>
      </c>
      <c r="K799" s="38" t="s">
        <v>3102</v>
      </c>
      <c r="L799" s="30" t="s">
        <v>47</v>
      </c>
      <c r="M799" s="38" t="s">
        <v>48</v>
      </c>
      <c r="N799" s="38" t="s">
        <v>48</v>
      </c>
      <c r="O799" s="31" t="s">
        <v>526</v>
      </c>
      <c r="P799" s="28" t="s">
        <v>527</v>
      </c>
      <c r="Q799" s="38" t="s">
        <v>528</v>
      </c>
      <c r="R799" s="38">
        <v>1</v>
      </c>
      <c r="S799" s="38" t="s">
        <v>99</v>
      </c>
      <c r="T799" s="38" t="s">
        <v>53</v>
      </c>
      <c r="U799" s="38" t="s">
        <v>54</v>
      </c>
      <c r="V799" s="38" t="s">
        <v>61</v>
      </c>
      <c r="Y799" s="38">
        <v>64.349999999999994</v>
      </c>
      <c r="Z799" s="38">
        <v>1</v>
      </c>
      <c r="AI799" s="38">
        <v>1</v>
      </c>
      <c r="AJ799" s="38">
        <v>28</v>
      </c>
      <c r="AK799" s="14">
        <f t="shared" si="3"/>
        <v>3.5714285714285712E-2</v>
      </c>
      <c r="AO799" s="28"/>
    </row>
    <row r="800" spans="1:41" ht="12.5" hidden="1">
      <c r="A800" s="28" t="s">
        <v>3103</v>
      </c>
      <c r="B800" s="37">
        <v>45715</v>
      </c>
      <c r="C800" s="29">
        <v>45725</v>
      </c>
      <c r="D800" s="38" t="s">
        <v>41</v>
      </c>
      <c r="E800" s="38" t="s">
        <v>3104</v>
      </c>
      <c r="G800" s="38" t="s">
        <v>43</v>
      </c>
      <c r="H800" s="38">
        <v>11.13</v>
      </c>
      <c r="I800" s="38" t="s">
        <v>44</v>
      </c>
      <c r="J800" s="38" t="s">
        <v>45</v>
      </c>
      <c r="K800" s="38" t="s">
        <v>3105</v>
      </c>
      <c r="L800" s="30" t="s">
        <v>47</v>
      </c>
      <c r="M800" s="38" t="s">
        <v>48</v>
      </c>
      <c r="N800" s="38" t="s">
        <v>48</v>
      </c>
      <c r="O800" s="31" t="s">
        <v>536</v>
      </c>
      <c r="P800" s="28" t="s">
        <v>537</v>
      </c>
      <c r="Q800" s="38" t="s">
        <v>538</v>
      </c>
      <c r="R800" s="38">
        <v>1</v>
      </c>
      <c r="S800" s="38" t="s">
        <v>52</v>
      </c>
      <c r="T800" s="38" t="s">
        <v>53</v>
      </c>
      <c r="U800" s="38" t="s">
        <v>54</v>
      </c>
      <c r="V800" s="38" t="s">
        <v>61</v>
      </c>
      <c r="Y800" s="38">
        <v>85.13</v>
      </c>
      <c r="Z800" s="38">
        <v>1</v>
      </c>
      <c r="AF800" s="38">
        <v>69</v>
      </c>
      <c r="AI800" s="38">
        <v>2</v>
      </c>
      <c r="AJ800" s="38">
        <v>11</v>
      </c>
      <c r="AK800" s="14">
        <f t="shared" si="3"/>
        <v>0.18181818181818182</v>
      </c>
      <c r="AO800" s="28"/>
    </row>
    <row r="801" spans="1:41" ht="12.5" hidden="1">
      <c r="A801" s="28" t="s">
        <v>3106</v>
      </c>
      <c r="B801" s="39">
        <v>45717</v>
      </c>
      <c r="C801" s="29">
        <v>45723</v>
      </c>
      <c r="D801" s="38" t="s">
        <v>41</v>
      </c>
      <c r="E801" s="38" t="s">
        <v>3107</v>
      </c>
      <c r="G801" s="38" t="s">
        <v>43</v>
      </c>
      <c r="H801" s="38">
        <v>11.13</v>
      </c>
      <c r="I801" s="38" t="s">
        <v>44</v>
      </c>
      <c r="J801" s="38" t="s">
        <v>45</v>
      </c>
      <c r="K801" s="38" t="s">
        <v>3108</v>
      </c>
      <c r="L801" s="30" t="s">
        <v>47</v>
      </c>
      <c r="M801" s="38" t="s">
        <v>48</v>
      </c>
      <c r="N801" s="38" t="s">
        <v>48</v>
      </c>
      <c r="O801" s="31" t="s">
        <v>536</v>
      </c>
      <c r="P801" s="28" t="s">
        <v>537</v>
      </c>
      <c r="Q801" s="38" t="s">
        <v>538</v>
      </c>
      <c r="R801" s="38">
        <v>1</v>
      </c>
      <c r="S801" s="38" t="s">
        <v>99</v>
      </c>
      <c r="T801" s="38" t="s">
        <v>53</v>
      </c>
      <c r="U801" s="38" t="s">
        <v>54</v>
      </c>
      <c r="V801" s="38" t="s">
        <v>55</v>
      </c>
      <c r="Y801" s="38">
        <v>87.03</v>
      </c>
      <c r="Z801" s="38">
        <v>1</v>
      </c>
      <c r="AF801" s="38">
        <v>87.03</v>
      </c>
      <c r="AK801" s="14" t="e">
        <f t="shared" si="3"/>
        <v>#DIV/0!</v>
      </c>
      <c r="AO801" s="28"/>
    </row>
    <row r="802" spans="1:41" ht="12.5" hidden="1">
      <c r="A802" s="28" t="s">
        <v>3109</v>
      </c>
      <c r="B802" s="37">
        <v>45728</v>
      </c>
      <c r="C802" s="29">
        <v>45734</v>
      </c>
      <c r="D802" s="38" t="s">
        <v>41</v>
      </c>
      <c r="E802" s="38" t="s">
        <v>3110</v>
      </c>
      <c r="G802" s="38" t="s">
        <v>43</v>
      </c>
      <c r="H802" s="38">
        <v>7.71</v>
      </c>
      <c r="I802" s="38" t="s">
        <v>44</v>
      </c>
      <c r="J802" s="38" t="s">
        <v>45</v>
      </c>
      <c r="K802" s="38" t="s">
        <v>3111</v>
      </c>
      <c r="L802" s="30" t="s">
        <v>47</v>
      </c>
      <c r="M802" s="38" t="s">
        <v>48</v>
      </c>
      <c r="N802" s="38" t="s">
        <v>48</v>
      </c>
      <c r="O802" s="31" t="s">
        <v>3112</v>
      </c>
      <c r="P802" s="28" t="s">
        <v>3113</v>
      </c>
      <c r="Q802" s="38" t="s">
        <v>3114</v>
      </c>
      <c r="R802" s="38">
        <v>1</v>
      </c>
      <c r="S802" s="38" t="s">
        <v>92</v>
      </c>
      <c r="T802" s="38" t="s">
        <v>53</v>
      </c>
      <c r="U802" s="38" t="s">
        <v>54</v>
      </c>
      <c r="V802" s="38" t="s">
        <v>240</v>
      </c>
      <c r="Y802" s="38">
        <v>123.92</v>
      </c>
      <c r="Z802" s="38">
        <v>1</v>
      </c>
      <c r="AF802" s="38">
        <v>123.92</v>
      </c>
      <c r="AI802" s="38">
        <v>1</v>
      </c>
      <c r="AJ802" s="38">
        <v>1</v>
      </c>
      <c r="AK802" s="14">
        <f t="shared" si="3"/>
        <v>1</v>
      </c>
      <c r="AO802" s="28"/>
    </row>
    <row r="803" spans="1:41" ht="12.5" hidden="1">
      <c r="A803" s="28" t="s">
        <v>3115</v>
      </c>
      <c r="B803" s="37">
        <v>45741</v>
      </c>
      <c r="C803" s="29">
        <v>45747</v>
      </c>
      <c r="D803" s="38" t="s">
        <v>41</v>
      </c>
      <c r="E803" s="38" t="s">
        <v>3116</v>
      </c>
      <c r="G803" s="38" t="s">
        <v>43</v>
      </c>
      <c r="H803" s="38">
        <v>20.57</v>
      </c>
      <c r="I803" s="38" t="s">
        <v>44</v>
      </c>
      <c r="J803" s="38" t="s">
        <v>45</v>
      </c>
      <c r="K803" s="38" t="s">
        <v>3117</v>
      </c>
      <c r="L803" s="30" t="s">
        <v>47</v>
      </c>
      <c r="M803" s="38" t="s">
        <v>48</v>
      </c>
      <c r="N803" s="38" t="s">
        <v>48</v>
      </c>
      <c r="O803" s="47" t="s">
        <v>551</v>
      </c>
      <c r="P803" s="28" t="s">
        <v>552</v>
      </c>
      <c r="Q803" s="38" t="s">
        <v>553</v>
      </c>
      <c r="R803" s="38">
        <v>1</v>
      </c>
      <c r="S803" s="38" t="s">
        <v>99</v>
      </c>
      <c r="T803" s="38" t="s">
        <v>53</v>
      </c>
      <c r="U803" s="38" t="s">
        <v>54</v>
      </c>
      <c r="V803" s="38" t="s">
        <v>61</v>
      </c>
      <c r="Y803" s="38">
        <v>101.42</v>
      </c>
      <c r="Z803" s="38">
        <v>1</v>
      </c>
      <c r="AI803" s="38">
        <v>9</v>
      </c>
      <c r="AJ803" s="38">
        <v>10</v>
      </c>
      <c r="AK803" s="14">
        <f t="shared" si="3"/>
        <v>0.9</v>
      </c>
      <c r="AO803" s="28"/>
    </row>
    <row r="804" spans="1:41" ht="12.5" hidden="1">
      <c r="A804" s="28" t="s">
        <v>3118</v>
      </c>
      <c r="B804" s="37">
        <v>45731</v>
      </c>
      <c r="C804" s="29">
        <v>45741</v>
      </c>
      <c r="D804" s="38" t="s">
        <v>41</v>
      </c>
      <c r="E804" s="38" t="s">
        <v>3119</v>
      </c>
      <c r="G804" s="38" t="s">
        <v>43</v>
      </c>
      <c r="H804" s="38">
        <v>20.57</v>
      </c>
      <c r="I804" s="38" t="s">
        <v>44</v>
      </c>
      <c r="J804" s="38" t="s">
        <v>45</v>
      </c>
      <c r="K804" s="38" t="s">
        <v>3120</v>
      </c>
      <c r="L804" s="30" t="s">
        <v>58</v>
      </c>
      <c r="M804" s="38" t="s">
        <v>48</v>
      </c>
      <c r="N804" s="38" t="s">
        <v>48</v>
      </c>
      <c r="O804" s="47" t="s">
        <v>551</v>
      </c>
      <c r="P804" s="28" t="s">
        <v>552</v>
      </c>
      <c r="Q804" s="38" t="s">
        <v>553</v>
      </c>
      <c r="R804" s="38">
        <v>1</v>
      </c>
      <c r="S804" s="38" t="s">
        <v>2716</v>
      </c>
      <c r="T804" s="38" t="s">
        <v>53</v>
      </c>
      <c r="U804" s="38" t="s">
        <v>54</v>
      </c>
      <c r="V804" s="38" t="s">
        <v>55</v>
      </c>
      <c r="Y804" s="38">
        <v>100.48</v>
      </c>
      <c r="Z804" s="38">
        <v>1</v>
      </c>
      <c r="AF804" s="38">
        <v>79.91</v>
      </c>
      <c r="AK804" s="14" t="e">
        <f t="shared" si="3"/>
        <v>#DIV/0!</v>
      </c>
      <c r="AO804" s="28"/>
    </row>
    <row r="805" spans="1:41" ht="12.5" hidden="1">
      <c r="A805" s="28" t="s">
        <v>3121</v>
      </c>
      <c r="B805" s="39">
        <v>45725</v>
      </c>
      <c r="C805" s="29">
        <v>45731</v>
      </c>
      <c r="D805" s="38" t="s">
        <v>41</v>
      </c>
      <c r="E805" s="38" t="s">
        <v>3122</v>
      </c>
      <c r="G805" s="38" t="s">
        <v>43</v>
      </c>
      <c r="H805" s="38">
        <v>20.57</v>
      </c>
      <c r="I805" s="38" t="s">
        <v>44</v>
      </c>
      <c r="J805" s="38" t="s">
        <v>45</v>
      </c>
      <c r="K805" s="38" t="s">
        <v>3123</v>
      </c>
      <c r="L805" s="30" t="s">
        <v>47</v>
      </c>
      <c r="M805" s="38" t="s">
        <v>48</v>
      </c>
      <c r="N805" s="38" t="s">
        <v>48</v>
      </c>
      <c r="O805" s="47" t="s">
        <v>551</v>
      </c>
      <c r="P805" s="28" t="s">
        <v>552</v>
      </c>
      <c r="Q805" s="38" t="s">
        <v>553</v>
      </c>
      <c r="R805" s="38">
        <v>1</v>
      </c>
      <c r="S805" s="38" t="s">
        <v>52</v>
      </c>
      <c r="T805" s="38" t="s">
        <v>53</v>
      </c>
      <c r="U805" s="38" t="s">
        <v>54</v>
      </c>
      <c r="V805" s="38" t="s">
        <v>55</v>
      </c>
      <c r="Y805" s="38">
        <v>101.01</v>
      </c>
      <c r="Z805" s="38">
        <v>1</v>
      </c>
      <c r="AF805" s="38">
        <v>101.01</v>
      </c>
      <c r="AK805" s="14" t="e">
        <f t="shared" si="3"/>
        <v>#DIV/0!</v>
      </c>
      <c r="AO805" s="28"/>
    </row>
    <row r="806" spans="1:41" ht="12.5" hidden="1">
      <c r="A806" s="28" t="s">
        <v>3124</v>
      </c>
      <c r="B806" s="39">
        <v>45689</v>
      </c>
      <c r="C806" s="29">
        <v>45730</v>
      </c>
      <c r="D806" s="38" t="s">
        <v>41</v>
      </c>
      <c r="E806" s="38" t="s">
        <v>3125</v>
      </c>
      <c r="G806" s="38" t="s">
        <v>43</v>
      </c>
      <c r="H806" s="38">
        <v>20.57</v>
      </c>
      <c r="I806" s="38" t="s">
        <v>44</v>
      </c>
      <c r="J806" s="38" t="s">
        <v>45</v>
      </c>
      <c r="K806" s="38" t="s">
        <v>3126</v>
      </c>
      <c r="L806" s="30" t="s">
        <v>58</v>
      </c>
      <c r="M806" s="38" t="s">
        <v>48</v>
      </c>
      <c r="N806" s="38" t="s">
        <v>48</v>
      </c>
      <c r="O806" s="47" t="s">
        <v>551</v>
      </c>
      <c r="P806" s="28" t="s">
        <v>552</v>
      </c>
      <c r="Q806" s="38" t="s">
        <v>553</v>
      </c>
      <c r="R806" s="38">
        <v>1</v>
      </c>
      <c r="S806" s="38" t="s">
        <v>2716</v>
      </c>
      <c r="T806" s="38" t="s">
        <v>53</v>
      </c>
      <c r="U806" s="38" t="s">
        <v>54</v>
      </c>
      <c r="V806" s="38" t="s">
        <v>55</v>
      </c>
      <c r="Y806" s="38">
        <v>99.81</v>
      </c>
      <c r="Z806" s="38">
        <v>1</v>
      </c>
      <c r="AF806" s="38">
        <v>77.94</v>
      </c>
      <c r="AK806" s="14" t="e">
        <f t="shared" si="3"/>
        <v>#DIV/0!</v>
      </c>
      <c r="AO806" s="28"/>
    </row>
    <row r="807" spans="1:41" ht="12.5" hidden="1">
      <c r="A807" s="28" t="s">
        <v>3127</v>
      </c>
      <c r="B807" s="39">
        <v>45717</v>
      </c>
      <c r="C807" s="29">
        <v>45725</v>
      </c>
      <c r="D807" s="38" t="s">
        <v>41</v>
      </c>
      <c r="E807" s="38" t="s">
        <v>3128</v>
      </c>
      <c r="G807" s="38" t="s">
        <v>43</v>
      </c>
      <c r="H807" s="38">
        <v>20.57</v>
      </c>
      <c r="I807" s="38" t="s">
        <v>44</v>
      </c>
      <c r="J807" s="38" t="s">
        <v>45</v>
      </c>
      <c r="K807" s="38" t="s">
        <v>3129</v>
      </c>
      <c r="L807" s="30" t="s">
        <v>47</v>
      </c>
      <c r="M807" s="38" t="s">
        <v>48</v>
      </c>
      <c r="N807" s="38" t="s">
        <v>48</v>
      </c>
      <c r="O807" s="47" t="s">
        <v>551</v>
      </c>
      <c r="P807" s="28" t="s">
        <v>552</v>
      </c>
      <c r="Q807" s="38" t="s">
        <v>553</v>
      </c>
      <c r="R807" s="38">
        <v>1</v>
      </c>
      <c r="S807" s="38" t="s">
        <v>52</v>
      </c>
      <c r="T807" s="38" t="s">
        <v>53</v>
      </c>
      <c r="U807" s="38" t="s">
        <v>54</v>
      </c>
      <c r="V807" s="38" t="s">
        <v>55</v>
      </c>
      <c r="Y807" s="38">
        <v>100.7</v>
      </c>
      <c r="Z807" s="38">
        <v>1</v>
      </c>
      <c r="AF807" s="38">
        <v>100.7</v>
      </c>
      <c r="AK807" s="14" t="e">
        <f t="shared" si="3"/>
        <v>#DIV/0!</v>
      </c>
      <c r="AO807" s="28"/>
    </row>
    <row r="808" spans="1:41" ht="12.5" hidden="1">
      <c r="A808" s="28" t="s">
        <v>3130</v>
      </c>
      <c r="B808" s="39">
        <v>45718</v>
      </c>
      <c r="C808" s="29">
        <v>45724</v>
      </c>
      <c r="D808" s="38" t="s">
        <v>41</v>
      </c>
      <c r="E808" s="38" t="s">
        <v>3131</v>
      </c>
      <c r="G808" s="38" t="s">
        <v>43</v>
      </c>
      <c r="H808" s="38">
        <v>20.57</v>
      </c>
      <c r="I808" s="38" t="s">
        <v>44</v>
      </c>
      <c r="J808" s="38" t="s">
        <v>45</v>
      </c>
      <c r="K808" s="38" t="s">
        <v>3132</v>
      </c>
      <c r="L808" s="30" t="s">
        <v>47</v>
      </c>
      <c r="M808" s="38" t="s">
        <v>48</v>
      </c>
      <c r="N808" s="38" t="s">
        <v>48</v>
      </c>
      <c r="O808" s="47" t="s">
        <v>551</v>
      </c>
      <c r="P808" s="28" t="s">
        <v>552</v>
      </c>
      <c r="Q808" s="38" t="s">
        <v>553</v>
      </c>
      <c r="R808" s="38">
        <v>1</v>
      </c>
      <c r="S808" s="38" t="s">
        <v>52</v>
      </c>
      <c r="T808" s="38" t="s">
        <v>53</v>
      </c>
      <c r="U808" s="38" t="s">
        <v>54</v>
      </c>
      <c r="V808" s="38" t="s">
        <v>55</v>
      </c>
      <c r="Y808" s="38">
        <v>102.82</v>
      </c>
      <c r="Z808" s="38">
        <v>1</v>
      </c>
      <c r="AF808" s="38">
        <v>102.82</v>
      </c>
      <c r="AK808" s="14" t="e">
        <f t="shared" si="3"/>
        <v>#DIV/0!</v>
      </c>
      <c r="AO808" s="28"/>
    </row>
    <row r="809" spans="1:41" ht="12.5" hidden="1">
      <c r="A809" s="28" t="s">
        <v>3133</v>
      </c>
      <c r="B809" s="39">
        <v>45717</v>
      </c>
      <c r="C809" s="29">
        <v>45722</v>
      </c>
      <c r="D809" s="38" t="s">
        <v>41</v>
      </c>
      <c r="E809" s="38" t="s">
        <v>3134</v>
      </c>
      <c r="G809" s="38" t="s">
        <v>43</v>
      </c>
      <c r="H809" s="38">
        <v>20.57</v>
      </c>
      <c r="I809" s="38" t="s">
        <v>44</v>
      </c>
      <c r="J809" s="38" t="s">
        <v>45</v>
      </c>
      <c r="K809" s="38" t="s">
        <v>3135</v>
      </c>
      <c r="L809" s="30" t="s">
        <v>58</v>
      </c>
      <c r="M809" s="38" t="s">
        <v>48</v>
      </c>
      <c r="N809" s="38" t="s">
        <v>48</v>
      </c>
      <c r="O809" s="47" t="s">
        <v>551</v>
      </c>
      <c r="P809" s="28" t="s">
        <v>552</v>
      </c>
      <c r="Q809" s="38" t="s">
        <v>553</v>
      </c>
      <c r="R809" s="38">
        <v>1</v>
      </c>
      <c r="S809" s="38" t="s">
        <v>68</v>
      </c>
      <c r="T809" s="38" t="s">
        <v>53</v>
      </c>
      <c r="U809" s="38" t="s">
        <v>54</v>
      </c>
      <c r="V809" s="38" t="s">
        <v>55</v>
      </c>
      <c r="Y809" s="38">
        <v>101.64</v>
      </c>
      <c r="Z809" s="38">
        <v>1</v>
      </c>
      <c r="AF809" s="38">
        <v>81.069999999999993</v>
      </c>
      <c r="AK809" s="14" t="e">
        <f t="shared" si="3"/>
        <v>#DIV/0!</v>
      </c>
      <c r="AO809" s="28"/>
    </row>
    <row r="810" spans="1:41" ht="12.5" hidden="1">
      <c r="A810" s="28" t="s">
        <v>3136</v>
      </c>
      <c r="B810" s="39">
        <v>45719</v>
      </c>
      <c r="C810" s="29">
        <v>45722</v>
      </c>
      <c r="D810" s="38" t="s">
        <v>41</v>
      </c>
      <c r="E810" s="38" t="s">
        <v>3137</v>
      </c>
      <c r="G810" s="38" t="s">
        <v>43</v>
      </c>
      <c r="H810" s="38">
        <v>20.57</v>
      </c>
      <c r="I810" s="38" t="s">
        <v>44</v>
      </c>
      <c r="J810" s="38" t="s">
        <v>45</v>
      </c>
      <c r="K810" s="38" t="s">
        <v>3138</v>
      </c>
      <c r="L810" s="30" t="s">
        <v>47</v>
      </c>
      <c r="M810" s="38" t="s">
        <v>48</v>
      </c>
      <c r="N810" s="38" t="s">
        <v>48</v>
      </c>
      <c r="O810" s="47" t="s">
        <v>551</v>
      </c>
      <c r="P810" s="28" t="s">
        <v>552</v>
      </c>
      <c r="Q810" s="38" t="s">
        <v>553</v>
      </c>
      <c r="R810" s="38">
        <v>1</v>
      </c>
      <c r="S810" s="38" t="s">
        <v>52</v>
      </c>
      <c r="T810" s="38" t="s">
        <v>53</v>
      </c>
      <c r="U810" s="38" t="s">
        <v>54</v>
      </c>
      <c r="V810" s="38" t="s">
        <v>55</v>
      </c>
      <c r="Y810" s="38">
        <v>96.02</v>
      </c>
      <c r="Z810" s="38">
        <v>1</v>
      </c>
      <c r="AF810" s="38">
        <v>96.02</v>
      </c>
      <c r="AK810" s="14" t="e">
        <f t="shared" si="3"/>
        <v>#DIV/0!</v>
      </c>
      <c r="AO810" s="28"/>
    </row>
    <row r="811" spans="1:41" ht="12.5" hidden="1">
      <c r="A811" s="28" t="s">
        <v>3139</v>
      </c>
      <c r="B811" s="39">
        <v>45717</v>
      </c>
      <c r="C811" s="29">
        <v>45722</v>
      </c>
      <c r="D811" s="38" t="s">
        <v>41</v>
      </c>
      <c r="E811" s="38" t="s">
        <v>3140</v>
      </c>
      <c r="G811" s="38" t="s">
        <v>43</v>
      </c>
      <c r="H811" s="38">
        <v>20.57</v>
      </c>
      <c r="I811" s="38" t="s">
        <v>44</v>
      </c>
      <c r="J811" s="38" t="s">
        <v>45</v>
      </c>
      <c r="K811" s="38" t="s">
        <v>3141</v>
      </c>
      <c r="L811" s="30" t="s">
        <v>47</v>
      </c>
      <c r="M811" s="38" t="s">
        <v>48</v>
      </c>
      <c r="N811" s="38" t="s">
        <v>48</v>
      </c>
      <c r="O811" s="47" t="s">
        <v>551</v>
      </c>
      <c r="P811" s="28" t="s">
        <v>552</v>
      </c>
      <c r="Q811" s="38" t="s">
        <v>553</v>
      </c>
      <c r="R811" s="38">
        <v>1</v>
      </c>
      <c r="S811" s="38" t="s">
        <v>99</v>
      </c>
      <c r="T811" s="38" t="s">
        <v>53</v>
      </c>
      <c r="U811" s="38" t="s">
        <v>54</v>
      </c>
      <c r="V811" s="38" t="s">
        <v>61</v>
      </c>
      <c r="Y811" s="38">
        <v>100.7</v>
      </c>
      <c r="Z811" s="38">
        <v>1</v>
      </c>
      <c r="AF811" s="38">
        <v>100.7</v>
      </c>
      <c r="AK811" s="14" t="e">
        <f t="shared" si="3"/>
        <v>#DIV/0!</v>
      </c>
      <c r="AO811" s="28"/>
    </row>
    <row r="812" spans="1:41" ht="12.5" hidden="1">
      <c r="A812" s="28" t="s">
        <v>3142</v>
      </c>
      <c r="B812" s="39">
        <v>45722</v>
      </c>
      <c r="C812" s="29">
        <v>45743</v>
      </c>
      <c r="D812" s="38" t="s">
        <v>41</v>
      </c>
      <c r="E812" s="38" t="s">
        <v>3143</v>
      </c>
      <c r="G812" s="38" t="s">
        <v>43</v>
      </c>
      <c r="H812" s="38">
        <v>17.48</v>
      </c>
      <c r="I812" s="38" t="s">
        <v>44</v>
      </c>
      <c r="J812" s="38" t="s">
        <v>45</v>
      </c>
      <c r="K812" s="38" t="s">
        <v>3144</v>
      </c>
      <c r="L812" s="30" t="s">
        <v>47</v>
      </c>
      <c r="M812" s="38" t="s">
        <v>48</v>
      </c>
      <c r="N812" s="38" t="s">
        <v>48</v>
      </c>
      <c r="O812" s="31" t="s">
        <v>2617</v>
      </c>
      <c r="P812" s="28" t="s">
        <v>2618</v>
      </c>
      <c r="Q812" s="38" t="s">
        <v>2619</v>
      </c>
      <c r="R812" s="38">
        <v>1</v>
      </c>
      <c r="S812" s="38" t="s">
        <v>99</v>
      </c>
      <c r="T812" s="38" t="s">
        <v>53</v>
      </c>
      <c r="U812" s="38" t="s">
        <v>54</v>
      </c>
      <c r="V812" s="38" t="s">
        <v>55</v>
      </c>
      <c r="Y812" s="38">
        <v>102.12</v>
      </c>
      <c r="Z812" s="38">
        <v>1</v>
      </c>
      <c r="AF812" s="38">
        <v>102.12</v>
      </c>
      <c r="AI812" s="38">
        <v>1</v>
      </c>
      <c r="AJ812" s="38">
        <v>6</v>
      </c>
      <c r="AK812" s="14">
        <f t="shared" si="3"/>
        <v>0.16666666666666666</v>
      </c>
      <c r="AO812" s="28"/>
    </row>
    <row r="813" spans="1:41" ht="12.5" hidden="1">
      <c r="A813" s="28" t="s">
        <v>3145</v>
      </c>
      <c r="B813" s="39">
        <v>45720</v>
      </c>
      <c r="C813" s="29">
        <v>45746</v>
      </c>
      <c r="D813" s="38" t="s">
        <v>41</v>
      </c>
      <c r="E813" s="38" t="s">
        <v>3146</v>
      </c>
      <c r="G813" s="38" t="s">
        <v>43</v>
      </c>
      <c r="H813" s="38">
        <v>12.67</v>
      </c>
      <c r="I813" s="38" t="s">
        <v>44</v>
      </c>
      <c r="J813" s="38" t="s">
        <v>45</v>
      </c>
      <c r="K813" s="38" t="s">
        <v>3147</v>
      </c>
      <c r="L813" s="30" t="s">
        <v>47</v>
      </c>
      <c r="M813" s="38" t="s">
        <v>48</v>
      </c>
      <c r="N813" s="38" t="s">
        <v>48</v>
      </c>
      <c r="O813" s="31" t="s">
        <v>2290</v>
      </c>
      <c r="P813" s="28" t="s">
        <v>2291</v>
      </c>
      <c r="Q813" s="38" t="s">
        <v>2292</v>
      </c>
      <c r="R813" s="38">
        <v>1</v>
      </c>
      <c r="S813" s="38" t="s">
        <v>99</v>
      </c>
      <c r="T813" s="38" t="s">
        <v>53</v>
      </c>
      <c r="U813" s="38" t="s">
        <v>54</v>
      </c>
      <c r="V813" s="38" t="s">
        <v>61</v>
      </c>
      <c r="Y813" s="38">
        <v>122.06</v>
      </c>
      <c r="Z813" s="38">
        <v>1</v>
      </c>
      <c r="AI813" s="38">
        <v>2</v>
      </c>
      <c r="AJ813" s="38">
        <v>4</v>
      </c>
      <c r="AK813" s="14">
        <f t="shared" si="3"/>
        <v>0.5</v>
      </c>
      <c r="AO813" s="28"/>
    </row>
    <row r="814" spans="1:41" ht="12.5" hidden="1">
      <c r="A814" s="28" t="s">
        <v>3148</v>
      </c>
      <c r="B814" s="37">
        <v>45736</v>
      </c>
      <c r="C814" s="29">
        <v>45741</v>
      </c>
      <c r="D814" s="38" t="s">
        <v>41</v>
      </c>
      <c r="E814" s="38" t="s">
        <v>3149</v>
      </c>
      <c r="G814" s="38" t="s">
        <v>43</v>
      </c>
      <c r="H814" s="38">
        <v>12.67</v>
      </c>
      <c r="I814" s="38" t="s">
        <v>44</v>
      </c>
      <c r="J814" s="38" t="s">
        <v>45</v>
      </c>
      <c r="K814" s="38" t="s">
        <v>3150</v>
      </c>
      <c r="L814" s="30" t="s">
        <v>58</v>
      </c>
      <c r="M814" s="38" t="s">
        <v>48</v>
      </c>
      <c r="N814" s="38" t="s">
        <v>48</v>
      </c>
      <c r="O814" s="31" t="s">
        <v>2290</v>
      </c>
      <c r="P814" s="28" t="s">
        <v>2291</v>
      </c>
      <c r="Q814" s="38" t="s">
        <v>2292</v>
      </c>
      <c r="R814" s="38">
        <v>1</v>
      </c>
      <c r="S814" s="38" t="s">
        <v>75</v>
      </c>
      <c r="T814" s="38" t="s">
        <v>53</v>
      </c>
      <c r="U814" s="38" t="s">
        <v>54</v>
      </c>
      <c r="V814" s="38" t="s">
        <v>61</v>
      </c>
      <c r="Y814" s="38">
        <v>120.52</v>
      </c>
      <c r="Z814" s="38">
        <v>1</v>
      </c>
      <c r="AK814" s="14" t="e">
        <f t="shared" si="3"/>
        <v>#DIV/0!</v>
      </c>
      <c r="AO814" s="28"/>
    </row>
    <row r="815" spans="1:41" ht="12.5" hidden="1">
      <c r="A815" s="28" t="s">
        <v>3151</v>
      </c>
      <c r="B815" s="37">
        <v>45738</v>
      </c>
      <c r="C815" s="29">
        <v>45742</v>
      </c>
      <c r="D815" s="38" t="s">
        <v>41</v>
      </c>
      <c r="E815" s="38" t="s">
        <v>3152</v>
      </c>
      <c r="G815" s="38" t="s">
        <v>43</v>
      </c>
      <c r="H815" s="38">
        <v>11.77</v>
      </c>
      <c r="I815" s="38" t="s">
        <v>44</v>
      </c>
      <c r="J815" s="38" t="s">
        <v>45</v>
      </c>
      <c r="K815" s="38" t="s">
        <v>3153</v>
      </c>
      <c r="L815" s="30" t="s">
        <v>47</v>
      </c>
      <c r="M815" s="38" t="s">
        <v>48</v>
      </c>
      <c r="N815" s="38" t="s">
        <v>48</v>
      </c>
      <c r="O815" s="31" t="s">
        <v>566</v>
      </c>
      <c r="P815" s="28" t="s">
        <v>567</v>
      </c>
      <c r="Q815" s="38" t="s">
        <v>568</v>
      </c>
      <c r="R815" s="38">
        <v>1</v>
      </c>
      <c r="S815" s="38" t="s">
        <v>92</v>
      </c>
      <c r="T815" s="38" t="s">
        <v>53</v>
      </c>
      <c r="U815" s="38" t="s">
        <v>54</v>
      </c>
      <c r="V815" s="38" t="s">
        <v>61</v>
      </c>
      <c r="Y815" s="38">
        <v>131.53</v>
      </c>
      <c r="Z815" s="38">
        <v>1</v>
      </c>
      <c r="AI815" s="38">
        <v>4</v>
      </c>
      <c r="AJ815" s="38">
        <v>10</v>
      </c>
      <c r="AK815" s="14">
        <f t="shared" si="3"/>
        <v>0.4</v>
      </c>
      <c r="AO815" s="28"/>
    </row>
    <row r="816" spans="1:41" ht="12.5" hidden="1">
      <c r="A816" s="28" t="s">
        <v>3154</v>
      </c>
      <c r="B816" s="37">
        <v>45727</v>
      </c>
      <c r="C816" s="29">
        <v>45735</v>
      </c>
      <c r="D816" s="38" t="s">
        <v>41</v>
      </c>
      <c r="E816" s="38" t="s">
        <v>3155</v>
      </c>
      <c r="G816" s="38" t="s">
        <v>43</v>
      </c>
      <c r="H816" s="38">
        <v>11.77</v>
      </c>
      <c r="I816" s="38" t="s">
        <v>44</v>
      </c>
      <c r="J816" s="38" t="s">
        <v>45</v>
      </c>
      <c r="K816" s="38" t="s">
        <v>3156</v>
      </c>
      <c r="L816" s="30" t="s">
        <v>47</v>
      </c>
      <c r="M816" s="38" t="s">
        <v>48</v>
      </c>
      <c r="N816" s="38" t="s">
        <v>48</v>
      </c>
      <c r="O816" s="31" t="s">
        <v>566</v>
      </c>
      <c r="P816" s="28" t="s">
        <v>567</v>
      </c>
      <c r="Q816" s="38" t="s">
        <v>568</v>
      </c>
      <c r="R816" s="38">
        <v>1</v>
      </c>
      <c r="S816" s="38" t="s">
        <v>99</v>
      </c>
      <c r="T816" s="38" t="s">
        <v>53</v>
      </c>
      <c r="U816" s="38" t="s">
        <v>54</v>
      </c>
      <c r="V816" s="38" t="s">
        <v>240</v>
      </c>
      <c r="Y816" s="38">
        <v>130.44</v>
      </c>
      <c r="Z816" s="38">
        <v>1</v>
      </c>
      <c r="AF816" s="38">
        <v>130.44</v>
      </c>
      <c r="AK816" s="14" t="e">
        <f t="shared" si="3"/>
        <v>#DIV/0!</v>
      </c>
      <c r="AO816" s="28"/>
    </row>
    <row r="817" spans="1:41" ht="12.5" hidden="1">
      <c r="A817" s="28" t="s">
        <v>3157</v>
      </c>
      <c r="B817" s="37">
        <v>45729</v>
      </c>
      <c r="C817" s="29">
        <v>45733</v>
      </c>
      <c r="D817" s="38" t="s">
        <v>41</v>
      </c>
      <c r="E817" s="38" t="s">
        <v>3158</v>
      </c>
      <c r="G817" s="38" t="s">
        <v>43</v>
      </c>
      <c r="H817" s="38">
        <v>11.77</v>
      </c>
      <c r="I817" s="38" t="s">
        <v>44</v>
      </c>
      <c r="J817" s="38" t="s">
        <v>45</v>
      </c>
      <c r="K817" s="38" t="s">
        <v>3159</v>
      </c>
      <c r="L817" s="30" t="s">
        <v>58</v>
      </c>
      <c r="M817" s="38" t="s">
        <v>48</v>
      </c>
      <c r="N817" s="38" t="s">
        <v>48</v>
      </c>
      <c r="O817" s="31" t="s">
        <v>566</v>
      </c>
      <c r="P817" s="28" t="s">
        <v>567</v>
      </c>
      <c r="Q817" s="38" t="s">
        <v>568</v>
      </c>
      <c r="R817" s="38">
        <v>1</v>
      </c>
      <c r="S817" s="38" t="s">
        <v>75</v>
      </c>
      <c r="T817" s="38" t="s">
        <v>53</v>
      </c>
      <c r="U817" s="38" t="s">
        <v>54</v>
      </c>
      <c r="V817" s="38" t="s">
        <v>240</v>
      </c>
      <c r="Y817" s="38">
        <v>131.34</v>
      </c>
      <c r="Z817" s="38">
        <v>1</v>
      </c>
      <c r="AF817" s="38">
        <v>103.72</v>
      </c>
      <c r="AK817" s="14" t="e">
        <f t="shared" si="3"/>
        <v>#DIV/0!</v>
      </c>
      <c r="AO817" s="28"/>
    </row>
    <row r="818" spans="1:41" ht="12.5" hidden="1">
      <c r="A818" s="28" t="s">
        <v>3157</v>
      </c>
      <c r="B818" s="37">
        <v>45729</v>
      </c>
      <c r="C818" s="29">
        <v>45731</v>
      </c>
      <c r="D818" s="38" t="s">
        <v>41</v>
      </c>
      <c r="E818" s="38" t="s">
        <v>3160</v>
      </c>
      <c r="G818" s="38" t="s">
        <v>43</v>
      </c>
      <c r="H818" s="38">
        <v>11.77</v>
      </c>
      <c r="I818" s="38" t="s">
        <v>44</v>
      </c>
      <c r="J818" s="38" t="s">
        <v>45</v>
      </c>
      <c r="K818" s="38" t="s">
        <v>3161</v>
      </c>
      <c r="L818" s="30" t="s">
        <v>58</v>
      </c>
      <c r="M818" s="38" t="s">
        <v>48</v>
      </c>
      <c r="N818" s="38" t="s">
        <v>48</v>
      </c>
      <c r="O818" s="31" t="s">
        <v>566</v>
      </c>
      <c r="P818" s="28" t="s">
        <v>567</v>
      </c>
      <c r="Q818" s="38" t="s">
        <v>568</v>
      </c>
      <c r="R818" s="38">
        <v>1</v>
      </c>
      <c r="S818" s="38" t="s">
        <v>68</v>
      </c>
      <c r="T818" s="38" t="s">
        <v>53</v>
      </c>
      <c r="U818" s="38" t="s">
        <v>54</v>
      </c>
      <c r="V818" s="38" t="s">
        <v>61</v>
      </c>
      <c r="Y818" s="38">
        <v>131.34</v>
      </c>
      <c r="Z818" s="38">
        <v>1</v>
      </c>
      <c r="AK818" s="14" t="e">
        <f t="shared" si="3"/>
        <v>#DIV/0!</v>
      </c>
      <c r="AO818" s="28"/>
    </row>
    <row r="819" spans="1:41" ht="12.5" hidden="1">
      <c r="A819" s="28" t="s">
        <v>3162</v>
      </c>
      <c r="B819" s="37">
        <v>45737</v>
      </c>
      <c r="C819" s="29">
        <v>45744</v>
      </c>
      <c r="D819" s="38" t="s">
        <v>41</v>
      </c>
      <c r="E819" s="38" t="s">
        <v>3163</v>
      </c>
      <c r="G819" s="38" t="s">
        <v>43</v>
      </c>
      <c r="H819" s="38">
        <v>11.13</v>
      </c>
      <c r="I819" s="38" t="s">
        <v>44</v>
      </c>
      <c r="J819" s="38" t="s">
        <v>45</v>
      </c>
      <c r="K819" s="38" t="s">
        <v>3164</v>
      </c>
      <c r="L819" s="30" t="s">
        <v>58</v>
      </c>
      <c r="M819" s="38" t="s">
        <v>48</v>
      </c>
      <c r="N819" s="38" t="s">
        <v>48</v>
      </c>
      <c r="O819" s="31" t="s">
        <v>1366</v>
      </c>
      <c r="P819" s="28" t="s">
        <v>1367</v>
      </c>
      <c r="Q819" s="38" t="s">
        <v>1368</v>
      </c>
      <c r="R819" s="38">
        <v>1</v>
      </c>
      <c r="S819" s="38" t="s">
        <v>75</v>
      </c>
      <c r="T819" s="38" t="s">
        <v>53</v>
      </c>
      <c r="U819" s="38" t="s">
        <v>54</v>
      </c>
      <c r="V819" s="38" t="s">
        <v>55</v>
      </c>
      <c r="Y819" s="38">
        <v>104.89</v>
      </c>
      <c r="Z819" s="38">
        <v>1</v>
      </c>
      <c r="AF819" s="38">
        <v>93.76</v>
      </c>
      <c r="AI819" s="38">
        <v>2</v>
      </c>
      <c r="AJ819" s="38">
        <v>7</v>
      </c>
      <c r="AK819" s="14">
        <f t="shared" si="3"/>
        <v>0.2857142857142857</v>
      </c>
      <c r="AO819" s="28"/>
    </row>
    <row r="820" spans="1:41" ht="12.5" hidden="1">
      <c r="A820" s="28" t="s">
        <v>3165</v>
      </c>
      <c r="B820" s="37">
        <v>45734</v>
      </c>
      <c r="C820" s="29">
        <v>45736</v>
      </c>
      <c r="D820" s="38" t="s">
        <v>41</v>
      </c>
      <c r="E820" s="38" t="s">
        <v>3166</v>
      </c>
      <c r="G820" s="38" t="s">
        <v>43</v>
      </c>
      <c r="H820" s="38">
        <v>11.13</v>
      </c>
      <c r="I820" s="38" t="s">
        <v>44</v>
      </c>
      <c r="J820" s="38" t="s">
        <v>45</v>
      </c>
      <c r="K820" s="38" t="s">
        <v>3167</v>
      </c>
      <c r="L820" s="30" t="s">
        <v>58</v>
      </c>
      <c r="M820" s="38" t="s">
        <v>48</v>
      </c>
      <c r="N820" s="38" t="s">
        <v>48</v>
      </c>
      <c r="O820" s="31" t="s">
        <v>1366</v>
      </c>
      <c r="P820" s="28" t="s">
        <v>1367</v>
      </c>
      <c r="Q820" s="38" t="s">
        <v>1368</v>
      </c>
      <c r="R820" s="38">
        <v>1</v>
      </c>
      <c r="S820" s="38" t="s">
        <v>75</v>
      </c>
      <c r="T820" s="38" t="s">
        <v>53</v>
      </c>
      <c r="U820" s="38" t="s">
        <v>54</v>
      </c>
      <c r="V820" s="38" t="s">
        <v>61</v>
      </c>
      <c r="Y820" s="38">
        <v>101.82</v>
      </c>
      <c r="Z820" s="38">
        <v>1</v>
      </c>
      <c r="AK820" s="14" t="e">
        <f t="shared" si="3"/>
        <v>#DIV/0!</v>
      </c>
      <c r="AO820" s="28"/>
    </row>
    <row r="821" spans="1:41" ht="12.5" hidden="1">
      <c r="A821" s="28" t="s">
        <v>3168</v>
      </c>
      <c r="B821" s="39">
        <v>45725</v>
      </c>
      <c r="C821" s="29">
        <v>45729</v>
      </c>
      <c r="D821" s="38" t="s">
        <v>41</v>
      </c>
      <c r="E821" s="38" t="s">
        <v>3169</v>
      </c>
      <c r="G821" s="38" t="s">
        <v>43</v>
      </c>
      <c r="H821" s="38">
        <v>10.68</v>
      </c>
      <c r="I821" s="38" t="s">
        <v>44</v>
      </c>
      <c r="J821" s="38" t="s">
        <v>45</v>
      </c>
      <c r="K821" s="38" t="s">
        <v>3170</v>
      </c>
      <c r="L821" s="30" t="s">
        <v>58</v>
      </c>
      <c r="M821" s="38" t="s">
        <v>48</v>
      </c>
      <c r="N821" s="38" t="s">
        <v>48</v>
      </c>
      <c r="O821" s="31" t="s">
        <v>572</v>
      </c>
      <c r="P821" s="28" t="s">
        <v>573</v>
      </c>
      <c r="Q821" s="38" t="s">
        <v>574</v>
      </c>
      <c r="R821" s="38">
        <v>1</v>
      </c>
      <c r="S821" s="38" t="s">
        <v>2716</v>
      </c>
      <c r="T821" s="38" t="s">
        <v>53</v>
      </c>
      <c r="U821" s="38" t="s">
        <v>54</v>
      </c>
      <c r="V821" s="38" t="s">
        <v>55</v>
      </c>
      <c r="Y821" s="38">
        <v>97.72</v>
      </c>
      <c r="Z821" s="38">
        <v>1</v>
      </c>
      <c r="AF821" s="38">
        <v>87.04</v>
      </c>
      <c r="AI821" s="38">
        <v>1</v>
      </c>
      <c r="AJ821" s="38">
        <v>1</v>
      </c>
      <c r="AK821" s="14">
        <f t="shared" si="3"/>
        <v>1</v>
      </c>
      <c r="AO821" s="28"/>
    </row>
    <row r="822" spans="1:41" ht="12.5" hidden="1">
      <c r="A822" s="28" t="s">
        <v>3171</v>
      </c>
      <c r="B822" s="37">
        <v>45731</v>
      </c>
      <c r="C822" s="29">
        <v>45736</v>
      </c>
      <c r="D822" s="38" t="s">
        <v>41</v>
      </c>
      <c r="E822" s="38" t="s">
        <v>3172</v>
      </c>
      <c r="G822" s="38" t="s">
        <v>43</v>
      </c>
      <c r="H822" s="38">
        <v>10.68</v>
      </c>
      <c r="I822" s="38" t="s">
        <v>44</v>
      </c>
      <c r="J822" s="38" t="s">
        <v>45</v>
      </c>
      <c r="K822" s="38" t="s">
        <v>3173</v>
      </c>
      <c r="L822" s="30" t="s">
        <v>47</v>
      </c>
      <c r="M822" s="38" t="s">
        <v>48</v>
      </c>
      <c r="N822" s="38" t="s">
        <v>48</v>
      </c>
      <c r="O822" s="31" t="s">
        <v>581</v>
      </c>
      <c r="P822" s="28" t="s">
        <v>582</v>
      </c>
      <c r="Q822" s="38" t="s">
        <v>583</v>
      </c>
      <c r="R822" s="38">
        <v>1</v>
      </c>
      <c r="S822" s="38" t="s">
        <v>52</v>
      </c>
      <c r="T822" s="38" t="s">
        <v>53</v>
      </c>
      <c r="U822" s="38" t="s">
        <v>54</v>
      </c>
      <c r="V822" s="38" t="s">
        <v>55</v>
      </c>
      <c r="Y822" s="38">
        <v>93.86</v>
      </c>
      <c r="Z822" s="38">
        <v>1</v>
      </c>
      <c r="AF822" s="38">
        <v>93.86</v>
      </c>
      <c r="AI822" s="38">
        <v>2</v>
      </c>
      <c r="AJ822" s="38">
        <v>4</v>
      </c>
      <c r="AK822" s="14">
        <f t="shared" si="3"/>
        <v>0.5</v>
      </c>
      <c r="AO822" s="28"/>
    </row>
    <row r="823" spans="1:41" ht="12.5" hidden="1">
      <c r="A823" s="28" t="s">
        <v>3174</v>
      </c>
      <c r="B823" s="39">
        <v>45721</v>
      </c>
      <c r="C823" s="29">
        <v>45733</v>
      </c>
      <c r="D823" s="38" t="s">
        <v>41</v>
      </c>
      <c r="E823" s="38" t="s">
        <v>3175</v>
      </c>
      <c r="G823" s="38" t="s">
        <v>43</v>
      </c>
      <c r="H823" s="38">
        <v>10.68</v>
      </c>
      <c r="I823" s="38" t="s">
        <v>44</v>
      </c>
      <c r="J823" s="38" t="s">
        <v>45</v>
      </c>
      <c r="K823" s="38" t="s">
        <v>3176</v>
      </c>
      <c r="L823" s="30" t="s">
        <v>47</v>
      </c>
      <c r="M823" s="38" t="s">
        <v>48</v>
      </c>
      <c r="N823" s="38" t="s">
        <v>48</v>
      </c>
      <c r="O823" s="31" t="s">
        <v>581</v>
      </c>
      <c r="P823" s="28" t="s">
        <v>582</v>
      </c>
      <c r="Q823" s="38" t="s">
        <v>583</v>
      </c>
      <c r="R823" s="38">
        <v>1</v>
      </c>
      <c r="S823" s="38" t="s">
        <v>99</v>
      </c>
      <c r="T823" s="38" t="s">
        <v>53</v>
      </c>
      <c r="U823" s="38" t="s">
        <v>54</v>
      </c>
      <c r="V823" s="38" t="s">
        <v>55</v>
      </c>
      <c r="Y823" s="38">
        <v>93.64</v>
      </c>
      <c r="Z823" s="38">
        <v>1</v>
      </c>
      <c r="AF823" s="38">
        <v>93.64</v>
      </c>
      <c r="AK823" s="14" t="e">
        <f t="shared" si="3"/>
        <v>#DIV/0!</v>
      </c>
      <c r="AO823" s="28"/>
    </row>
    <row r="824" spans="1:41" ht="12.5" hidden="1">
      <c r="A824" s="28" t="s">
        <v>3177</v>
      </c>
      <c r="B824" s="39">
        <v>45717</v>
      </c>
      <c r="C824" s="29">
        <v>45725</v>
      </c>
      <c r="D824" s="38" t="s">
        <v>41</v>
      </c>
      <c r="E824" s="38" t="s">
        <v>3178</v>
      </c>
      <c r="G824" s="38" t="s">
        <v>43</v>
      </c>
      <c r="H824" s="38">
        <v>16.84</v>
      </c>
      <c r="I824" s="38" t="s">
        <v>44</v>
      </c>
      <c r="J824" s="38" t="s">
        <v>45</v>
      </c>
      <c r="K824" s="38" t="s">
        <v>3179</v>
      </c>
      <c r="L824" s="30" t="s">
        <v>47</v>
      </c>
      <c r="M824" s="38" t="s">
        <v>48</v>
      </c>
      <c r="N824" s="38" t="s">
        <v>48</v>
      </c>
      <c r="O824" s="31" t="s">
        <v>587</v>
      </c>
      <c r="P824" s="28" t="s">
        <v>588</v>
      </c>
      <c r="Q824" s="38" t="s">
        <v>3180</v>
      </c>
      <c r="R824" s="38">
        <v>1</v>
      </c>
      <c r="S824" s="38" t="s">
        <v>99</v>
      </c>
      <c r="T824" s="38" t="s">
        <v>53</v>
      </c>
      <c r="U824" s="38" t="s">
        <v>54</v>
      </c>
      <c r="V824" s="38" t="s">
        <v>55</v>
      </c>
      <c r="Y824" s="38">
        <v>121.9</v>
      </c>
      <c r="Z824" s="38">
        <v>1</v>
      </c>
      <c r="AF824" s="38">
        <v>121.9</v>
      </c>
      <c r="AI824" s="38">
        <v>1</v>
      </c>
      <c r="AJ824" s="38">
        <v>7</v>
      </c>
      <c r="AK824" s="14">
        <f t="shared" si="3"/>
        <v>0.14285714285714285</v>
      </c>
      <c r="AO824" s="28"/>
    </row>
    <row r="825" spans="1:41" ht="12.5" hidden="1">
      <c r="A825" s="28" t="s">
        <v>3181</v>
      </c>
      <c r="B825" s="39">
        <v>45719</v>
      </c>
      <c r="C825" s="29">
        <v>45722</v>
      </c>
      <c r="D825" s="38" t="s">
        <v>41</v>
      </c>
      <c r="E825" s="38" t="s">
        <v>3182</v>
      </c>
      <c r="G825" s="38" t="s">
        <v>43</v>
      </c>
      <c r="H825" s="38">
        <v>16.48</v>
      </c>
      <c r="I825" s="38" t="s">
        <v>44</v>
      </c>
      <c r="J825" s="38" t="s">
        <v>45</v>
      </c>
      <c r="K825" s="38" t="s">
        <v>3183</v>
      </c>
      <c r="L825" s="30" t="s">
        <v>47</v>
      </c>
      <c r="M825" s="38" t="s">
        <v>48</v>
      </c>
      <c r="N825" s="38" t="s">
        <v>48</v>
      </c>
      <c r="O825" s="31" t="s">
        <v>1378</v>
      </c>
      <c r="P825" s="28" t="s">
        <v>1379</v>
      </c>
      <c r="Q825" s="38" t="s">
        <v>1380</v>
      </c>
      <c r="R825" s="38">
        <v>1</v>
      </c>
      <c r="S825" s="38" t="s">
        <v>99</v>
      </c>
      <c r="T825" s="38" t="s">
        <v>53</v>
      </c>
      <c r="U825" s="38" t="s">
        <v>54</v>
      </c>
      <c r="V825" s="38" t="s">
        <v>55</v>
      </c>
      <c r="Y825" s="38">
        <v>124.9</v>
      </c>
      <c r="Z825" s="38">
        <v>1</v>
      </c>
      <c r="AF825" s="38">
        <v>124.9</v>
      </c>
      <c r="AI825" s="38">
        <v>1</v>
      </c>
      <c r="AJ825" s="38">
        <v>3</v>
      </c>
      <c r="AK825" s="14">
        <f t="shared" si="3"/>
        <v>0.33333333333333331</v>
      </c>
      <c r="AO825" s="28"/>
    </row>
    <row r="826" spans="1:41" ht="12.5" hidden="1">
      <c r="A826" s="28" t="s">
        <v>3184</v>
      </c>
      <c r="B826" s="37">
        <v>45732</v>
      </c>
      <c r="C826" s="29">
        <v>45734</v>
      </c>
      <c r="D826" s="38" t="s">
        <v>41</v>
      </c>
      <c r="E826" s="38" t="s">
        <v>3185</v>
      </c>
      <c r="G826" s="38" t="s">
        <v>43</v>
      </c>
      <c r="H826" s="38">
        <v>11.52</v>
      </c>
      <c r="I826" s="38" t="s">
        <v>44</v>
      </c>
      <c r="J826" s="38" t="s">
        <v>45</v>
      </c>
      <c r="K826" s="38" t="s">
        <v>3186</v>
      </c>
      <c r="L826" s="30" t="s">
        <v>47</v>
      </c>
      <c r="M826" s="38" t="s">
        <v>48</v>
      </c>
      <c r="N826" s="38" t="s">
        <v>48</v>
      </c>
      <c r="O826" s="31" t="s">
        <v>1384</v>
      </c>
      <c r="P826" s="28" t="s">
        <v>1385</v>
      </c>
      <c r="Q826" s="38" t="s">
        <v>1386</v>
      </c>
      <c r="R826" s="38">
        <v>1</v>
      </c>
      <c r="S826" s="38" t="s">
        <v>99</v>
      </c>
      <c r="T826" s="38" t="s">
        <v>53</v>
      </c>
      <c r="U826" s="38" t="s">
        <v>54</v>
      </c>
      <c r="V826" s="38" t="s">
        <v>61</v>
      </c>
      <c r="Y826" s="38">
        <v>97.27</v>
      </c>
      <c r="Z826" s="38">
        <v>1</v>
      </c>
      <c r="AI826" s="38">
        <v>1</v>
      </c>
      <c r="AJ826" s="38">
        <v>5</v>
      </c>
      <c r="AK826" s="14">
        <f t="shared" si="3"/>
        <v>0.2</v>
      </c>
      <c r="AO826" s="28"/>
    </row>
    <row r="827" spans="1:41" ht="12.5" hidden="1">
      <c r="A827" s="28" t="s">
        <v>3187</v>
      </c>
      <c r="B827" s="39">
        <v>45722</v>
      </c>
      <c r="C827" s="29">
        <v>45724</v>
      </c>
      <c r="D827" s="38" t="s">
        <v>41</v>
      </c>
      <c r="E827" s="38" t="s">
        <v>3188</v>
      </c>
      <c r="G827" s="38" t="s">
        <v>43</v>
      </c>
      <c r="H827" s="38">
        <v>14.47</v>
      </c>
      <c r="I827" s="38" t="s">
        <v>44</v>
      </c>
      <c r="J827" s="38" t="s">
        <v>45</v>
      </c>
      <c r="K827" s="38" t="s">
        <v>3189</v>
      </c>
      <c r="L827" s="30" t="s">
        <v>58</v>
      </c>
      <c r="M827" s="38" t="s">
        <v>48</v>
      </c>
      <c r="N827" s="38" t="s">
        <v>48</v>
      </c>
      <c r="O827" s="31" t="s">
        <v>2296</v>
      </c>
      <c r="P827" s="28" t="s">
        <v>2297</v>
      </c>
      <c r="Q827" s="38" t="s">
        <v>2298</v>
      </c>
      <c r="R827" s="38">
        <v>1</v>
      </c>
      <c r="S827" s="38" t="s">
        <v>68</v>
      </c>
      <c r="T827" s="38" t="s">
        <v>53</v>
      </c>
      <c r="U827" s="38" t="s">
        <v>54</v>
      </c>
      <c r="V827" s="38" t="s">
        <v>61</v>
      </c>
      <c r="Y827" s="38">
        <v>112.25</v>
      </c>
      <c r="Z827" s="38">
        <v>1</v>
      </c>
      <c r="AI827" s="38">
        <v>1</v>
      </c>
      <c r="AJ827" s="38">
        <v>2</v>
      </c>
      <c r="AK827" s="14">
        <f t="shared" si="3"/>
        <v>0.5</v>
      </c>
      <c r="AO827" s="28"/>
    </row>
    <row r="828" spans="1:41" ht="12.5" hidden="1">
      <c r="A828" s="28" t="s">
        <v>3190</v>
      </c>
      <c r="B828" s="37">
        <v>45734</v>
      </c>
      <c r="C828" s="29">
        <v>45738</v>
      </c>
      <c r="D828" s="38" t="s">
        <v>41</v>
      </c>
      <c r="E828" s="38" t="s">
        <v>3191</v>
      </c>
      <c r="G828" s="38" t="s">
        <v>43</v>
      </c>
      <c r="H828" s="38">
        <v>10.68</v>
      </c>
      <c r="I828" s="38" t="s">
        <v>44</v>
      </c>
      <c r="J828" s="38" t="s">
        <v>45</v>
      </c>
      <c r="K828" s="38" t="s">
        <v>3192</v>
      </c>
      <c r="L828" s="30" t="s">
        <v>47</v>
      </c>
      <c r="M828" s="38" t="s">
        <v>48</v>
      </c>
      <c r="N828" s="38" t="s">
        <v>48</v>
      </c>
      <c r="O828" s="31" t="s">
        <v>3193</v>
      </c>
      <c r="P828" s="28" t="s">
        <v>3194</v>
      </c>
      <c r="Q828" s="38" t="s">
        <v>3195</v>
      </c>
      <c r="R828" s="38">
        <v>1</v>
      </c>
      <c r="S828" s="38" t="s">
        <v>99</v>
      </c>
      <c r="T828" s="38" t="s">
        <v>53</v>
      </c>
      <c r="U828" s="38" t="s">
        <v>54</v>
      </c>
      <c r="V828" s="38" t="s">
        <v>560</v>
      </c>
      <c r="Y828" s="38">
        <v>89.27</v>
      </c>
      <c r="Z828" s="38">
        <v>1</v>
      </c>
      <c r="AI828" s="38">
        <v>1</v>
      </c>
      <c r="AJ828" s="38">
        <v>9</v>
      </c>
      <c r="AK828" s="14">
        <f t="shared" si="3"/>
        <v>0.1111111111111111</v>
      </c>
      <c r="AM828" s="45" t="s">
        <v>953</v>
      </c>
      <c r="AO828" s="28"/>
    </row>
    <row r="829" spans="1:41" ht="12.5" hidden="1">
      <c r="A829" s="28" t="s">
        <v>3196</v>
      </c>
      <c r="B829" s="37">
        <v>45739</v>
      </c>
      <c r="C829" s="29">
        <v>45743</v>
      </c>
      <c r="D829" s="38" t="s">
        <v>41</v>
      </c>
      <c r="E829" s="38" t="s">
        <v>3197</v>
      </c>
      <c r="G829" s="38" t="s">
        <v>43</v>
      </c>
      <c r="H829" s="38">
        <v>14.47</v>
      </c>
      <c r="I829" s="38" t="s">
        <v>44</v>
      </c>
      <c r="J829" s="38" t="s">
        <v>45</v>
      </c>
      <c r="K829" s="38" t="s">
        <v>3198</v>
      </c>
      <c r="L829" s="30" t="s">
        <v>47</v>
      </c>
      <c r="M829" s="38" t="s">
        <v>48</v>
      </c>
      <c r="N829" s="38" t="s">
        <v>48</v>
      </c>
      <c r="O829" s="31" t="s">
        <v>593</v>
      </c>
      <c r="P829" s="28" t="s">
        <v>594</v>
      </c>
      <c r="Q829" s="38" t="s">
        <v>1952</v>
      </c>
      <c r="R829" s="38">
        <v>1</v>
      </c>
      <c r="S829" s="38" t="s">
        <v>421</v>
      </c>
      <c r="T829" s="38" t="s">
        <v>53</v>
      </c>
      <c r="U829" s="38" t="s">
        <v>54</v>
      </c>
      <c r="V829" s="38" t="s">
        <v>560</v>
      </c>
      <c r="Y829" s="38">
        <v>104.17</v>
      </c>
      <c r="Z829" s="38">
        <v>1</v>
      </c>
      <c r="AI829" s="38">
        <v>1</v>
      </c>
      <c r="AJ829" s="38">
        <v>5</v>
      </c>
      <c r="AK829" s="14">
        <f t="shared" si="3"/>
        <v>0.2</v>
      </c>
      <c r="AM829" s="45" t="s">
        <v>953</v>
      </c>
      <c r="AO829" s="28"/>
    </row>
    <row r="830" spans="1:41" ht="12.5" hidden="1">
      <c r="A830" s="28" t="s">
        <v>3199</v>
      </c>
      <c r="B830" s="37">
        <v>45727</v>
      </c>
      <c r="C830" s="29">
        <v>45735</v>
      </c>
      <c r="D830" s="38" t="s">
        <v>41</v>
      </c>
      <c r="E830" s="38" t="s">
        <v>3200</v>
      </c>
      <c r="G830" s="38" t="s">
        <v>43</v>
      </c>
      <c r="H830" s="38">
        <v>9.64</v>
      </c>
      <c r="I830" s="38" t="s">
        <v>44</v>
      </c>
      <c r="J830" s="38" t="s">
        <v>45</v>
      </c>
      <c r="K830" s="38" t="s">
        <v>3201</v>
      </c>
      <c r="L830" s="30" t="s">
        <v>47</v>
      </c>
      <c r="M830" s="38" t="s">
        <v>48</v>
      </c>
      <c r="N830" s="38" t="s">
        <v>48</v>
      </c>
      <c r="O830" s="31" t="s">
        <v>2635</v>
      </c>
      <c r="P830" s="28" t="s">
        <v>2636</v>
      </c>
      <c r="Q830" s="38" t="s">
        <v>2637</v>
      </c>
      <c r="R830" s="38">
        <v>1</v>
      </c>
      <c r="S830" s="38" t="s">
        <v>99</v>
      </c>
      <c r="T830" s="38" t="s">
        <v>53</v>
      </c>
      <c r="U830" s="38" t="s">
        <v>54</v>
      </c>
      <c r="V830" s="38" t="s">
        <v>61</v>
      </c>
      <c r="Y830" s="38">
        <v>150.4</v>
      </c>
      <c r="Z830" s="38">
        <v>1</v>
      </c>
      <c r="AI830" s="38">
        <v>1</v>
      </c>
      <c r="AJ830" s="38">
        <v>1</v>
      </c>
      <c r="AK830" s="14">
        <f t="shared" si="3"/>
        <v>1</v>
      </c>
      <c r="AO830" s="28"/>
    </row>
    <row r="831" spans="1:41" ht="12.5" hidden="1">
      <c r="A831" s="28" t="s">
        <v>3202</v>
      </c>
      <c r="B831" s="37">
        <v>45728</v>
      </c>
      <c r="C831" s="29">
        <v>45731</v>
      </c>
      <c r="D831" s="38" t="s">
        <v>41</v>
      </c>
      <c r="E831" s="38" t="s">
        <v>3203</v>
      </c>
      <c r="G831" s="38" t="s">
        <v>43</v>
      </c>
      <c r="H831" s="38">
        <v>7.71</v>
      </c>
      <c r="I831" s="38" t="s">
        <v>44</v>
      </c>
      <c r="J831" s="38" t="s">
        <v>45</v>
      </c>
      <c r="K831" s="38" t="s">
        <v>3204</v>
      </c>
      <c r="L831" s="30" t="s">
        <v>47</v>
      </c>
      <c r="M831" s="38" t="s">
        <v>48</v>
      </c>
      <c r="N831" s="38" t="s">
        <v>48</v>
      </c>
      <c r="O831" s="31" t="s">
        <v>3205</v>
      </c>
      <c r="P831" s="28" t="s">
        <v>3206</v>
      </c>
      <c r="Q831" s="38" t="s">
        <v>3207</v>
      </c>
      <c r="R831" s="38">
        <v>1</v>
      </c>
      <c r="S831" s="38" t="s">
        <v>82</v>
      </c>
      <c r="T831" s="38" t="s">
        <v>53</v>
      </c>
      <c r="U831" s="38" t="s">
        <v>54</v>
      </c>
      <c r="V831" s="38" t="s">
        <v>560</v>
      </c>
      <c r="Y831" s="38">
        <v>147.13</v>
      </c>
      <c r="Z831" s="38">
        <v>1</v>
      </c>
      <c r="AI831" s="38">
        <v>1</v>
      </c>
      <c r="AJ831" s="38">
        <v>2</v>
      </c>
      <c r="AK831" s="14">
        <f t="shared" si="3"/>
        <v>0.5</v>
      </c>
      <c r="AM831" s="45" t="s">
        <v>953</v>
      </c>
      <c r="AO831" s="28"/>
    </row>
    <row r="832" spans="1:41" ht="12.5" hidden="1">
      <c r="A832" s="28" t="s">
        <v>3208</v>
      </c>
      <c r="B832" s="37">
        <v>45732</v>
      </c>
      <c r="C832" s="29">
        <v>45735</v>
      </c>
      <c r="D832" s="38" t="s">
        <v>41</v>
      </c>
      <c r="E832" s="38" t="s">
        <v>3209</v>
      </c>
      <c r="G832" s="38" t="s">
        <v>43</v>
      </c>
      <c r="H832" s="38">
        <v>7.71</v>
      </c>
      <c r="I832" s="38" t="s">
        <v>44</v>
      </c>
      <c r="J832" s="38" t="s">
        <v>45</v>
      </c>
      <c r="K832" s="38" t="s">
        <v>3210</v>
      </c>
      <c r="L832" s="30" t="s">
        <v>47</v>
      </c>
      <c r="M832" s="38" t="s">
        <v>48</v>
      </c>
      <c r="N832" s="38" t="s">
        <v>48</v>
      </c>
      <c r="O832" s="31" t="s">
        <v>1959</v>
      </c>
      <c r="P832" s="28" t="s">
        <v>1960</v>
      </c>
      <c r="Q832" s="38" t="s">
        <v>1961</v>
      </c>
      <c r="R832" s="38">
        <v>1</v>
      </c>
      <c r="S832" s="38" t="s">
        <v>82</v>
      </c>
      <c r="T832" s="38" t="s">
        <v>53</v>
      </c>
      <c r="U832" s="38" t="s">
        <v>54</v>
      </c>
      <c r="V832" s="38" t="s">
        <v>560</v>
      </c>
      <c r="Y832" s="38">
        <v>136.77000000000001</v>
      </c>
      <c r="Z832" s="38">
        <v>1</v>
      </c>
      <c r="AI832" s="38">
        <v>1</v>
      </c>
      <c r="AJ832" s="38">
        <v>3</v>
      </c>
      <c r="AK832" s="14">
        <f t="shared" si="3"/>
        <v>0.33333333333333331</v>
      </c>
      <c r="AM832" s="45" t="s">
        <v>953</v>
      </c>
      <c r="AO832" s="28"/>
    </row>
    <row r="833" spans="1:60" ht="12.5" hidden="1">
      <c r="A833" s="28" t="s">
        <v>3211</v>
      </c>
      <c r="B833" s="37">
        <v>45730</v>
      </c>
      <c r="C833" s="29">
        <v>45736</v>
      </c>
      <c r="D833" s="38" t="s">
        <v>41</v>
      </c>
      <c r="E833" s="38" t="s">
        <v>3212</v>
      </c>
      <c r="G833" s="38" t="s">
        <v>43</v>
      </c>
      <c r="H833" s="38">
        <v>12.67</v>
      </c>
      <c r="I833" s="38" t="s">
        <v>44</v>
      </c>
      <c r="J833" s="38" t="s">
        <v>45</v>
      </c>
      <c r="K833" s="38" t="s">
        <v>3213</v>
      </c>
      <c r="L833" s="30" t="s">
        <v>47</v>
      </c>
      <c r="M833" s="38" t="s">
        <v>48</v>
      </c>
      <c r="N833" s="38" t="s">
        <v>48</v>
      </c>
      <c r="O833" s="31" t="s">
        <v>1437</v>
      </c>
      <c r="P833" s="28" t="s">
        <v>1438</v>
      </c>
      <c r="Q833" s="38" t="s">
        <v>1439</v>
      </c>
      <c r="R833" s="38">
        <v>1</v>
      </c>
      <c r="S833" s="38" t="s">
        <v>92</v>
      </c>
      <c r="T833" s="38" t="s">
        <v>53</v>
      </c>
      <c r="U833" s="38" t="s">
        <v>54</v>
      </c>
      <c r="V833" s="38" t="s">
        <v>61</v>
      </c>
      <c r="Y833" s="38">
        <v>80.709999999999994</v>
      </c>
      <c r="Z833" s="38">
        <v>1</v>
      </c>
      <c r="AI833" s="38">
        <v>1</v>
      </c>
      <c r="AJ833" s="38">
        <v>1</v>
      </c>
      <c r="AK833" s="14">
        <f t="shared" si="3"/>
        <v>1</v>
      </c>
      <c r="AO833" s="28"/>
    </row>
    <row r="834" spans="1:60" ht="12.5" hidden="1">
      <c r="A834" s="28" t="s">
        <v>3214</v>
      </c>
      <c r="B834" s="39">
        <v>45720</v>
      </c>
      <c r="C834" s="29">
        <v>45726</v>
      </c>
      <c r="D834" s="38" t="s">
        <v>41</v>
      </c>
      <c r="E834" s="38" t="s">
        <v>3215</v>
      </c>
      <c r="G834" s="38" t="s">
        <v>43</v>
      </c>
      <c r="H834" s="38">
        <v>12.22</v>
      </c>
      <c r="I834" s="38" t="s">
        <v>44</v>
      </c>
      <c r="J834" s="38" t="s">
        <v>45</v>
      </c>
      <c r="K834" s="38" t="s">
        <v>3216</v>
      </c>
      <c r="L834" s="30" t="s">
        <v>47</v>
      </c>
      <c r="M834" s="38" t="s">
        <v>48</v>
      </c>
      <c r="N834" s="38" t="s">
        <v>48</v>
      </c>
      <c r="O834" s="31" t="s">
        <v>3217</v>
      </c>
      <c r="P834" s="28" t="s">
        <v>3218</v>
      </c>
      <c r="Q834" s="38" t="s">
        <v>3219</v>
      </c>
      <c r="R834" s="38">
        <v>1</v>
      </c>
      <c r="S834" s="38" t="s">
        <v>52</v>
      </c>
      <c r="T834" s="38" t="s">
        <v>53</v>
      </c>
      <c r="U834" s="38" t="s">
        <v>54</v>
      </c>
      <c r="V834" s="38" t="s">
        <v>55</v>
      </c>
      <c r="Y834" s="38">
        <v>60.53</v>
      </c>
      <c r="Z834" s="38">
        <v>1</v>
      </c>
      <c r="AF834" s="38">
        <v>60.53</v>
      </c>
      <c r="AI834" s="38">
        <v>1</v>
      </c>
      <c r="AJ834" s="38">
        <v>1</v>
      </c>
      <c r="AK834" s="14">
        <f t="shared" si="3"/>
        <v>1</v>
      </c>
      <c r="AO834" s="28"/>
    </row>
    <row r="835" spans="1:60" ht="12.5" hidden="1">
      <c r="A835" s="28" t="s">
        <v>3220</v>
      </c>
      <c r="B835" s="37">
        <v>45711</v>
      </c>
      <c r="C835" s="29">
        <v>45736</v>
      </c>
      <c r="D835" s="38" t="s">
        <v>41</v>
      </c>
      <c r="E835" s="38" t="s">
        <v>3221</v>
      </c>
      <c r="G835" s="38" t="s">
        <v>43</v>
      </c>
      <c r="H835" s="38">
        <v>14.47</v>
      </c>
      <c r="I835" s="38" t="s">
        <v>44</v>
      </c>
      <c r="J835" s="38" t="s">
        <v>45</v>
      </c>
      <c r="K835" s="38" t="s">
        <v>3222</v>
      </c>
      <c r="L835" s="30" t="s">
        <v>47</v>
      </c>
      <c r="M835" s="38" t="s">
        <v>48</v>
      </c>
      <c r="N835" s="38" t="s">
        <v>48</v>
      </c>
      <c r="O835" s="31" t="s">
        <v>668</v>
      </c>
      <c r="P835" s="28" t="s">
        <v>669</v>
      </c>
      <c r="Q835" s="38" t="s">
        <v>2664</v>
      </c>
      <c r="R835" s="38">
        <v>1</v>
      </c>
      <c r="S835" s="38" t="s">
        <v>421</v>
      </c>
      <c r="T835" s="38" t="s">
        <v>53</v>
      </c>
      <c r="U835" s="38" t="s">
        <v>54</v>
      </c>
      <c r="V835" s="38" t="s">
        <v>240</v>
      </c>
      <c r="Y835" s="38">
        <v>94.51</v>
      </c>
      <c r="Z835" s="38">
        <v>1</v>
      </c>
      <c r="AF835" s="38">
        <v>94.51</v>
      </c>
      <c r="AI835" s="38">
        <v>1</v>
      </c>
      <c r="AJ835" s="38">
        <v>19</v>
      </c>
      <c r="AK835" s="14">
        <f t="shared" si="3"/>
        <v>5.2631578947368418E-2</v>
      </c>
      <c r="AO835" s="28"/>
    </row>
    <row r="836" spans="1:60" ht="12.5" hidden="1">
      <c r="A836" s="28" t="s">
        <v>3223</v>
      </c>
      <c r="B836" s="39">
        <v>45722</v>
      </c>
      <c r="C836" s="29">
        <v>45727</v>
      </c>
      <c r="D836" s="38" t="s">
        <v>41</v>
      </c>
      <c r="E836" s="38" t="s">
        <v>3224</v>
      </c>
      <c r="G836" s="38" t="s">
        <v>43</v>
      </c>
      <c r="H836" s="38">
        <v>10.4</v>
      </c>
      <c r="I836" s="38" t="s">
        <v>44</v>
      </c>
      <c r="J836" s="38" t="s">
        <v>45</v>
      </c>
      <c r="K836" s="38" t="s">
        <v>3225</v>
      </c>
      <c r="L836" s="30" t="s">
        <v>58</v>
      </c>
      <c r="M836" s="38" t="s">
        <v>48</v>
      </c>
      <c r="N836" s="38" t="s">
        <v>48</v>
      </c>
      <c r="O836" s="31" t="s">
        <v>1659</v>
      </c>
      <c r="P836" s="28" t="s">
        <v>1660</v>
      </c>
      <c r="Q836" s="38" t="s">
        <v>1661</v>
      </c>
      <c r="R836" s="38">
        <v>1</v>
      </c>
      <c r="S836" s="38" t="s">
        <v>68</v>
      </c>
      <c r="T836" s="38" t="s">
        <v>53</v>
      </c>
      <c r="U836" s="38" t="s">
        <v>54</v>
      </c>
      <c r="V836" s="38" t="s">
        <v>55</v>
      </c>
      <c r="Y836" s="38">
        <v>68.02</v>
      </c>
      <c r="Z836" s="38">
        <v>1</v>
      </c>
      <c r="AF836" s="38">
        <v>57.62</v>
      </c>
      <c r="AI836" s="38">
        <v>2</v>
      </c>
      <c r="AJ836" s="38">
        <v>36</v>
      </c>
      <c r="AK836" s="14">
        <f t="shared" si="3"/>
        <v>5.5555555555555552E-2</v>
      </c>
      <c r="AO836" s="28"/>
    </row>
    <row r="837" spans="1:60" ht="12.5" hidden="1">
      <c r="A837" s="28" t="s">
        <v>3226</v>
      </c>
      <c r="B837" s="37">
        <v>45709</v>
      </c>
      <c r="C837" s="29">
        <v>45719</v>
      </c>
      <c r="D837" s="38" t="s">
        <v>41</v>
      </c>
      <c r="E837" s="38" t="s">
        <v>3227</v>
      </c>
      <c r="G837" s="38" t="s">
        <v>43</v>
      </c>
      <c r="H837" s="38">
        <v>10.38</v>
      </c>
      <c r="I837" s="38" t="s">
        <v>44</v>
      </c>
      <c r="J837" s="38" t="s">
        <v>45</v>
      </c>
      <c r="K837" s="38" t="s">
        <v>3228</v>
      </c>
      <c r="L837" s="30" t="s">
        <v>47</v>
      </c>
      <c r="M837" s="38" t="s">
        <v>48</v>
      </c>
      <c r="N837" s="38" t="s">
        <v>48</v>
      </c>
      <c r="O837" s="31" t="s">
        <v>1659</v>
      </c>
      <c r="P837" s="28" t="s">
        <v>1660</v>
      </c>
      <c r="Q837" s="38" t="s">
        <v>1661</v>
      </c>
      <c r="R837" s="38">
        <v>1</v>
      </c>
      <c r="S837" s="38" t="s">
        <v>52</v>
      </c>
      <c r="T837" s="38" t="s">
        <v>53</v>
      </c>
      <c r="U837" s="38" t="s">
        <v>54</v>
      </c>
      <c r="V837" s="38" t="s">
        <v>55</v>
      </c>
      <c r="Y837" s="38">
        <v>70.25</v>
      </c>
      <c r="Z837" s="38">
        <v>1</v>
      </c>
      <c r="AF837" s="38">
        <v>70.25</v>
      </c>
      <c r="AK837" s="14" t="e">
        <f t="shared" si="3"/>
        <v>#DIV/0!</v>
      </c>
      <c r="AO837" s="28"/>
    </row>
    <row r="838" spans="1:60" ht="12.5" hidden="1">
      <c r="A838" s="28" t="s">
        <v>3229</v>
      </c>
      <c r="B838" s="37">
        <v>45711</v>
      </c>
      <c r="C838" s="29">
        <v>45718</v>
      </c>
      <c r="D838" s="38" t="s">
        <v>41</v>
      </c>
      <c r="E838" s="38" t="s">
        <v>3230</v>
      </c>
      <c r="G838" s="38" t="s">
        <v>43</v>
      </c>
      <c r="H838" s="38">
        <v>5.64</v>
      </c>
      <c r="I838" s="38" t="s">
        <v>44</v>
      </c>
      <c r="J838" s="38" t="s">
        <v>45</v>
      </c>
      <c r="K838" s="38" t="s">
        <v>3231</v>
      </c>
      <c r="L838" s="30" t="s">
        <v>58</v>
      </c>
      <c r="M838" s="38" t="s">
        <v>48</v>
      </c>
      <c r="N838" s="38" t="s">
        <v>48</v>
      </c>
      <c r="O838" s="31" t="s">
        <v>3232</v>
      </c>
      <c r="P838" s="28" t="s">
        <v>3233</v>
      </c>
      <c r="Q838" s="38" t="s">
        <v>3234</v>
      </c>
      <c r="R838" s="38">
        <v>1</v>
      </c>
      <c r="S838" s="38" t="s">
        <v>75</v>
      </c>
      <c r="T838" s="38" t="s">
        <v>53</v>
      </c>
      <c r="U838" s="38" t="s">
        <v>54</v>
      </c>
      <c r="V838" s="38" t="s">
        <v>55</v>
      </c>
      <c r="Y838" s="38">
        <v>88.88</v>
      </c>
      <c r="Z838" s="38">
        <v>1</v>
      </c>
      <c r="AF838" s="38">
        <v>83.24</v>
      </c>
      <c r="AI838" s="38">
        <v>1</v>
      </c>
      <c r="AK838" s="14" t="e">
        <f t="shared" si="3"/>
        <v>#DIV/0!</v>
      </c>
      <c r="AO838" s="28"/>
    </row>
    <row r="839" spans="1:60" ht="12.5" hidden="1">
      <c r="A839" s="28" t="s">
        <v>3235</v>
      </c>
      <c r="B839" s="39">
        <v>45725</v>
      </c>
      <c r="C839" s="29">
        <v>45732</v>
      </c>
      <c r="D839" s="38" t="s">
        <v>41</v>
      </c>
      <c r="E839" s="38" t="s">
        <v>3236</v>
      </c>
      <c r="G839" s="38" t="s">
        <v>43</v>
      </c>
      <c r="H839" s="38">
        <v>21.69</v>
      </c>
      <c r="I839" s="38" t="s">
        <v>44</v>
      </c>
      <c r="J839" s="38" t="s">
        <v>45</v>
      </c>
      <c r="K839" s="38" t="s">
        <v>3237</v>
      </c>
      <c r="L839" s="30" t="s">
        <v>58</v>
      </c>
      <c r="M839" s="38" t="s">
        <v>48</v>
      </c>
      <c r="N839" s="38" t="s">
        <v>48</v>
      </c>
      <c r="O839" s="31" t="s">
        <v>3238</v>
      </c>
      <c r="P839" s="28" t="s">
        <v>3239</v>
      </c>
      <c r="Q839" s="38" t="s">
        <v>3240</v>
      </c>
      <c r="R839" s="38">
        <v>1</v>
      </c>
      <c r="S839" s="38" t="s">
        <v>75</v>
      </c>
      <c r="T839" s="38" t="s">
        <v>53</v>
      </c>
      <c r="U839" s="38" t="s">
        <v>54</v>
      </c>
      <c r="V839" s="38" t="s">
        <v>61</v>
      </c>
      <c r="Y839" s="38">
        <v>344.09</v>
      </c>
      <c r="Z839" s="38">
        <v>1</v>
      </c>
      <c r="AF839" s="38">
        <v>243.99</v>
      </c>
      <c r="AI839" s="38">
        <v>1</v>
      </c>
      <c r="AJ839" s="38">
        <v>1</v>
      </c>
      <c r="AK839" s="14">
        <f t="shared" si="3"/>
        <v>1</v>
      </c>
      <c r="AO839" s="28"/>
    </row>
    <row r="840" spans="1:60" ht="12.5" hidden="1">
      <c r="A840" s="32"/>
      <c r="B840" s="33"/>
      <c r="C840" s="34"/>
      <c r="D840" s="33"/>
      <c r="E840" s="33"/>
      <c r="F840" s="33"/>
      <c r="G840" s="33"/>
      <c r="H840" s="33"/>
      <c r="I840" s="33"/>
      <c r="J840" s="33"/>
      <c r="K840" s="33"/>
      <c r="L840" s="35"/>
      <c r="M840" s="33"/>
      <c r="N840" s="33"/>
      <c r="O840" s="35"/>
      <c r="P840" s="32"/>
      <c r="Q840" s="33"/>
      <c r="R840" s="33"/>
      <c r="S840" s="33"/>
      <c r="T840" s="33"/>
      <c r="U840" s="33"/>
      <c r="V840" s="33"/>
      <c r="W840" s="33"/>
      <c r="X840" s="33"/>
      <c r="Y840" s="33"/>
      <c r="Z840" s="33"/>
      <c r="AA840" s="33"/>
      <c r="AB840" s="33"/>
      <c r="AC840" s="33"/>
      <c r="AD840" s="33"/>
      <c r="AE840" s="33"/>
      <c r="AF840" s="33"/>
      <c r="AG840" s="33"/>
      <c r="AH840" s="33"/>
      <c r="AI840" s="33"/>
      <c r="AJ840" s="33"/>
      <c r="AK840" s="36" t="e">
        <f t="shared" si="3"/>
        <v>#DIV/0!</v>
      </c>
      <c r="AL840" s="33"/>
      <c r="AM840" s="33"/>
      <c r="AN840" s="33"/>
      <c r="AO840" s="32"/>
      <c r="AP840" s="33"/>
      <c r="AQ840" s="33"/>
      <c r="AR840" s="33"/>
      <c r="AS840" s="33"/>
      <c r="AT840" s="33"/>
      <c r="AU840" s="33"/>
      <c r="AV840" s="33"/>
      <c r="AW840" s="33"/>
      <c r="AX840" s="33"/>
      <c r="AY840" s="33"/>
      <c r="AZ840" s="33"/>
      <c r="BA840" s="33"/>
      <c r="BB840" s="33"/>
      <c r="BC840" s="33"/>
      <c r="BD840" s="33"/>
      <c r="BE840" s="33"/>
      <c r="BF840" s="33"/>
      <c r="BG840" s="33"/>
      <c r="BH840" s="33"/>
    </row>
    <row r="841" spans="1:60" ht="12.5" hidden="1">
      <c r="A841" s="28"/>
      <c r="C841" s="29"/>
      <c r="L841" s="30"/>
      <c r="O841" s="31"/>
      <c r="P841" s="28"/>
      <c r="AK841" s="14" t="e">
        <f t="shared" si="3"/>
        <v>#DIV/0!</v>
      </c>
      <c r="AO841" s="28"/>
    </row>
    <row r="842" spans="1:60" ht="12.5" hidden="1">
      <c r="A842" s="28" t="s">
        <v>3241</v>
      </c>
      <c r="B842" s="39">
        <v>45754</v>
      </c>
      <c r="C842" s="29">
        <v>45759</v>
      </c>
      <c r="D842" s="38" t="s">
        <v>41</v>
      </c>
      <c r="E842" s="38" t="s">
        <v>3242</v>
      </c>
      <c r="G842" s="38" t="s">
        <v>43</v>
      </c>
      <c r="H842" s="38">
        <v>7.37</v>
      </c>
      <c r="I842" s="38" t="s">
        <v>44</v>
      </c>
      <c r="J842" s="38" t="s">
        <v>45</v>
      </c>
      <c r="K842" s="38" t="s">
        <v>3243</v>
      </c>
      <c r="L842" s="30" t="s">
        <v>58</v>
      </c>
      <c r="M842" s="38" t="s">
        <v>48</v>
      </c>
      <c r="N842" s="38" t="s">
        <v>48</v>
      </c>
      <c r="O842" s="31" t="s">
        <v>3244</v>
      </c>
      <c r="P842" s="28" t="s">
        <v>3245</v>
      </c>
      <c r="Q842" s="38" t="s">
        <v>3246</v>
      </c>
      <c r="R842" s="38">
        <v>1</v>
      </c>
      <c r="S842" s="38" t="s">
        <v>75</v>
      </c>
      <c r="T842" s="38" t="s">
        <v>53</v>
      </c>
      <c r="U842" s="38" t="s">
        <v>54</v>
      </c>
      <c r="V842" s="38" t="s">
        <v>55</v>
      </c>
      <c r="Y842" s="38">
        <v>41.06</v>
      </c>
      <c r="Z842" s="38">
        <v>1</v>
      </c>
      <c r="AF842" s="38">
        <v>33.69</v>
      </c>
      <c r="AI842" s="38">
        <v>1</v>
      </c>
      <c r="AJ842" s="38">
        <v>1</v>
      </c>
      <c r="AK842" s="14">
        <f t="shared" si="3"/>
        <v>1</v>
      </c>
      <c r="AO842" s="28"/>
    </row>
    <row r="843" spans="1:60" ht="12.5" hidden="1">
      <c r="A843" s="28" t="s">
        <v>3247</v>
      </c>
      <c r="B843" s="39">
        <v>45754</v>
      </c>
      <c r="C843" s="29">
        <v>45758</v>
      </c>
      <c r="D843" s="38" t="s">
        <v>41</v>
      </c>
      <c r="E843" s="38" t="s">
        <v>3248</v>
      </c>
      <c r="G843" s="38" t="s">
        <v>43</v>
      </c>
      <c r="H843" s="38">
        <v>14.14</v>
      </c>
      <c r="I843" s="38" t="s">
        <v>44</v>
      </c>
      <c r="J843" s="38" t="s">
        <v>45</v>
      </c>
      <c r="K843" s="38" t="s">
        <v>3249</v>
      </c>
      <c r="L843" s="30" t="s">
        <v>47</v>
      </c>
      <c r="M843" s="38" t="s">
        <v>48</v>
      </c>
      <c r="N843" s="38" t="s">
        <v>48</v>
      </c>
      <c r="O843" s="31" t="s">
        <v>49</v>
      </c>
      <c r="P843" s="28" t="s">
        <v>50</v>
      </c>
      <c r="Q843" s="38" t="s">
        <v>51</v>
      </c>
      <c r="R843" s="38">
        <v>1</v>
      </c>
      <c r="S843" s="38" t="s">
        <v>99</v>
      </c>
      <c r="T843" s="38" t="s">
        <v>53</v>
      </c>
      <c r="U843" s="38" t="s">
        <v>54</v>
      </c>
      <c r="V843" s="38" t="s">
        <v>61</v>
      </c>
      <c r="Y843" s="38">
        <v>97.31</v>
      </c>
      <c r="Z843" s="38">
        <v>1</v>
      </c>
      <c r="AI843" s="38">
        <v>2</v>
      </c>
      <c r="AJ843" s="38">
        <v>9</v>
      </c>
      <c r="AK843" s="14">
        <f t="shared" si="3"/>
        <v>0.22222222222222221</v>
      </c>
      <c r="AO843" s="28"/>
    </row>
    <row r="844" spans="1:60" ht="12.5" hidden="1">
      <c r="A844" s="28" t="s">
        <v>3250</v>
      </c>
      <c r="B844" s="39">
        <v>45752</v>
      </c>
      <c r="C844" s="29">
        <v>45757</v>
      </c>
      <c r="D844" s="38" t="s">
        <v>41</v>
      </c>
      <c r="E844" s="38" t="s">
        <v>3251</v>
      </c>
      <c r="G844" s="38" t="s">
        <v>43</v>
      </c>
      <c r="H844" s="38">
        <v>14.14</v>
      </c>
      <c r="I844" s="38" t="s">
        <v>44</v>
      </c>
      <c r="J844" s="38" t="s">
        <v>45</v>
      </c>
      <c r="K844" s="38" t="s">
        <v>3252</v>
      </c>
      <c r="L844" s="30" t="s">
        <v>58</v>
      </c>
      <c r="M844" s="38" t="s">
        <v>48</v>
      </c>
      <c r="N844" s="38" t="s">
        <v>48</v>
      </c>
      <c r="O844" s="31" t="s">
        <v>49</v>
      </c>
      <c r="P844" s="28" t="s">
        <v>50</v>
      </c>
      <c r="Q844" s="38" t="s">
        <v>51</v>
      </c>
      <c r="R844" s="38">
        <v>1</v>
      </c>
      <c r="S844" s="38" t="s">
        <v>68</v>
      </c>
      <c r="T844" s="38" t="s">
        <v>53</v>
      </c>
      <c r="U844" s="38" t="s">
        <v>54</v>
      </c>
      <c r="V844" s="38" t="s">
        <v>61</v>
      </c>
      <c r="Y844" s="38">
        <v>97.77</v>
      </c>
      <c r="Z844" s="38">
        <v>1</v>
      </c>
      <c r="AK844" s="14" t="e">
        <f t="shared" si="3"/>
        <v>#DIV/0!</v>
      </c>
      <c r="AO844" s="28"/>
    </row>
    <row r="845" spans="1:60" ht="12.5" hidden="1">
      <c r="A845" s="28" t="s">
        <v>3253</v>
      </c>
      <c r="B845" s="39">
        <v>45749</v>
      </c>
      <c r="C845" s="29">
        <v>45755</v>
      </c>
      <c r="D845" s="38" t="s">
        <v>41</v>
      </c>
      <c r="G845" s="38" t="s">
        <v>137</v>
      </c>
      <c r="H845" s="38">
        <v>0</v>
      </c>
      <c r="L845" s="30" t="s">
        <v>47</v>
      </c>
      <c r="M845" s="38" t="s">
        <v>48</v>
      </c>
      <c r="N845" s="38" t="s">
        <v>48</v>
      </c>
      <c r="O845" s="31" t="s">
        <v>3254</v>
      </c>
      <c r="P845" s="28" t="s">
        <v>3255</v>
      </c>
      <c r="Q845" s="38" t="s">
        <v>3256</v>
      </c>
      <c r="R845" s="38">
        <v>1</v>
      </c>
      <c r="S845" s="38" t="s">
        <v>92</v>
      </c>
      <c r="T845" s="38" t="s">
        <v>53</v>
      </c>
      <c r="U845" s="38" t="s">
        <v>54</v>
      </c>
      <c r="V845" s="38" t="s">
        <v>141</v>
      </c>
      <c r="Y845" s="38">
        <v>50.66</v>
      </c>
      <c r="Z845" s="38">
        <v>1</v>
      </c>
      <c r="AF845" s="38">
        <v>50.66</v>
      </c>
      <c r="AI845" s="38">
        <v>1</v>
      </c>
      <c r="AJ845" s="38">
        <v>2</v>
      </c>
      <c r="AK845" s="14">
        <f t="shared" si="3"/>
        <v>0.5</v>
      </c>
      <c r="AO845" s="28"/>
    </row>
    <row r="846" spans="1:60" ht="12.5" hidden="1">
      <c r="A846" s="28" t="s">
        <v>3257</v>
      </c>
      <c r="B846" s="37">
        <v>45745</v>
      </c>
      <c r="C846" s="29">
        <v>45758</v>
      </c>
      <c r="D846" s="38" t="s">
        <v>41</v>
      </c>
      <c r="E846" s="38" t="s">
        <v>3258</v>
      </c>
      <c r="G846" s="38" t="s">
        <v>43</v>
      </c>
      <c r="H846" s="38">
        <v>10.1</v>
      </c>
      <c r="I846" s="38" t="s">
        <v>44</v>
      </c>
      <c r="J846" s="38" t="s">
        <v>45</v>
      </c>
      <c r="K846" s="38" t="s">
        <v>3259</v>
      </c>
      <c r="L846" s="30" t="s">
        <v>47</v>
      </c>
      <c r="M846" s="38" t="s">
        <v>48</v>
      </c>
      <c r="N846" s="38" t="s">
        <v>48</v>
      </c>
      <c r="O846" s="31" t="s">
        <v>3260</v>
      </c>
      <c r="P846" s="28" t="s">
        <v>3261</v>
      </c>
      <c r="Q846" s="38" t="s">
        <v>3262</v>
      </c>
      <c r="R846" s="38">
        <v>1</v>
      </c>
      <c r="S846" s="38" t="s">
        <v>52</v>
      </c>
      <c r="T846" s="38" t="s">
        <v>53</v>
      </c>
      <c r="U846" s="38" t="s">
        <v>54</v>
      </c>
      <c r="V846" s="38" t="s">
        <v>55</v>
      </c>
      <c r="Y846" s="38">
        <v>82.4</v>
      </c>
      <c r="Z846" s="38">
        <v>1</v>
      </c>
      <c r="AF846" s="38">
        <v>82.4</v>
      </c>
      <c r="AI846" s="38">
        <v>1</v>
      </c>
      <c r="AJ846" s="38">
        <v>5</v>
      </c>
      <c r="AK846" s="14">
        <f t="shared" si="3"/>
        <v>0.2</v>
      </c>
      <c r="AO846" s="28"/>
    </row>
    <row r="847" spans="1:60" ht="12.5" hidden="1">
      <c r="A847" s="28" t="s">
        <v>3263</v>
      </c>
      <c r="B847" s="39">
        <v>45754</v>
      </c>
      <c r="C847" s="29">
        <v>45757</v>
      </c>
      <c r="D847" s="38" t="s">
        <v>41</v>
      </c>
      <c r="E847" s="38" t="s">
        <v>3264</v>
      </c>
      <c r="G847" s="38" t="s">
        <v>43</v>
      </c>
      <c r="H847" s="38">
        <v>10.46</v>
      </c>
      <c r="I847" s="38" t="s">
        <v>44</v>
      </c>
      <c r="J847" s="38" t="s">
        <v>45</v>
      </c>
      <c r="K847" s="38" t="s">
        <v>3265</v>
      </c>
      <c r="L847" s="30" t="s">
        <v>47</v>
      </c>
      <c r="M847" s="38" t="s">
        <v>48</v>
      </c>
      <c r="N847" s="38" t="s">
        <v>48</v>
      </c>
      <c r="O847" s="31" t="s">
        <v>65</v>
      </c>
      <c r="P847" s="28" t="s">
        <v>66</v>
      </c>
      <c r="Q847" s="38" t="s">
        <v>67</v>
      </c>
      <c r="R847" s="38">
        <v>1</v>
      </c>
      <c r="S847" s="38" t="s">
        <v>92</v>
      </c>
      <c r="T847" s="38" t="s">
        <v>53</v>
      </c>
      <c r="U847" s="38" t="s">
        <v>54</v>
      </c>
      <c r="V847" s="38" t="s">
        <v>55</v>
      </c>
      <c r="Y847" s="38">
        <v>78.989999999999995</v>
      </c>
      <c r="Z847" s="38">
        <v>1</v>
      </c>
      <c r="AF847" s="38">
        <v>78.989999999999995</v>
      </c>
      <c r="AI847" s="38">
        <v>1</v>
      </c>
      <c r="AJ847" s="38">
        <v>1</v>
      </c>
      <c r="AK847" s="14">
        <f t="shared" si="3"/>
        <v>1</v>
      </c>
      <c r="AO847" s="28"/>
    </row>
    <row r="848" spans="1:60" ht="12.5" hidden="1">
      <c r="A848" s="28" t="s">
        <v>3266</v>
      </c>
      <c r="B848" s="37">
        <v>45739</v>
      </c>
      <c r="C848" s="29">
        <v>45748</v>
      </c>
      <c r="D848" s="38" t="s">
        <v>41</v>
      </c>
      <c r="E848" s="38" t="s">
        <v>3267</v>
      </c>
      <c r="G848" s="38" t="s">
        <v>43</v>
      </c>
      <c r="H848" s="38">
        <v>11.13</v>
      </c>
      <c r="I848" s="38" t="s">
        <v>44</v>
      </c>
      <c r="J848" s="38" t="s">
        <v>45</v>
      </c>
      <c r="K848" s="38" t="s">
        <v>3268</v>
      </c>
      <c r="L848" s="30" t="s">
        <v>47</v>
      </c>
      <c r="M848" s="38" t="s">
        <v>48</v>
      </c>
      <c r="N848" s="38" t="s">
        <v>48</v>
      </c>
      <c r="O848" s="31" t="s">
        <v>72</v>
      </c>
      <c r="P848" s="28" t="s">
        <v>73</v>
      </c>
      <c r="Q848" s="38" t="s">
        <v>74</v>
      </c>
      <c r="R848" s="38">
        <v>1</v>
      </c>
      <c r="S848" s="38" t="s">
        <v>92</v>
      </c>
      <c r="T848" s="38" t="s">
        <v>53</v>
      </c>
      <c r="U848" s="38" t="s">
        <v>54</v>
      </c>
      <c r="V848" s="38" t="s">
        <v>55</v>
      </c>
      <c r="Y848" s="38">
        <v>54.98</v>
      </c>
      <c r="Z848" s="38">
        <v>1</v>
      </c>
      <c r="AF848" s="38">
        <v>54.98</v>
      </c>
      <c r="AI848" s="38">
        <v>1</v>
      </c>
      <c r="AJ848" s="38">
        <v>4</v>
      </c>
      <c r="AK848" s="14">
        <f t="shared" si="3"/>
        <v>0.25</v>
      </c>
      <c r="AO848" s="28"/>
    </row>
    <row r="849" spans="1:41" ht="12.5" hidden="1">
      <c r="A849" s="28" t="s">
        <v>3269</v>
      </c>
      <c r="B849" s="39">
        <v>45753</v>
      </c>
      <c r="C849" s="29">
        <v>45761</v>
      </c>
      <c r="D849" s="38" t="s">
        <v>41</v>
      </c>
      <c r="E849" s="38" t="s">
        <v>3270</v>
      </c>
      <c r="G849" s="38" t="s">
        <v>43</v>
      </c>
      <c r="H849" s="38">
        <v>11.19</v>
      </c>
      <c r="I849" s="38" t="s">
        <v>44</v>
      </c>
      <c r="J849" s="38" t="s">
        <v>45</v>
      </c>
      <c r="K849" s="38" t="s">
        <v>3271</v>
      </c>
      <c r="L849" s="30" t="s">
        <v>47</v>
      </c>
      <c r="M849" s="38" t="s">
        <v>48</v>
      </c>
      <c r="N849" s="38" t="s">
        <v>48</v>
      </c>
      <c r="O849" s="31" t="s">
        <v>79</v>
      </c>
      <c r="P849" s="28" t="s">
        <v>80</v>
      </c>
      <c r="Q849" s="38" t="s">
        <v>81</v>
      </c>
      <c r="R849" s="38">
        <v>1</v>
      </c>
      <c r="S849" s="38" t="s">
        <v>92</v>
      </c>
      <c r="T849" s="38" t="s">
        <v>53</v>
      </c>
      <c r="U849" s="38" t="s">
        <v>54</v>
      </c>
      <c r="V849" s="38" t="s">
        <v>61</v>
      </c>
      <c r="Y849" s="38">
        <v>55.16</v>
      </c>
      <c r="Z849" s="38">
        <v>1</v>
      </c>
      <c r="AI849" s="38">
        <v>4</v>
      </c>
      <c r="AJ849" s="38">
        <v>23</v>
      </c>
      <c r="AK849" s="14">
        <f t="shared" si="3"/>
        <v>0.17391304347826086</v>
      </c>
      <c r="AO849" s="28"/>
    </row>
    <row r="850" spans="1:41" ht="12.5" hidden="1">
      <c r="A850" s="28" t="s">
        <v>3272</v>
      </c>
      <c r="B850" s="39">
        <v>45754</v>
      </c>
      <c r="C850" s="29">
        <v>45759</v>
      </c>
      <c r="D850" s="38" t="s">
        <v>41</v>
      </c>
      <c r="E850" s="38" t="s">
        <v>3273</v>
      </c>
      <c r="G850" s="38" t="s">
        <v>43</v>
      </c>
      <c r="H850" s="38">
        <v>11.19</v>
      </c>
      <c r="I850" s="38" t="s">
        <v>44</v>
      </c>
      <c r="J850" s="38" t="s">
        <v>45</v>
      </c>
      <c r="K850" s="38" t="s">
        <v>3274</v>
      </c>
      <c r="L850" s="30" t="s">
        <v>47</v>
      </c>
      <c r="M850" s="38" t="s">
        <v>48</v>
      </c>
      <c r="N850" s="38" t="s">
        <v>48</v>
      </c>
      <c r="O850" s="31" t="s">
        <v>79</v>
      </c>
      <c r="P850" s="28" t="s">
        <v>80</v>
      </c>
      <c r="Q850" s="38" t="s">
        <v>81</v>
      </c>
      <c r="R850" s="38">
        <v>1</v>
      </c>
      <c r="S850" s="38" t="s">
        <v>52</v>
      </c>
      <c r="T850" s="38" t="s">
        <v>53</v>
      </c>
      <c r="U850" s="38" t="s">
        <v>54</v>
      </c>
      <c r="V850" s="38" t="s">
        <v>55</v>
      </c>
      <c r="Y850" s="38">
        <v>53.42</v>
      </c>
      <c r="Z850" s="38">
        <v>1</v>
      </c>
      <c r="AF850" s="38">
        <v>53.42</v>
      </c>
      <c r="AK850" s="14" t="e">
        <f t="shared" si="3"/>
        <v>#DIV/0!</v>
      </c>
      <c r="AO850" s="28"/>
    </row>
    <row r="851" spans="1:41" ht="12.5" hidden="1">
      <c r="A851" s="28" t="s">
        <v>3275</v>
      </c>
      <c r="B851" s="39">
        <v>45750</v>
      </c>
      <c r="C851" s="29">
        <v>45756</v>
      </c>
      <c r="D851" s="38" t="s">
        <v>41</v>
      </c>
      <c r="E851" s="38" t="s">
        <v>3276</v>
      </c>
      <c r="G851" s="38" t="s">
        <v>43</v>
      </c>
      <c r="H851" s="38">
        <v>11.19</v>
      </c>
      <c r="I851" s="38" t="s">
        <v>44</v>
      </c>
      <c r="J851" s="38" t="s">
        <v>45</v>
      </c>
      <c r="K851" s="38" t="s">
        <v>3277</v>
      </c>
      <c r="L851" s="30" t="s">
        <v>47</v>
      </c>
      <c r="M851" s="38" t="s">
        <v>48</v>
      </c>
      <c r="N851" s="38" t="s">
        <v>48</v>
      </c>
      <c r="O851" s="31" t="s">
        <v>79</v>
      </c>
      <c r="P851" s="28" t="s">
        <v>80</v>
      </c>
      <c r="Q851" s="38" t="s">
        <v>81</v>
      </c>
      <c r="R851" s="38">
        <v>1</v>
      </c>
      <c r="S851" s="38" t="s">
        <v>52</v>
      </c>
      <c r="T851" s="38" t="s">
        <v>53</v>
      </c>
      <c r="U851" s="38" t="s">
        <v>54</v>
      </c>
      <c r="V851" s="38" t="s">
        <v>55</v>
      </c>
      <c r="Y851" s="38">
        <v>53.42</v>
      </c>
      <c r="Z851" s="38">
        <v>1</v>
      </c>
      <c r="AF851" s="38">
        <v>53.42</v>
      </c>
      <c r="AK851" s="14" t="e">
        <f t="shared" si="3"/>
        <v>#DIV/0!</v>
      </c>
      <c r="AO851" s="28"/>
    </row>
    <row r="852" spans="1:41" ht="12.5" hidden="1">
      <c r="A852" s="28" t="s">
        <v>3278</v>
      </c>
      <c r="B852" s="37">
        <v>45745</v>
      </c>
      <c r="C852" s="29">
        <v>45750</v>
      </c>
      <c r="D852" s="38" t="s">
        <v>41</v>
      </c>
      <c r="E852" s="38" t="s">
        <v>3279</v>
      </c>
      <c r="G852" s="38" t="s">
        <v>43</v>
      </c>
      <c r="H852" s="38">
        <v>11.13</v>
      </c>
      <c r="I852" s="38" t="s">
        <v>44</v>
      </c>
      <c r="J852" s="38" t="s">
        <v>45</v>
      </c>
      <c r="K852" s="38" t="s">
        <v>3280</v>
      </c>
      <c r="L852" s="30" t="s">
        <v>47</v>
      </c>
      <c r="M852" s="38" t="s">
        <v>48</v>
      </c>
      <c r="N852" s="38" t="s">
        <v>48</v>
      </c>
      <c r="O852" s="31" t="s">
        <v>79</v>
      </c>
      <c r="P852" s="28" t="s">
        <v>80</v>
      </c>
      <c r="Q852" s="38" t="s">
        <v>81</v>
      </c>
      <c r="R852" s="38">
        <v>1</v>
      </c>
      <c r="S852" s="38" t="s">
        <v>52</v>
      </c>
      <c r="T852" s="38" t="s">
        <v>53</v>
      </c>
      <c r="U852" s="38" t="s">
        <v>54</v>
      </c>
      <c r="V852" s="38" t="s">
        <v>55</v>
      </c>
      <c r="Y852" s="38">
        <v>54.34</v>
      </c>
      <c r="Z852" s="38">
        <v>1</v>
      </c>
      <c r="AF852" s="38">
        <v>54.34</v>
      </c>
      <c r="AK852" s="14" t="e">
        <f t="shared" si="3"/>
        <v>#DIV/0!</v>
      </c>
      <c r="AO852" s="28"/>
    </row>
    <row r="853" spans="1:41" ht="12.5" hidden="1">
      <c r="A853" s="28" t="s">
        <v>3281</v>
      </c>
      <c r="B853" s="37">
        <v>45757</v>
      </c>
      <c r="C853" s="29">
        <v>45762</v>
      </c>
      <c r="D853" s="38" t="s">
        <v>41</v>
      </c>
      <c r="E853" s="38" t="s">
        <v>3282</v>
      </c>
      <c r="G853" s="38" t="s">
        <v>43</v>
      </c>
      <c r="H853" s="38">
        <v>12.3</v>
      </c>
      <c r="I853" s="38" t="s">
        <v>44</v>
      </c>
      <c r="J853" s="38" t="s">
        <v>45</v>
      </c>
      <c r="K853" s="38" t="s">
        <v>3283</v>
      </c>
      <c r="L853" s="30" t="s">
        <v>47</v>
      </c>
      <c r="M853" s="38" t="s">
        <v>48</v>
      </c>
      <c r="N853" s="38" t="s">
        <v>48</v>
      </c>
      <c r="O853" s="31" t="s">
        <v>96</v>
      </c>
      <c r="P853" s="28" t="s">
        <v>97</v>
      </c>
      <c r="Q853" s="38" t="s">
        <v>98</v>
      </c>
      <c r="R853" s="38">
        <v>1</v>
      </c>
      <c r="S853" s="38" t="s">
        <v>92</v>
      </c>
      <c r="T853" s="38" t="s">
        <v>53</v>
      </c>
      <c r="U853" s="38" t="s">
        <v>54</v>
      </c>
      <c r="V853" s="38" t="s">
        <v>560</v>
      </c>
      <c r="Y853" s="38">
        <v>81.83</v>
      </c>
      <c r="Z853" s="38">
        <v>1</v>
      </c>
      <c r="AI853" s="38">
        <v>2</v>
      </c>
      <c r="AJ853" s="38">
        <v>25</v>
      </c>
      <c r="AK853" s="14">
        <f t="shared" si="3"/>
        <v>0.08</v>
      </c>
      <c r="AM853" s="45" t="s">
        <v>3284</v>
      </c>
      <c r="AO853" s="28"/>
    </row>
    <row r="854" spans="1:41" ht="12.5" hidden="1">
      <c r="A854" s="28" t="s">
        <v>3285</v>
      </c>
      <c r="B854" s="39">
        <v>45748</v>
      </c>
      <c r="C854" s="29">
        <v>45753</v>
      </c>
      <c r="D854" s="38" t="s">
        <v>41</v>
      </c>
      <c r="E854" s="38" t="s">
        <v>3286</v>
      </c>
      <c r="G854" s="38" t="s">
        <v>43</v>
      </c>
      <c r="H854" s="38">
        <v>12.22</v>
      </c>
      <c r="I854" s="38" t="s">
        <v>44</v>
      </c>
      <c r="J854" s="38" t="s">
        <v>45</v>
      </c>
      <c r="K854" s="38" t="s">
        <v>3287</v>
      </c>
      <c r="L854" s="30" t="s">
        <v>47</v>
      </c>
      <c r="M854" s="38" t="s">
        <v>48</v>
      </c>
      <c r="N854" s="38" t="s">
        <v>48</v>
      </c>
      <c r="O854" s="31" t="s">
        <v>96</v>
      </c>
      <c r="P854" s="28" t="s">
        <v>97</v>
      </c>
      <c r="Q854" s="38" t="s">
        <v>98</v>
      </c>
      <c r="R854" s="38">
        <v>1</v>
      </c>
      <c r="S854" s="38" t="s">
        <v>99</v>
      </c>
      <c r="T854" s="38" t="s">
        <v>53</v>
      </c>
      <c r="U854" s="38" t="s">
        <v>54</v>
      </c>
      <c r="V854" s="38" t="s">
        <v>55</v>
      </c>
      <c r="Y854" s="38">
        <v>83.06</v>
      </c>
      <c r="Z854" s="38">
        <v>1</v>
      </c>
      <c r="AF854" s="38">
        <v>83.06</v>
      </c>
      <c r="AK854" s="14" t="e">
        <f t="shared" si="3"/>
        <v>#DIV/0!</v>
      </c>
      <c r="AO854" s="28"/>
    </row>
    <row r="855" spans="1:41" ht="12.5" hidden="1">
      <c r="A855" s="28" t="s">
        <v>3288</v>
      </c>
      <c r="B855" s="37">
        <v>45732</v>
      </c>
      <c r="C855" s="29">
        <v>45748</v>
      </c>
      <c r="D855" s="38" t="s">
        <v>41</v>
      </c>
      <c r="E855" s="38" t="s">
        <v>3289</v>
      </c>
      <c r="G855" s="38" t="s">
        <v>43</v>
      </c>
      <c r="H855" s="38">
        <v>13.14</v>
      </c>
      <c r="I855" s="38" t="s">
        <v>44</v>
      </c>
      <c r="J855" s="38" t="s">
        <v>45</v>
      </c>
      <c r="K855" s="38" t="s">
        <v>3290</v>
      </c>
      <c r="L855" s="30" t="s">
        <v>58</v>
      </c>
      <c r="M855" s="38" t="s">
        <v>48</v>
      </c>
      <c r="N855" s="38" t="s">
        <v>48</v>
      </c>
      <c r="O855" s="31" t="s">
        <v>966</v>
      </c>
      <c r="P855" s="28" t="s">
        <v>967</v>
      </c>
      <c r="Q855" s="38" t="s">
        <v>968</v>
      </c>
      <c r="R855" s="38">
        <v>1</v>
      </c>
      <c r="S855" s="38" t="s">
        <v>68</v>
      </c>
      <c r="T855" s="38" t="s">
        <v>53</v>
      </c>
      <c r="U855" s="38" t="s">
        <v>54</v>
      </c>
      <c r="V855" s="38" t="s">
        <v>55</v>
      </c>
      <c r="Y855" s="38">
        <v>79.099999999999994</v>
      </c>
      <c r="Z855" s="38">
        <v>1</v>
      </c>
      <c r="AF855" s="38">
        <v>65.959999999999994</v>
      </c>
      <c r="AI855" s="38">
        <v>1</v>
      </c>
      <c r="AJ855" s="38">
        <v>2</v>
      </c>
      <c r="AK855" s="14">
        <f t="shared" si="3"/>
        <v>0.5</v>
      </c>
      <c r="AO855" s="28"/>
    </row>
    <row r="856" spans="1:41" ht="12.5" hidden="1">
      <c r="A856" s="28" t="s">
        <v>3291</v>
      </c>
      <c r="B856" s="37">
        <v>45727</v>
      </c>
      <c r="C856" s="29">
        <v>45751</v>
      </c>
      <c r="D856" s="38" t="s">
        <v>41</v>
      </c>
      <c r="E856" s="38" t="s">
        <v>3292</v>
      </c>
      <c r="G856" s="38" t="s">
        <v>43</v>
      </c>
      <c r="H856" s="38">
        <v>13.59</v>
      </c>
      <c r="I856" s="38" t="s">
        <v>44</v>
      </c>
      <c r="J856" s="38" t="s">
        <v>45</v>
      </c>
      <c r="K856" s="38" t="s">
        <v>3293</v>
      </c>
      <c r="L856" s="30" t="s">
        <v>58</v>
      </c>
      <c r="M856" s="38" t="s">
        <v>48</v>
      </c>
      <c r="N856" s="38" t="s">
        <v>48</v>
      </c>
      <c r="O856" s="31" t="s">
        <v>3294</v>
      </c>
      <c r="P856" s="28" t="s">
        <v>3295</v>
      </c>
      <c r="Q856" s="38" t="s">
        <v>3296</v>
      </c>
      <c r="R856" s="38">
        <v>1</v>
      </c>
      <c r="S856" s="38" t="s">
        <v>68</v>
      </c>
      <c r="T856" s="38" t="s">
        <v>53</v>
      </c>
      <c r="U856" s="38" t="s">
        <v>54</v>
      </c>
      <c r="V856" s="38" t="s">
        <v>55</v>
      </c>
      <c r="Y856" s="38">
        <v>96.9</v>
      </c>
      <c r="Z856" s="38">
        <v>1</v>
      </c>
      <c r="AF856" s="38">
        <v>83.31</v>
      </c>
      <c r="AI856" s="38">
        <v>1</v>
      </c>
      <c r="AJ856" s="38">
        <v>3</v>
      </c>
      <c r="AK856" s="14">
        <f t="shared" si="3"/>
        <v>0.33333333333333331</v>
      </c>
      <c r="AO856" s="28"/>
    </row>
    <row r="857" spans="1:41" ht="12.5" hidden="1">
      <c r="A857" s="28" t="s">
        <v>3297</v>
      </c>
      <c r="B857" s="39">
        <v>45751</v>
      </c>
      <c r="C857" s="29">
        <v>45761</v>
      </c>
      <c r="D857" s="38" t="s">
        <v>41</v>
      </c>
      <c r="E857" s="38" t="s">
        <v>3298</v>
      </c>
      <c r="G857" s="38" t="s">
        <v>43</v>
      </c>
      <c r="H857" s="38">
        <v>10.75</v>
      </c>
      <c r="I857" s="38" t="s">
        <v>44</v>
      </c>
      <c r="J857" s="38" t="s">
        <v>45</v>
      </c>
      <c r="K857" s="38" t="s">
        <v>3299</v>
      </c>
      <c r="L857" s="30" t="s">
        <v>47</v>
      </c>
      <c r="M857" s="38" t="s">
        <v>48</v>
      </c>
      <c r="N857" s="38" t="s">
        <v>48</v>
      </c>
      <c r="O857" s="31" t="s">
        <v>972</v>
      </c>
      <c r="P857" s="28" t="s">
        <v>973</v>
      </c>
      <c r="Q857" s="38" t="s">
        <v>2772</v>
      </c>
      <c r="R857" s="38">
        <v>1</v>
      </c>
      <c r="S857" s="38" t="s">
        <v>99</v>
      </c>
      <c r="T857" s="38" t="s">
        <v>53</v>
      </c>
      <c r="U857" s="38" t="s">
        <v>60</v>
      </c>
      <c r="V857" s="38" t="s">
        <v>55</v>
      </c>
      <c r="Y857" s="38">
        <v>59.1</v>
      </c>
      <c r="Z857" s="38">
        <v>1</v>
      </c>
      <c r="AF857" s="38">
        <v>59.1</v>
      </c>
      <c r="AI857" s="38">
        <v>1</v>
      </c>
      <c r="AJ857" s="38">
        <v>17</v>
      </c>
      <c r="AK857" s="14">
        <f t="shared" si="3"/>
        <v>5.8823529411764705E-2</v>
      </c>
      <c r="AO857" s="28"/>
    </row>
    <row r="858" spans="1:41" ht="12.5" hidden="1">
      <c r="A858" s="28" t="s">
        <v>3300</v>
      </c>
      <c r="B858" s="37">
        <v>45735</v>
      </c>
      <c r="C858" s="29">
        <v>45761</v>
      </c>
      <c r="D858" s="38" t="s">
        <v>41</v>
      </c>
      <c r="E858" s="38" t="s">
        <v>3301</v>
      </c>
      <c r="G858" s="38" t="s">
        <v>43</v>
      </c>
      <c r="H858" s="38">
        <v>6.33</v>
      </c>
      <c r="I858" s="38" t="s">
        <v>44</v>
      </c>
      <c r="J858" s="38" t="s">
        <v>45</v>
      </c>
      <c r="K858" s="38" t="s">
        <v>3302</v>
      </c>
      <c r="L858" s="30" t="s">
        <v>58</v>
      </c>
      <c r="M858" s="38" t="s">
        <v>48</v>
      </c>
      <c r="N858" s="38" t="s">
        <v>48</v>
      </c>
      <c r="O858" s="31" t="s">
        <v>3303</v>
      </c>
      <c r="P858" s="28" t="s">
        <v>3304</v>
      </c>
      <c r="Q858" s="38" t="s">
        <v>3305</v>
      </c>
      <c r="R858" s="38">
        <v>1</v>
      </c>
      <c r="S858" s="38" t="s">
        <v>306</v>
      </c>
      <c r="T858" s="38" t="s">
        <v>53</v>
      </c>
      <c r="U858" s="38" t="s">
        <v>54</v>
      </c>
      <c r="V858" s="38" t="s">
        <v>61</v>
      </c>
      <c r="Y858" s="38">
        <v>54.01</v>
      </c>
      <c r="Z858" s="38">
        <v>1</v>
      </c>
      <c r="AI858" s="38">
        <v>1</v>
      </c>
      <c r="AJ858" s="38">
        <v>2</v>
      </c>
      <c r="AK858" s="14">
        <f t="shared" si="3"/>
        <v>0.5</v>
      </c>
      <c r="AO858" s="28"/>
    </row>
    <row r="859" spans="1:41" ht="12.5" hidden="1">
      <c r="A859" s="28" t="s">
        <v>3306</v>
      </c>
      <c r="B859" s="37">
        <v>45740</v>
      </c>
      <c r="C859" s="29">
        <v>45752</v>
      </c>
      <c r="D859" s="38" t="s">
        <v>41</v>
      </c>
      <c r="E859" s="38" t="s">
        <v>3307</v>
      </c>
      <c r="G859" s="38" t="s">
        <v>43</v>
      </c>
      <c r="H859" s="38">
        <v>10.039999999999999</v>
      </c>
      <c r="I859" s="38" t="s">
        <v>44</v>
      </c>
      <c r="J859" s="38" t="s">
        <v>45</v>
      </c>
      <c r="K859" s="38" t="s">
        <v>3308</v>
      </c>
      <c r="L859" s="30" t="s">
        <v>47</v>
      </c>
      <c r="M859" s="38" t="s">
        <v>48</v>
      </c>
      <c r="N859" s="38" t="s">
        <v>48</v>
      </c>
      <c r="O859" s="31" t="s">
        <v>127</v>
      </c>
      <c r="P859" s="28" t="s">
        <v>128</v>
      </c>
      <c r="Q859" s="38" t="s">
        <v>1749</v>
      </c>
      <c r="R859" s="38">
        <v>1</v>
      </c>
      <c r="S859" s="38" t="s">
        <v>99</v>
      </c>
      <c r="T859" s="38" t="s">
        <v>53</v>
      </c>
      <c r="U859" s="38" t="s">
        <v>54</v>
      </c>
      <c r="V859" s="38" t="s">
        <v>55</v>
      </c>
      <c r="Y859" s="38">
        <v>74.09</v>
      </c>
      <c r="Z859" s="38">
        <v>1</v>
      </c>
      <c r="AF859" s="38">
        <v>74.09</v>
      </c>
      <c r="AI859" s="38">
        <v>1</v>
      </c>
      <c r="AJ859" s="38">
        <v>6</v>
      </c>
      <c r="AK859" s="14">
        <f t="shared" si="3"/>
        <v>0.16666666666666666</v>
      </c>
      <c r="AO859" s="28"/>
    </row>
    <row r="860" spans="1:41" ht="12.5" hidden="1">
      <c r="A860" s="28" t="s">
        <v>3309</v>
      </c>
      <c r="B860" s="37">
        <v>45742</v>
      </c>
      <c r="C860" s="29">
        <v>45761</v>
      </c>
      <c r="D860" s="38" t="s">
        <v>41</v>
      </c>
      <c r="E860" s="38" t="s">
        <v>3310</v>
      </c>
      <c r="G860" s="38" t="s">
        <v>43</v>
      </c>
      <c r="H860" s="38">
        <v>10.75</v>
      </c>
      <c r="I860" s="38" t="s">
        <v>44</v>
      </c>
      <c r="J860" s="38" t="s">
        <v>45</v>
      </c>
      <c r="K860" s="38" t="s">
        <v>3311</v>
      </c>
      <c r="L860" s="30" t="s">
        <v>47</v>
      </c>
      <c r="M860" s="38" t="s">
        <v>48</v>
      </c>
      <c r="N860" s="38" t="s">
        <v>48</v>
      </c>
      <c r="O860" s="31" t="s">
        <v>1759</v>
      </c>
      <c r="P860" s="28" t="s">
        <v>1760</v>
      </c>
      <c r="Q860" s="38" t="s">
        <v>1761</v>
      </c>
      <c r="R860" s="38">
        <v>1</v>
      </c>
      <c r="S860" s="38" t="s">
        <v>92</v>
      </c>
      <c r="T860" s="38" t="s">
        <v>53</v>
      </c>
      <c r="U860" s="38" t="s">
        <v>54</v>
      </c>
      <c r="V860" s="38" t="s">
        <v>55</v>
      </c>
      <c r="Y860" s="38">
        <v>69.86</v>
      </c>
      <c r="Z860" s="38">
        <v>1</v>
      </c>
      <c r="AF860" s="38">
        <v>69.86</v>
      </c>
      <c r="AI860" s="38">
        <v>1</v>
      </c>
      <c r="AJ860" s="38">
        <v>4</v>
      </c>
      <c r="AK860" s="14">
        <f t="shared" si="3"/>
        <v>0.25</v>
      </c>
      <c r="AO860" s="28"/>
    </row>
    <row r="861" spans="1:41" ht="12.5" hidden="1">
      <c r="A861" s="28" t="s">
        <v>3312</v>
      </c>
      <c r="B861" s="37">
        <v>45758</v>
      </c>
      <c r="C861" s="29">
        <v>45762</v>
      </c>
      <c r="D861" s="38" t="s">
        <v>41</v>
      </c>
      <c r="E861" s="38" t="s">
        <v>3313</v>
      </c>
      <c r="G861" s="38" t="s">
        <v>43</v>
      </c>
      <c r="H861" s="38">
        <v>11.19</v>
      </c>
      <c r="I861" s="38" t="s">
        <v>44</v>
      </c>
      <c r="J861" s="38" t="s">
        <v>45</v>
      </c>
      <c r="K861" s="38" t="s">
        <v>3314</v>
      </c>
      <c r="L861" s="30" t="s">
        <v>47</v>
      </c>
      <c r="M861" s="38" t="s">
        <v>48</v>
      </c>
      <c r="N861" s="38" t="s">
        <v>48</v>
      </c>
      <c r="O861" s="31" t="s">
        <v>1003</v>
      </c>
      <c r="P861" s="28" t="s">
        <v>1004</v>
      </c>
      <c r="Q861" s="38" t="s">
        <v>1005</v>
      </c>
      <c r="R861" s="38">
        <v>1</v>
      </c>
      <c r="S861" s="38" t="s">
        <v>92</v>
      </c>
      <c r="T861" s="38" t="s">
        <v>53</v>
      </c>
      <c r="U861" s="38" t="s">
        <v>54</v>
      </c>
      <c r="V861" s="38" t="s">
        <v>55</v>
      </c>
      <c r="Y861" s="38">
        <v>95.46</v>
      </c>
      <c r="Z861" s="38">
        <v>1</v>
      </c>
      <c r="AF861" s="38">
        <v>95.46</v>
      </c>
      <c r="AI861" s="38">
        <v>2</v>
      </c>
      <c r="AJ861" s="38">
        <v>4</v>
      </c>
      <c r="AK861" s="14">
        <f t="shared" si="3"/>
        <v>0.5</v>
      </c>
      <c r="AO861" s="28"/>
    </row>
    <row r="862" spans="1:41" ht="12.5" hidden="1">
      <c r="A862" s="28" t="s">
        <v>3315</v>
      </c>
      <c r="B862" s="39">
        <v>45749</v>
      </c>
      <c r="C862" s="29">
        <v>45751</v>
      </c>
      <c r="D862" s="38" t="s">
        <v>41</v>
      </c>
      <c r="E862" s="38" t="s">
        <v>3316</v>
      </c>
      <c r="G862" s="38" t="s">
        <v>43</v>
      </c>
      <c r="H862" s="38">
        <v>11.13</v>
      </c>
      <c r="I862" s="38" t="s">
        <v>44</v>
      </c>
      <c r="J862" s="38" t="s">
        <v>45</v>
      </c>
      <c r="K862" s="38" t="s">
        <v>3317</v>
      </c>
      <c r="L862" s="30" t="s">
        <v>47</v>
      </c>
      <c r="M862" s="38" t="s">
        <v>48</v>
      </c>
      <c r="N862" s="38" t="s">
        <v>48</v>
      </c>
      <c r="O862" s="31" t="s">
        <v>1003</v>
      </c>
      <c r="P862" s="28" t="s">
        <v>1004</v>
      </c>
      <c r="Q862" s="38" t="s">
        <v>1005</v>
      </c>
      <c r="R862" s="38">
        <v>1</v>
      </c>
      <c r="S862" s="38" t="s">
        <v>99</v>
      </c>
      <c r="T862" s="38" t="s">
        <v>53</v>
      </c>
      <c r="U862" s="38" t="s">
        <v>54</v>
      </c>
      <c r="V862" s="38" t="s">
        <v>55</v>
      </c>
      <c r="Y862" s="38">
        <v>98.5</v>
      </c>
      <c r="Z862" s="38">
        <v>1</v>
      </c>
      <c r="AF862" s="38">
        <v>98.5</v>
      </c>
      <c r="AK862" s="14" t="e">
        <f t="shared" si="3"/>
        <v>#DIV/0!</v>
      </c>
      <c r="AO862" s="28"/>
    </row>
    <row r="863" spans="1:41" ht="12.5" hidden="1">
      <c r="A863" s="28" t="s">
        <v>3318</v>
      </c>
      <c r="B863" s="37">
        <v>45736</v>
      </c>
      <c r="C863" s="29">
        <v>45761</v>
      </c>
      <c r="D863" s="38" t="s">
        <v>41</v>
      </c>
      <c r="E863" s="38" t="s">
        <v>3319</v>
      </c>
      <c r="G863" s="38" t="s">
        <v>43</v>
      </c>
      <c r="H863" s="38">
        <v>70.290000000000006</v>
      </c>
      <c r="I863" s="38" t="s">
        <v>44</v>
      </c>
      <c r="J863" s="38" t="s">
        <v>45</v>
      </c>
      <c r="K863" s="38" t="s">
        <v>3320</v>
      </c>
      <c r="L863" s="30" t="s">
        <v>47</v>
      </c>
      <c r="M863" s="38" t="s">
        <v>48</v>
      </c>
      <c r="N863" s="38" t="s">
        <v>48</v>
      </c>
      <c r="O863" s="31" t="s">
        <v>1012</v>
      </c>
      <c r="P863" s="28" t="s">
        <v>1013</v>
      </c>
      <c r="Q863" s="38" t="s">
        <v>1014</v>
      </c>
      <c r="R863" s="38">
        <v>1</v>
      </c>
      <c r="S863" s="38" t="s">
        <v>99</v>
      </c>
      <c r="T863" s="38" t="s">
        <v>53</v>
      </c>
      <c r="U863" s="38" t="s">
        <v>54</v>
      </c>
      <c r="V863" s="38" t="s">
        <v>61</v>
      </c>
      <c r="Y863" s="38">
        <v>234.02</v>
      </c>
      <c r="Z863" s="38">
        <v>1</v>
      </c>
      <c r="AI863" s="38">
        <v>1</v>
      </c>
      <c r="AK863" s="14" t="e">
        <f t="shared" si="3"/>
        <v>#DIV/0!</v>
      </c>
      <c r="AO863" s="28"/>
    </row>
    <row r="864" spans="1:41" ht="12.5" hidden="1">
      <c r="A864" s="28" t="s">
        <v>3321</v>
      </c>
      <c r="B864" s="37">
        <v>45746</v>
      </c>
      <c r="C864" s="29">
        <v>45753</v>
      </c>
      <c r="D864" s="38" t="s">
        <v>41</v>
      </c>
      <c r="E864" s="38" t="s">
        <v>3322</v>
      </c>
      <c r="G864" s="38" t="s">
        <v>137</v>
      </c>
      <c r="H864" s="38">
        <v>0</v>
      </c>
      <c r="L864" s="30" t="s">
        <v>47</v>
      </c>
      <c r="M864" s="38" t="s">
        <v>48</v>
      </c>
      <c r="N864" s="38" t="s">
        <v>48</v>
      </c>
      <c r="O864" s="31" t="s">
        <v>147</v>
      </c>
      <c r="P864" s="28" t="s">
        <v>148</v>
      </c>
      <c r="Q864" s="38" t="s">
        <v>149</v>
      </c>
      <c r="R864" s="38">
        <v>1</v>
      </c>
      <c r="S864" s="38" t="s">
        <v>99</v>
      </c>
      <c r="T864" s="38" t="s">
        <v>53</v>
      </c>
      <c r="U864" s="38" t="s">
        <v>54</v>
      </c>
      <c r="V864" s="38" t="s">
        <v>61</v>
      </c>
      <c r="Y864" s="38">
        <v>389.98</v>
      </c>
      <c r="Z864" s="38">
        <v>1</v>
      </c>
      <c r="AI864" s="38">
        <v>1</v>
      </c>
      <c r="AJ864" s="38">
        <v>1</v>
      </c>
      <c r="AK864" s="14">
        <f t="shared" si="3"/>
        <v>1</v>
      </c>
      <c r="AO864" s="28"/>
    </row>
    <row r="865" spans="1:41" ht="12.5" hidden="1">
      <c r="A865" s="28" t="s">
        <v>3323</v>
      </c>
      <c r="B865" s="39">
        <v>45751</v>
      </c>
      <c r="C865" s="29">
        <v>45761</v>
      </c>
      <c r="D865" s="38" t="s">
        <v>41</v>
      </c>
      <c r="E865" s="38" t="s">
        <v>3324</v>
      </c>
      <c r="G865" s="38" t="s">
        <v>43</v>
      </c>
      <c r="H865" s="38">
        <v>11.84</v>
      </c>
      <c r="I865" s="38" t="s">
        <v>44</v>
      </c>
      <c r="J865" s="38" t="s">
        <v>45</v>
      </c>
      <c r="K865" s="38" t="s">
        <v>3325</v>
      </c>
      <c r="L865" s="30" t="s">
        <v>58</v>
      </c>
      <c r="M865" s="38" t="s">
        <v>48</v>
      </c>
      <c r="N865" s="38" t="s">
        <v>48</v>
      </c>
      <c r="O865" s="31" t="s">
        <v>160</v>
      </c>
      <c r="P865" s="28" t="s">
        <v>161</v>
      </c>
      <c r="Q865" s="38" t="s">
        <v>2143</v>
      </c>
      <c r="R865" s="38">
        <v>1</v>
      </c>
      <c r="S865" s="38" t="s">
        <v>68</v>
      </c>
      <c r="T865" s="38" t="s">
        <v>53</v>
      </c>
      <c r="U865" s="38" t="s">
        <v>54</v>
      </c>
      <c r="V865" s="38" t="s">
        <v>55</v>
      </c>
      <c r="Y865" s="38">
        <v>56.49</v>
      </c>
      <c r="Z865" s="38">
        <v>1</v>
      </c>
      <c r="AF865" s="38">
        <v>44.65</v>
      </c>
      <c r="AI865" s="38">
        <v>3</v>
      </c>
      <c r="AJ865" s="38">
        <v>13</v>
      </c>
      <c r="AK865" s="14">
        <f t="shared" si="3"/>
        <v>0.23076923076923078</v>
      </c>
      <c r="AO865" s="28"/>
    </row>
    <row r="866" spans="1:41" ht="12.5" hidden="1">
      <c r="A866" s="28" t="s">
        <v>3326</v>
      </c>
      <c r="B866" s="37">
        <v>45744</v>
      </c>
      <c r="C866" s="29">
        <v>45752</v>
      </c>
      <c r="D866" s="38" t="s">
        <v>41</v>
      </c>
      <c r="E866" s="38" t="s">
        <v>3327</v>
      </c>
      <c r="G866" s="38" t="s">
        <v>43</v>
      </c>
      <c r="H866" s="38">
        <v>11.77</v>
      </c>
      <c r="I866" s="38" t="s">
        <v>44</v>
      </c>
      <c r="J866" s="38" t="s">
        <v>45</v>
      </c>
      <c r="K866" s="38" t="s">
        <v>3328</v>
      </c>
      <c r="L866" s="30" t="s">
        <v>47</v>
      </c>
      <c r="M866" s="38" t="s">
        <v>48</v>
      </c>
      <c r="N866" s="38" t="s">
        <v>48</v>
      </c>
      <c r="O866" s="31" t="s">
        <v>160</v>
      </c>
      <c r="P866" s="28" t="s">
        <v>161</v>
      </c>
      <c r="Q866" s="38" t="s">
        <v>2143</v>
      </c>
      <c r="R866" s="38">
        <v>1</v>
      </c>
      <c r="S866" s="38" t="s">
        <v>92</v>
      </c>
      <c r="T866" s="38" t="s">
        <v>53</v>
      </c>
      <c r="U866" s="38" t="s">
        <v>54</v>
      </c>
      <c r="V866" s="38" t="s">
        <v>61</v>
      </c>
      <c r="Y866" s="38">
        <v>55.1</v>
      </c>
      <c r="Z866" s="38">
        <v>1</v>
      </c>
      <c r="AK866" s="14" t="e">
        <f t="shared" si="3"/>
        <v>#DIV/0!</v>
      </c>
      <c r="AO866" s="28"/>
    </row>
    <row r="867" spans="1:41" ht="12.5" hidden="1">
      <c r="A867" s="28" t="s">
        <v>3329</v>
      </c>
      <c r="B867" s="37">
        <v>45739</v>
      </c>
      <c r="C867" s="29">
        <v>45749</v>
      </c>
      <c r="D867" s="38" t="s">
        <v>41</v>
      </c>
      <c r="E867" s="38" t="s">
        <v>3330</v>
      </c>
      <c r="G867" s="38" t="s">
        <v>43</v>
      </c>
      <c r="H867" s="38">
        <v>11.77</v>
      </c>
      <c r="I867" s="38" t="s">
        <v>44</v>
      </c>
      <c r="J867" s="38" t="s">
        <v>45</v>
      </c>
      <c r="K867" s="38" t="s">
        <v>3331</v>
      </c>
      <c r="L867" s="30" t="s">
        <v>58</v>
      </c>
      <c r="M867" s="38" t="s">
        <v>48</v>
      </c>
      <c r="N867" s="38" t="s">
        <v>48</v>
      </c>
      <c r="O867" s="31" t="s">
        <v>160</v>
      </c>
      <c r="P867" s="28" t="s">
        <v>161</v>
      </c>
      <c r="Q867" s="38" t="s">
        <v>2143</v>
      </c>
      <c r="R867" s="38">
        <v>1</v>
      </c>
      <c r="S867" s="38" t="s">
        <v>68</v>
      </c>
      <c r="T867" s="38" t="s">
        <v>53</v>
      </c>
      <c r="U867" s="38" t="s">
        <v>54</v>
      </c>
      <c r="V867" s="38" t="s">
        <v>61</v>
      </c>
      <c r="Y867" s="38">
        <v>53.42</v>
      </c>
      <c r="Z867" s="38">
        <v>1</v>
      </c>
      <c r="AK867" s="14" t="e">
        <f t="shared" si="3"/>
        <v>#DIV/0!</v>
      </c>
      <c r="AO867" s="28"/>
    </row>
    <row r="868" spans="1:41" ht="12.5" hidden="1">
      <c r="A868" s="28" t="s">
        <v>3332</v>
      </c>
      <c r="B868" s="37">
        <v>45738</v>
      </c>
      <c r="C868" s="29">
        <v>45753</v>
      </c>
      <c r="D868" s="38" t="s">
        <v>41</v>
      </c>
      <c r="E868" s="38" t="s">
        <v>3333</v>
      </c>
      <c r="G868" s="38" t="s">
        <v>43</v>
      </c>
      <c r="H868" s="38">
        <v>11.52</v>
      </c>
      <c r="I868" s="38" t="s">
        <v>44</v>
      </c>
      <c r="J868" s="38" t="s">
        <v>45</v>
      </c>
      <c r="K868" s="38" t="s">
        <v>3334</v>
      </c>
      <c r="L868" s="30" t="s">
        <v>58</v>
      </c>
      <c r="M868" s="38" t="s">
        <v>48</v>
      </c>
      <c r="N868" s="38" t="s">
        <v>48</v>
      </c>
      <c r="O868" s="31" t="s">
        <v>198</v>
      </c>
      <c r="P868" s="28" t="s">
        <v>199</v>
      </c>
      <c r="Q868" s="38" t="s">
        <v>200</v>
      </c>
      <c r="R868" s="38">
        <v>1</v>
      </c>
      <c r="S868" s="38" t="s">
        <v>68</v>
      </c>
      <c r="T868" s="38" t="s">
        <v>53</v>
      </c>
      <c r="U868" s="38" t="s">
        <v>54</v>
      </c>
      <c r="V868" s="38" t="s">
        <v>61</v>
      </c>
      <c r="Y868" s="38">
        <v>103.78</v>
      </c>
      <c r="Z868" s="38">
        <v>1</v>
      </c>
      <c r="AF868" s="38">
        <v>87.93</v>
      </c>
      <c r="AI868" s="38">
        <v>1</v>
      </c>
      <c r="AJ868" s="38">
        <v>1</v>
      </c>
      <c r="AK868" s="14">
        <f t="shared" si="3"/>
        <v>1</v>
      </c>
      <c r="AO868" s="28"/>
    </row>
    <row r="869" spans="1:41" ht="12.5" hidden="1">
      <c r="A869" s="28" t="s">
        <v>3335</v>
      </c>
      <c r="B869" s="37">
        <v>45758</v>
      </c>
      <c r="C869" s="29">
        <v>45762</v>
      </c>
      <c r="D869" s="38" t="s">
        <v>41</v>
      </c>
      <c r="E869" s="38" t="s">
        <v>3336</v>
      </c>
      <c r="G869" s="38" t="s">
        <v>43</v>
      </c>
      <c r="H869" s="38">
        <v>13.67</v>
      </c>
      <c r="I869" s="38" t="s">
        <v>44</v>
      </c>
      <c r="J869" s="38" t="s">
        <v>45</v>
      </c>
      <c r="K869" s="38" t="s">
        <v>3337</v>
      </c>
      <c r="L869" s="30" t="s">
        <v>58</v>
      </c>
      <c r="M869" s="38" t="s">
        <v>48</v>
      </c>
      <c r="N869" s="38" t="s">
        <v>48</v>
      </c>
      <c r="O869" s="31" t="s">
        <v>219</v>
      </c>
      <c r="P869" s="28" t="s">
        <v>220</v>
      </c>
      <c r="Q869" s="38" t="s">
        <v>221</v>
      </c>
      <c r="R869" s="38">
        <v>1</v>
      </c>
      <c r="S869" s="38" t="s">
        <v>75</v>
      </c>
      <c r="T869" s="38" t="s">
        <v>53</v>
      </c>
      <c r="U869" s="38" t="s">
        <v>54</v>
      </c>
      <c r="V869" s="38" t="s">
        <v>55</v>
      </c>
      <c r="Y869" s="38">
        <v>82.69</v>
      </c>
      <c r="Z869" s="38">
        <v>1</v>
      </c>
      <c r="AF869" s="38">
        <v>69.02</v>
      </c>
      <c r="AI869" s="38">
        <v>2</v>
      </c>
      <c r="AJ869" s="38">
        <v>22</v>
      </c>
      <c r="AK869" s="14">
        <f t="shared" si="3"/>
        <v>9.0909090909090912E-2</v>
      </c>
      <c r="AO869" s="28"/>
    </row>
    <row r="870" spans="1:41" ht="12.5" hidden="1">
      <c r="A870" s="28" t="s">
        <v>3338</v>
      </c>
      <c r="B870" s="37">
        <v>45736</v>
      </c>
      <c r="C870" s="29">
        <v>45756</v>
      </c>
      <c r="D870" s="38" t="s">
        <v>41</v>
      </c>
      <c r="E870" s="38" t="s">
        <v>3339</v>
      </c>
      <c r="G870" s="38" t="s">
        <v>43</v>
      </c>
      <c r="H870" s="38">
        <v>13.67</v>
      </c>
      <c r="I870" s="38" t="s">
        <v>44</v>
      </c>
      <c r="J870" s="38" t="s">
        <v>45</v>
      </c>
      <c r="K870" s="38" t="s">
        <v>3340</v>
      </c>
      <c r="L870" s="30" t="s">
        <v>58</v>
      </c>
      <c r="M870" s="38" t="s">
        <v>48</v>
      </c>
      <c r="N870" s="38" t="s">
        <v>48</v>
      </c>
      <c r="O870" s="31" t="s">
        <v>219</v>
      </c>
      <c r="P870" s="28" t="s">
        <v>220</v>
      </c>
      <c r="Q870" s="38" t="s">
        <v>221</v>
      </c>
      <c r="R870" s="38">
        <v>1</v>
      </c>
      <c r="S870" s="38" t="s">
        <v>68</v>
      </c>
      <c r="T870" s="38" t="s">
        <v>53</v>
      </c>
      <c r="U870" s="38" t="s">
        <v>54</v>
      </c>
      <c r="V870" s="38" t="s">
        <v>61</v>
      </c>
      <c r="Y870" s="38">
        <v>82.48</v>
      </c>
      <c r="Z870" s="38">
        <v>1</v>
      </c>
      <c r="AK870" s="14" t="e">
        <f t="shared" si="3"/>
        <v>#DIV/0!</v>
      </c>
      <c r="AO870" s="28"/>
    </row>
    <row r="871" spans="1:41" ht="12.5" hidden="1">
      <c r="A871" s="28" t="s">
        <v>3341</v>
      </c>
      <c r="B871" s="37">
        <v>45734</v>
      </c>
      <c r="C871" s="29">
        <v>45752</v>
      </c>
      <c r="D871" s="38" t="s">
        <v>41</v>
      </c>
      <c r="E871" s="38" t="s">
        <v>3342</v>
      </c>
      <c r="G871" s="38" t="s">
        <v>43</v>
      </c>
      <c r="H871" s="38">
        <v>4.62</v>
      </c>
      <c r="I871" s="38" t="s">
        <v>44</v>
      </c>
      <c r="J871" s="38" t="s">
        <v>249</v>
      </c>
      <c r="K871" s="38" t="s">
        <v>3343</v>
      </c>
      <c r="L871" s="30" t="s">
        <v>58</v>
      </c>
      <c r="M871" s="38" t="s">
        <v>48</v>
      </c>
      <c r="N871" s="38" t="s">
        <v>48</v>
      </c>
      <c r="O871" s="31" t="s">
        <v>251</v>
      </c>
      <c r="P871" s="28" t="s">
        <v>252</v>
      </c>
      <c r="Q871" s="38" t="s">
        <v>253</v>
      </c>
      <c r="R871" s="38">
        <v>1</v>
      </c>
      <c r="S871" s="38" t="s">
        <v>2990</v>
      </c>
      <c r="T871" s="38" t="s">
        <v>53</v>
      </c>
      <c r="U871" s="38" t="s">
        <v>54</v>
      </c>
      <c r="V871" s="38" t="s">
        <v>240</v>
      </c>
      <c r="Y871" s="38">
        <v>173.64</v>
      </c>
      <c r="Z871" s="38">
        <v>1</v>
      </c>
      <c r="AF871" s="38">
        <v>147.62</v>
      </c>
      <c r="AI871" s="38">
        <v>1</v>
      </c>
      <c r="AJ871" s="38">
        <v>2</v>
      </c>
      <c r="AK871" s="14">
        <f t="shared" si="3"/>
        <v>0.5</v>
      </c>
      <c r="AO871" s="28"/>
    </row>
    <row r="872" spans="1:41" ht="12.5" hidden="1">
      <c r="A872" s="28" t="s">
        <v>3344</v>
      </c>
      <c r="B872" s="39">
        <v>45756</v>
      </c>
      <c r="C872" s="29">
        <v>45760</v>
      </c>
      <c r="D872" s="38" t="s">
        <v>41</v>
      </c>
      <c r="E872" s="38" t="s">
        <v>3345</v>
      </c>
      <c r="G872" s="38" t="s">
        <v>43</v>
      </c>
      <c r="H872" s="38">
        <v>10.75</v>
      </c>
      <c r="I872" s="38" t="s">
        <v>44</v>
      </c>
      <c r="J872" s="38" t="s">
        <v>45</v>
      </c>
      <c r="K872" s="38" t="s">
        <v>3346</v>
      </c>
      <c r="L872" s="30" t="s">
        <v>58</v>
      </c>
      <c r="M872" s="38" t="s">
        <v>48</v>
      </c>
      <c r="N872" s="38" t="s">
        <v>48</v>
      </c>
      <c r="O872" s="31" t="s">
        <v>3347</v>
      </c>
      <c r="P872" s="28" t="s">
        <v>3348</v>
      </c>
      <c r="Q872" s="38" t="s">
        <v>3349</v>
      </c>
      <c r="R872" s="38">
        <v>1</v>
      </c>
      <c r="S872" s="38" t="s">
        <v>68</v>
      </c>
      <c r="T872" s="38" t="s">
        <v>53</v>
      </c>
      <c r="U872" s="38" t="s">
        <v>54</v>
      </c>
      <c r="V872" s="38" t="s">
        <v>55</v>
      </c>
      <c r="Y872" s="38">
        <v>71.97</v>
      </c>
      <c r="Z872" s="38">
        <v>1</v>
      </c>
      <c r="AF872" s="38">
        <v>61.22</v>
      </c>
      <c r="AI872" s="38">
        <v>1</v>
      </c>
      <c r="AJ872" s="38">
        <v>5</v>
      </c>
      <c r="AK872" s="14">
        <f t="shared" si="3"/>
        <v>0.2</v>
      </c>
      <c r="AO872" s="28"/>
    </row>
    <row r="873" spans="1:41" ht="12.5" hidden="1">
      <c r="A873" s="28" t="s">
        <v>3350</v>
      </c>
      <c r="B873" s="39">
        <v>45750</v>
      </c>
      <c r="C873" s="29">
        <v>45756</v>
      </c>
      <c r="D873" s="38" t="s">
        <v>41</v>
      </c>
      <c r="E873" s="38" t="s">
        <v>3351</v>
      </c>
      <c r="G873" s="38" t="s">
        <v>43</v>
      </c>
      <c r="H873" s="38">
        <v>10.75</v>
      </c>
      <c r="I873" s="38" t="s">
        <v>44</v>
      </c>
      <c r="J873" s="38" t="s">
        <v>45</v>
      </c>
      <c r="K873" s="38" t="s">
        <v>3352</v>
      </c>
      <c r="L873" s="30" t="s">
        <v>58</v>
      </c>
      <c r="M873" s="38" t="s">
        <v>48</v>
      </c>
      <c r="N873" s="38" t="s">
        <v>48</v>
      </c>
      <c r="O873" s="31" t="s">
        <v>1066</v>
      </c>
      <c r="P873" s="28" t="s">
        <v>1067</v>
      </c>
      <c r="Q873" s="38" t="s">
        <v>1068</v>
      </c>
      <c r="R873" s="38">
        <v>1</v>
      </c>
      <c r="S873" s="38" t="s">
        <v>75</v>
      </c>
      <c r="T873" s="38" t="s">
        <v>53</v>
      </c>
      <c r="U873" s="38" t="s">
        <v>54</v>
      </c>
      <c r="V873" s="38" t="s">
        <v>55</v>
      </c>
      <c r="Y873" s="38">
        <v>71.98</v>
      </c>
      <c r="Z873" s="38">
        <v>1</v>
      </c>
      <c r="AF873" s="38">
        <v>61.23</v>
      </c>
      <c r="AI873" s="38">
        <v>3</v>
      </c>
      <c r="AJ873" s="38">
        <v>10</v>
      </c>
      <c r="AK873" s="14">
        <f t="shared" si="3"/>
        <v>0.3</v>
      </c>
      <c r="AO873" s="28"/>
    </row>
    <row r="874" spans="1:41" ht="12.5" hidden="1">
      <c r="A874" s="28" t="s">
        <v>3353</v>
      </c>
      <c r="B874" s="37">
        <v>45741</v>
      </c>
      <c r="C874" s="29">
        <v>45756</v>
      </c>
      <c r="D874" s="38" t="s">
        <v>41</v>
      </c>
      <c r="E874" s="38" t="s">
        <v>3354</v>
      </c>
      <c r="G874" s="38" t="s">
        <v>43</v>
      </c>
      <c r="H874" s="38">
        <v>10.75</v>
      </c>
      <c r="I874" s="38" t="s">
        <v>44</v>
      </c>
      <c r="J874" s="38" t="s">
        <v>45</v>
      </c>
      <c r="K874" s="38" t="s">
        <v>3355</v>
      </c>
      <c r="L874" s="30" t="s">
        <v>58</v>
      </c>
      <c r="M874" s="38" t="s">
        <v>48</v>
      </c>
      <c r="N874" s="38" t="s">
        <v>48</v>
      </c>
      <c r="O874" s="31" t="s">
        <v>1066</v>
      </c>
      <c r="P874" s="28" t="s">
        <v>1067</v>
      </c>
      <c r="Q874" s="38" t="s">
        <v>1068</v>
      </c>
      <c r="R874" s="38">
        <v>1</v>
      </c>
      <c r="S874" s="38" t="s">
        <v>59</v>
      </c>
      <c r="T874" s="38" t="s">
        <v>53</v>
      </c>
      <c r="U874" s="38" t="s">
        <v>54</v>
      </c>
      <c r="V874" s="38" t="s">
        <v>55</v>
      </c>
      <c r="Y874" s="38">
        <v>71.61</v>
      </c>
      <c r="Z874" s="38">
        <v>1</v>
      </c>
      <c r="AF874" s="38">
        <v>60.86</v>
      </c>
      <c r="AK874" s="14" t="e">
        <f t="shared" si="3"/>
        <v>#DIV/0!</v>
      </c>
      <c r="AO874" s="28"/>
    </row>
    <row r="875" spans="1:41" ht="12.5" hidden="1">
      <c r="A875" s="28" t="s">
        <v>3356</v>
      </c>
      <c r="B875" s="37">
        <v>45747</v>
      </c>
      <c r="C875" s="29">
        <v>45752</v>
      </c>
      <c r="D875" s="38" t="s">
        <v>41</v>
      </c>
      <c r="E875" s="38" t="s">
        <v>3357</v>
      </c>
      <c r="G875" s="38" t="s">
        <v>43</v>
      </c>
      <c r="H875" s="38">
        <v>10.68</v>
      </c>
      <c r="I875" s="38" t="s">
        <v>44</v>
      </c>
      <c r="J875" s="38" t="s">
        <v>45</v>
      </c>
      <c r="K875" s="38" t="s">
        <v>3358</v>
      </c>
      <c r="L875" s="30" t="s">
        <v>47</v>
      </c>
      <c r="M875" s="38" t="s">
        <v>48</v>
      </c>
      <c r="N875" s="38" t="s">
        <v>48</v>
      </c>
      <c r="O875" s="31" t="s">
        <v>1066</v>
      </c>
      <c r="P875" s="28" t="s">
        <v>1067</v>
      </c>
      <c r="Q875" s="38" t="s">
        <v>1068</v>
      </c>
      <c r="R875" s="38">
        <v>1</v>
      </c>
      <c r="S875" s="38" t="s">
        <v>99</v>
      </c>
      <c r="T875" s="38" t="s">
        <v>53</v>
      </c>
      <c r="U875" s="38" t="s">
        <v>54</v>
      </c>
      <c r="V875" s="38" t="s">
        <v>55</v>
      </c>
      <c r="Y875" s="38">
        <v>71.5</v>
      </c>
      <c r="Z875" s="38">
        <v>1</v>
      </c>
      <c r="AF875" s="38">
        <v>71.5</v>
      </c>
      <c r="AK875" s="14" t="e">
        <f t="shared" si="3"/>
        <v>#DIV/0!</v>
      </c>
      <c r="AO875" s="28"/>
    </row>
    <row r="876" spans="1:41" ht="12.5" hidden="1">
      <c r="A876" s="28" t="s">
        <v>3359</v>
      </c>
      <c r="B876" s="37">
        <v>45745</v>
      </c>
      <c r="C876" s="29">
        <v>45752</v>
      </c>
      <c r="D876" s="38" t="s">
        <v>41</v>
      </c>
      <c r="E876" s="38" t="s">
        <v>3360</v>
      </c>
      <c r="G876" s="38" t="s">
        <v>43</v>
      </c>
      <c r="H876" s="38">
        <v>6.29</v>
      </c>
      <c r="I876" s="38" t="s">
        <v>44</v>
      </c>
      <c r="J876" s="38" t="s">
        <v>45</v>
      </c>
      <c r="K876" s="38" t="s">
        <v>3361</v>
      </c>
      <c r="L876" s="30" t="s">
        <v>47</v>
      </c>
      <c r="M876" s="38" t="s">
        <v>48</v>
      </c>
      <c r="N876" s="38" t="s">
        <v>48</v>
      </c>
      <c r="O876" s="31" t="s">
        <v>1116</v>
      </c>
      <c r="P876" s="28" t="s">
        <v>1117</v>
      </c>
      <c r="Q876" s="38" t="s">
        <v>1833</v>
      </c>
      <c r="R876" s="38">
        <v>1</v>
      </c>
      <c r="S876" s="38" t="s">
        <v>52</v>
      </c>
      <c r="T876" s="38" t="s">
        <v>53</v>
      </c>
      <c r="U876" s="38" t="s">
        <v>54</v>
      </c>
      <c r="V876" s="38" t="s">
        <v>55</v>
      </c>
      <c r="Y876" s="38">
        <v>81.87</v>
      </c>
      <c r="Z876" s="38">
        <v>1</v>
      </c>
      <c r="AF876" s="38">
        <v>81.87</v>
      </c>
      <c r="AI876" s="38">
        <v>2</v>
      </c>
      <c r="AJ876" s="38">
        <v>5</v>
      </c>
      <c r="AK876" s="14">
        <f t="shared" si="3"/>
        <v>0.4</v>
      </c>
      <c r="AO876" s="28"/>
    </row>
    <row r="877" spans="1:41" ht="12.5" hidden="1">
      <c r="A877" s="28" t="s">
        <v>3362</v>
      </c>
      <c r="B877" s="37">
        <v>45744</v>
      </c>
      <c r="C877" s="29">
        <v>45751</v>
      </c>
      <c r="D877" s="38" t="s">
        <v>41</v>
      </c>
      <c r="E877" s="38" t="s">
        <v>3363</v>
      </c>
      <c r="G877" s="38" t="s">
        <v>43</v>
      </c>
      <c r="H877" s="38">
        <v>6.29</v>
      </c>
      <c r="I877" s="38" t="s">
        <v>44</v>
      </c>
      <c r="J877" s="38" t="s">
        <v>45</v>
      </c>
      <c r="K877" s="38" t="s">
        <v>3364</v>
      </c>
      <c r="L877" s="30" t="s">
        <v>47</v>
      </c>
      <c r="M877" s="38" t="s">
        <v>48</v>
      </c>
      <c r="N877" s="38" t="s">
        <v>48</v>
      </c>
      <c r="O877" s="31" t="s">
        <v>1116</v>
      </c>
      <c r="P877" s="28" t="s">
        <v>1117</v>
      </c>
      <c r="Q877" s="38" t="s">
        <v>1833</v>
      </c>
      <c r="R877" s="38">
        <v>1</v>
      </c>
      <c r="S877" s="38" t="s">
        <v>52</v>
      </c>
      <c r="T877" s="38" t="s">
        <v>53</v>
      </c>
      <c r="U877" s="38" t="s">
        <v>54</v>
      </c>
      <c r="V877" s="38" t="s">
        <v>55</v>
      </c>
      <c r="Y877" s="38">
        <v>79.86</v>
      </c>
      <c r="Z877" s="38">
        <v>1</v>
      </c>
      <c r="AF877" s="38">
        <v>79.86</v>
      </c>
      <c r="AK877" s="14" t="e">
        <f t="shared" si="3"/>
        <v>#DIV/0!</v>
      </c>
      <c r="AO877" s="28"/>
    </row>
    <row r="878" spans="1:41" ht="12.5" hidden="1">
      <c r="A878" s="28" t="s">
        <v>3365</v>
      </c>
      <c r="B878" s="39">
        <v>45748</v>
      </c>
      <c r="C878" s="29">
        <v>45758</v>
      </c>
      <c r="D878" s="38" t="s">
        <v>41</v>
      </c>
      <c r="E878" s="38" t="s">
        <v>3366</v>
      </c>
      <c r="G878" s="38" t="s">
        <v>43</v>
      </c>
      <c r="H878" s="38">
        <v>11.59</v>
      </c>
      <c r="I878" s="38" t="s">
        <v>44</v>
      </c>
      <c r="J878" s="38" t="s">
        <v>45</v>
      </c>
      <c r="K878" s="38" t="s">
        <v>3367</v>
      </c>
      <c r="L878" s="30" t="s">
        <v>47</v>
      </c>
      <c r="M878" s="38" t="s">
        <v>48</v>
      </c>
      <c r="N878" s="38" t="s">
        <v>48</v>
      </c>
      <c r="O878" s="31" t="s">
        <v>2888</v>
      </c>
      <c r="P878" s="28" t="s">
        <v>2889</v>
      </c>
      <c r="Q878" s="38" t="s">
        <v>2890</v>
      </c>
      <c r="R878" s="38">
        <v>1</v>
      </c>
      <c r="S878" s="38" t="s">
        <v>99</v>
      </c>
      <c r="T878" s="38" t="s">
        <v>53</v>
      </c>
      <c r="U878" s="38" t="s">
        <v>54</v>
      </c>
      <c r="V878" s="38" t="s">
        <v>240</v>
      </c>
      <c r="Y878" s="38">
        <v>91.7</v>
      </c>
      <c r="Z878" s="38">
        <v>1</v>
      </c>
      <c r="AF878" s="38">
        <v>91.7</v>
      </c>
      <c r="AI878" s="38">
        <v>1</v>
      </c>
      <c r="AJ878" s="38">
        <v>7</v>
      </c>
      <c r="AK878" s="14">
        <f t="shared" si="3"/>
        <v>0.14285714285714285</v>
      </c>
      <c r="AO878" s="28"/>
    </row>
    <row r="879" spans="1:41" ht="12.5" hidden="1">
      <c r="A879" s="28" t="s">
        <v>3368</v>
      </c>
      <c r="B879" s="39">
        <v>45756</v>
      </c>
      <c r="C879" s="29">
        <v>45762</v>
      </c>
      <c r="D879" s="38" t="s">
        <v>41</v>
      </c>
      <c r="E879" s="38" t="s">
        <v>3369</v>
      </c>
      <c r="G879" s="38" t="s">
        <v>43</v>
      </c>
      <c r="H879" s="38">
        <v>11.19</v>
      </c>
      <c r="I879" s="38" t="s">
        <v>44</v>
      </c>
      <c r="J879" s="38" t="s">
        <v>45</v>
      </c>
      <c r="K879" s="38" t="s">
        <v>3370</v>
      </c>
      <c r="L879" s="30" t="s">
        <v>47</v>
      </c>
      <c r="M879" s="38" t="s">
        <v>48</v>
      </c>
      <c r="N879" s="38" t="s">
        <v>48</v>
      </c>
      <c r="O879" s="31" t="s">
        <v>2904</v>
      </c>
      <c r="P879" s="28" t="s">
        <v>2905</v>
      </c>
      <c r="Q879" s="38" t="s">
        <v>2906</v>
      </c>
      <c r="R879" s="38">
        <v>1</v>
      </c>
      <c r="S879" s="38" t="s">
        <v>99</v>
      </c>
      <c r="T879" s="38" t="s">
        <v>53</v>
      </c>
      <c r="U879" s="38" t="s">
        <v>54</v>
      </c>
      <c r="V879" s="38" t="s">
        <v>61</v>
      </c>
      <c r="Y879" s="38">
        <v>93.18</v>
      </c>
      <c r="Z879" s="38">
        <v>1</v>
      </c>
      <c r="AI879" s="38">
        <v>1</v>
      </c>
      <c r="AJ879" s="38">
        <v>14</v>
      </c>
      <c r="AK879" s="14">
        <f t="shared" si="3"/>
        <v>7.1428571428571425E-2</v>
      </c>
      <c r="AO879" s="28"/>
    </row>
    <row r="880" spans="1:41" ht="12.5" hidden="1">
      <c r="A880" s="28" t="s">
        <v>3371</v>
      </c>
      <c r="B880" s="39">
        <v>45754</v>
      </c>
      <c r="C880" s="29">
        <v>45758</v>
      </c>
      <c r="D880" s="38" t="s">
        <v>41</v>
      </c>
      <c r="E880" s="38" t="s">
        <v>3372</v>
      </c>
      <c r="G880" s="38" t="s">
        <v>43</v>
      </c>
      <c r="H880" s="38">
        <v>11.19</v>
      </c>
      <c r="I880" s="38" t="s">
        <v>44</v>
      </c>
      <c r="J880" s="38" t="s">
        <v>45</v>
      </c>
      <c r="K880" s="38" t="s">
        <v>3373</v>
      </c>
      <c r="L880" s="30" t="s">
        <v>58</v>
      </c>
      <c r="M880" s="38" t="s">
        <v>48</v>
      </c>
      <c r="N880" s="38" t="s">
        <v>48</v>
      </c>
      <c r="O880" s="31" t="s">
        <v>2193</v>
      </c>
      <c r="P880" s="28" t="s">
        <v>2194</v>
      </c>
      <c r="Q880" s="38" t="s">
        <v>2195</v>
      </c>
      <c r="R880" s="38">
        <v>1</v>
      </c>
      <c r="S880" s="38" t="s">
        <v>68</v>
      </c>
      <c r="T880" s="38" t="s">
        <v>53</v>
      </c>
      <c r="U880" s="38" t="s">
        <v>54</v>
      </c>
      <c r="V880" s="38" t="s">
        <v>55</v>
      </c>
      <c r="Y880" s="38">
        <v>83.13</v>
      </c>
      <c r="Z880" s="38">
        <v>1</v>
      </c>
      <c r="AA880" s="38" t="s">
        <v>3374</v>
      </c>
      <c r="AB880" s="38" t="s">
        <v>3375</v>
      </c>
      <c r="AC880" s="38" t="s">
        <v>3376</v>
      </c>
      <c r="AD880" s="37">
        <v>45764</v>
      </c>
      <c r="AE880" s="38">
        <v>67.67</v>
      </c>
      <c r="AF880" s="38">
        <v>71.94</v>
      </c>
      <c r="AI880" s="38">
        <v>4</v>
      </c>
      <c r="AJ880" s="38">
        <v>26</v>
      </c>
      <c r="AK880" s="14">
        <f t="shared" si="3"/>
        <v>0.15384615384615385</v>
      </c>
      <c r="AO880" s="28"/>
    </row>
    <row r="881" spans="1:41" ht="12.5" hidden="1">
      <c r="A881" s="28" t="s">
        <v>3377</v>
      </c>
      <c r="B881" s="39">
        <v>45754</v>
      </c>
      <c r="C881" s="29">
        <v>45757</v>
      </c>
      <c r="D881" s="38" t="s">
        <v>41</v>
      </c>
      <c r="E881" s="38" t="s">
        <v>3378</v>
      </c>
      <c r="G881" s="38" t="s">
        <v>43</v>
      </c>
      <c r="H881" s="38">
        <v>11.19</v>
      </c>
      <c r="I881" s="38" t="s">
        <v>44</v>
      </c>
      <c r="J881" s="38" t="s">
        <v>45</v>
      </c>
      <c r="K881" s="38" t="s">
        <v>3379</v>
      </c>
      <c r="L881" s="30" t="s">
        <v>47</v>
      </c>
      <c r="M881" s="38" t="s">
        <v>48</v>
      </c>
      <c r="N881" s="38" t="s">
        <v>48</v>
      </c>
      <c r="O881" s="31" t="s">
        <v>2193</v>
      </c>
      <c r="P881" s="28" t="s">
        <v>2194</v>
      </c>
      <c r="Q881" s="38" t="s">
        <v>2195</v>
      </c>
      <c r="R881" s="38">
        <v>1</v>
      </c>
      <c r="S881" s="38" t="s">
        <v>99</v>
      </c>
      <c r="T881" s="38" t="s">
        <v>53</v>
      </c>
      <c r="U881" s="38" t="s">
        <v>54</v>
      </c>
      <c r="V881" s="38" t="s">
        <v>55</v>
      </c>
      <c r="Y881" s="38">
        <v>83.67</v>
      </c>
      <c r="Z881" s="38">
        <v>1</v>
      </c>
      <c r="AF881" s="38">
        <v>83.67</v>
      </c>
      <c r="AK881" s="14" t="e">
        <f t="shared" si="3"/>
        <v>#DIV/0!</v>
      </c>
      <c r="AO881" s="28"/>
    </row>
    <row r="882" spans="1:41" ht="12.5" hidden="1">
      <c r="A882" s="28" t="s">
        <v>3380</v>
      </c>
      <c r="B882" s="37">
        <v>45746</v>
      </c>
      <c r="C882" s="29">
        <v>45752</v>
      </c>
      <c r="D882" s="38" t="s">
        <v>41</v>
      </c>
      <c r="E882" s="38" t="s">
        <v>3381</v>
      </c>
      <c r="G882" s="38" t="s">
        <v>43</v>
      </c>
      <c r="H882" s="38">
        <v>11.13</v>
      </c>
      <c r="I882" s="38" t="s">
        <v>44</v>
      </c>
      <c r="J882" s="38" t="s">
        <v>45</v>
      </c>
      <c r="K882" s="38" t="s">
        <v>3382</v>
      </c>
      <c r="L882" s="30" t="s">
        <v>58</v>
      </c>
      <c r="M882" s="38" t="s">
        <v>48</v>
      </c>
      <c r="N882" s="38" t="s">
        <v>48</v>
      </c>
      <c r="O882" s="31" t="s">
        <v>2193</v>
      </c>
      <c r="P882" s="28" t="s">
        <v>2194</v>
      </c>
      <c r="Q882" s="38" t="s">
        <v>2195</v>
      </c>
      <c r="R882" s="38">
        <v>1</v>
      </c>
      <c r="S882" s="38" t="s">
        <v>2716</v>
      </c>
      <c r="T882" s="38" t="s">
        <v>53</v>
      </c>
      <c r="U882" s="38" t="s">
        <v>54</v>
      </c>
      <c r="V882" s="38" t="s">
        <v>55</v>
      </c>
      <c r="Y882" s="38">
        <v>83.06</v>
      </c>
      <c r="Z882" s="38">
        <v>1</v>
      </c>
      <c r="AF882" s="38">
        <v>71.930000000000007</v>
      </c>
      <c r="AK882" s="14" t="e">
        <f t="shared" si="3"/>
        <v>#DIV/0!</v>
      </c>
      <c r="AO882" s="28"/>
    </row>
    <row r="883" spans="1:41" ht="12.5" hidden="1">
      <c r="A883" s="28" t="s">
        <v>3383</v>
      </c>
      <c r="B883" s="37">
        <v>45743</v>
      </c>
      <c r="C883" s="29">
        <v>45750</v>
      </c>
      <c r="D883" s="38" t="s">
        <v>41</v>
      </c>
      <c r="E883" s="38" t="s">
        <v>3384</v>
      </c>
      <c r="G883" s="38" t="s">
        <v>43</v>
      </c>
      <c r="H883" s="38">
        <v>11.13</v>
      </c>
      <c r="I883" s="38" t="s">
        <v>44</v>
      </c>
      <c r="J883" s="38" t="s">
        <v>45</v>
      </c>
      <c r="K883" s="38" t="s">
        <v>3385</v>
      </c>
      <c r="L883" s="30" t="s">
        <v>47</v>
      </c>
      <c r="M883" s="38" t="s">
        <v>48</v>
      </c>
      <c r="N883" s="38" t="s">
        <v>48</v>
      </c>
      <c r="O883" s="31" t="s">
        <v>2193</v>
      </c>
      <c r="P883" s="28" t="s">
        <v>2194</v>
      </c>
      <c r="Q883" s="38" t="s">
        <v>2195</v>
      </c>
      <c r="R883" s="38">
        <v>1</v>
      </c>
      <c r="S883" s="38" t="s">
        <v>52</v>
      </c>
      <c r="T883" s="38" t="s">
        <v>53</v>
      </c>
      <c r="U883" s="38" t="s">
        <v>54</v>
      </c>
      <c r="V883" s="38" t="s">
        <v>55</v>
      </c>
      <c r="Y883" s="38">
        <v>81.239999999999995</v>
      </c>
      <c r="Z883" s="38">
        <v>1</v>
      </c>
      <c r="AF883" s="38">
        <v>81.239999999999995</v>
      </c>
      <c r="AK883" s="14" t="e">
        <f t="shared" si="3"/>
        <v>#DIV/0!</v>
      </c>
      <c r="AO883" s="28"/>
    </row>
    <row r="884" spans="1:41" ht="12.5" hidden="1">
      <c r="A884" s="28" t="s">
        <v>3386</v>
      </c>
      <c r="B884" s="39">
        <v>45753</v>
      </c>
      <c r="C884" s="29">
        <v>45760</v>
      </c>
      <c r="D884" s="38" t="s">
        <v>41</v>
      </c>
      <c r="E884" s="38" t="s">
        <v>3387</v>
      </c>
      <c r="G884" s="38" t="s">
        <v>43</v>
      </c>
      <c r="H884" s="38">
        <v>11.19</v>
      </c>
      <c r="I884" s="38" t="s">
        <v>44</v>
      </c>
      <c r="J884" s="38" t="s">
        <v>45</v>
      </c>
      <c r="K884" s="38" t="s">
        <v>3388</v>
      </c>
      <c r="L884" s="30" t="s">
        <v>58</v>
      </c>
      <c r="M884" s="38" t="s">
        <v>48</v>
      </c>
      <c r="N884" s="38" t="s">
        <v>48</v>
      </c>
      <c r="O884" s="31" t="s">
        <v>310</v>
      </c>
      <c r="P884" s="28" t="s">
        <v>311</v>
      </c>
      <c r="Q884" s="38" t="s">
        <v>312</v>
      </c>
      <c r="R884" s="38">
        <v>1</v>
      </c>
      <c r="S884" s="38" t="s">
        <v>59</v>
      </c>
      <c r="T884" s="38" t="s">
        <v>53</v>
      </c>
      <c r="U884" s="38" t="s">
        <v>54</v>
      </c>
      <c r="V884" s="38" t="s">
        <v>61</v>
      </c>
      <c r="Y884" s="38">
        <v>146.49</v>
      </c>
      <c r="Z884" s="38">
        <v>1</v>
      </c>
      <c r="AI884" s="38">
        <v>2</v>
      </c>
      <c r="AJ884" s="38">
        <v>7</v>
      </c>
      <c r="AK884" s="14">
        <f t="shared" si="3"/>
        <v>0.2857142857142857</v>
      </c>
      <c r="AO884" s="28"/>
    </row>
    <row r="885" spans="1:41" ht="12.5" hidden="1">
      <c r="A885" s="28" t="s">
        <v>3389</v>
      </c>
      <c r="B885" s="39">
        <v>45756</v>
      </c>
      <c r="C885" s="29">
        <v>45760</v>
      </c>
      <c r="D885" s="38" t="s">
        <v>41</v>
      </c>
      <c r="E885" s="38" t="s">
        <v>3390</v>
      </c>
      <c r="G885" s="38" t="s">
        <v>43</v>
      </c>
      <c r="H885" s="38">
        <v>11.19</v>
      </c>
      <c r="I885" s="38" t="s">
        <v>44</v>
      </c>
      <c r="J885" s="38" t="s">
        <v>45</v>
      </c>
      <c r="K885" s="38" t="s">
        <v>3391</v>
      </c>
      <c r="L885" s="30" t="s">
        <v>47</v>
      </c>
      <c r="M885" s="38" t="s">
        <v>48</v>
      </c>
      <c r="N885" s="38" t="s">
        <v>48</v>
      </c>
      <c r="O885" s="31" t="s">
        <v>310</v>
      </c>
      <c r="P885" s="28" t="s">
        <v>311</v>
      </c>
      <c r="Q885" s="38" t="s">
        <v>312</v>
      </c>
      <c r="R885" s="38">
        <v>1</v>
      </c>
      <c r="S885" s="38" t="s">
        <v>99</v>
      </c>
      <c r="T885" s="38" t="s">
        <v>53</v>
      </c>
      <c r="U885" s="38" t="s">
        <v>54</v>
      </c>
      <c r="V885" s="38" t="s">
        <v>240</v>
      </c>
      <c r="Y885" s="38">
        <v>147.51</v>
      </c>
      <c r="Z885" s="38">
        <v>1</v>
      </c>
      <c r="AF885" s="38">
        <v>147.51</v>
      </c>
      <c r="AK885" s="14" t="e">
        <f t="shared" si="3"/>
        <v>#DIV/0!</v>
      </c>
      <c r="AO885" s="28"/>
    </row>
    <row r="886" spans="1:41" ht="12.5" hidden="1">
      <c r="A886" s="28" t="s">
        <v>3392</v>
      </c>
      <c r="B886" s="37">
        <v>45738</v>
      </c>
      <c r="C886" s="29">
        <v>45754</v>
      </c>
      <c r="D886" s="38" t="s">
        <v>41</v>
      </c>
      <c r="E886" s="38" t="s">
        <v>3393</v>
      </c>
      <c r="G886" s="38" t="s">
        <v>43</v>
      </c>
      <c r="H886" s="38">
        <v>10.75</v>
      </c>
      <c r="I886" s="38" t="s">
        <v>44</v>
      </c>
      <c r="J886" s="38" t="s">
        <v>45</v>
      </c>
      <c r="K886" s="38" t="s">
        <v>3394</v>
      </c>
      <c r="L886" s="30" t="s">
        <v>58</v>
      </c>
      <c r="M886" s="38" t="s">
        <v>48</v>
      </c>
      <c r="N886" s="38" t="s">
        <v>48</v>
      </c>
      <c r="O886" s="31" t="s">
        <v>325</v>
      </c>
      <c r="P886" s="28" t="s">
        <v>326</v>
      </c>
      <c r="Q886" s="38" t="s">
        <v>327</v>
      </c>
      <c r="R886" s="38">
        <v>1</v>
      </c>
      <c r="S886" s="38" t="s">
        <v>75</v>
      </c>
      <c r="T886" s="38" t="s">
        <v>53</v>
      </c>
      <c r="U886" s="38" t="s">
        <v>54</v>
      </c>
      <c r="V886" s="38" t="s">
        <v>55</v>
      </c>
      <c r="Y886" s="38">
        <v>96.68</v>
      </c>
      <c r="Z886" s="38">
        <v>1</v>
      </c>
      <c r="AF886" s="38">
        <v>85.93</v>
      </c>
      <c r="AI886" s="38">
        <v>1</v>
      </c>
      <c r="AK886" s="14" t="e">
        <f t="shared" si="3"/>
        <v>#DIV/0!</v>
      </c>
      <c r="AO886" s="28"/>
    </row>
    <row r="887" spans="1:41" ht="12.5" hidden="1">
      <c r="A887" s="28" t="s">
        <v>3395</v>
      </c>
      <c r="B887" s="37">
        <v>45730</v>
      </c>
      <c r="C887" s="29">
        <v>45761</v>
      </c>
      <c r="D887" s="38" t="s">
        <v>41</v>
      </c>
      <c r="E887" s="38" t="s">
        <v>3396</v>
      </c>
      <c r="G887" s="38" t="s">
        <v>43</v>
      </c>
      <c r="H887" s="38">
        <v>10.46</v>
      </c>
      <c r="I887" s="38" t="s">
        <v>44</v>
      </c>
      <c r="J887" s="38" t="s">
        <v>45</v>
      </c>
      <c r="K887" s="38" t="s">
        <v>3397</v>
      </c>
      <c r="L887" s="30" t="s">
        <v>58</v>
      </c>
      <c r="M887" s="38" t="s">
        <v>48</v>
      </c>
      <c r="N887" s="38" t="s">
        <v>48</v>
      </c>
      <c r="O887" s="31" t="s">
        <v>337</v>
      </c>
      <c r="P887" s="28" t="s">
        <v>338</v>
      </c>
      <c r="Q887" s="38" t="s">
        <v>1846</v>
      </c>
      <c r="R887" s="38">
        <v>1</v>
      </c>
      <c r="S887" s="38" t="s">
        <v>68</v>
      </c>
      <c r="T887" s="38" t="s">
        <v>53</v>
      </c>
      <c r="U887" s="38" t="s">
        <v>54</v>
      </c>
      <c r="V887" s="38" t="s">
        <v>55</v>
      </c>
      <c r="Y887" s="38">
        <v>75.11</v>
      </c>
      <c r="Z887" s="38">
        <v>1</v>
      </c>
      <c r="AF887" s="38">
        <v>64.650000000000006</v>
      </c>
      <c r="AI887" s="38">
        <v>4</v>
      </c>
      <c r="AJ887" s="38">
        <v>13</v>
      </c>
      <c r="AK887" s="14">
        <f t="shared" si="3"/>
        <v>0.30769230769230771</v>
      </c>
      <c r="AO887" s="28"/>
    </row>
    <row r="888" spans="1:41" ht="12.5" hidden="1">
      <c r="A888" s="28" t="s">
        <v>3398</v>
      </c>
      <c r="B888" s="39">
        <v>45751</v>
      </c>
      <c r="C888" s="29">
        <v>45760</v>
      </c>
      <c r="D888" s="38" t="s">
        <v>41</v>
      </c>
      <c r="E888" s="38" t="s">
        <v>3399</v>
      </c>
      <c r="G888" s="38" t="s">
        <v>43</v>
      </c>
      <c r="H888" s="38">
        <v>10.46</v>
      </c>
      <c r="I888" s="38" t="s">
        <v>44</v>
      </c>
      <c r="J888" s="38" t="s">
        <v>45</v>
      </c>
      <c r="K888" s="38" t="s">
        <v>3400</v>
      </c>
      <c r="L888" s="30" t="s">
        <v>47</v>
      </c>
      <c r="M888" s="38" t="s">
        <v>48</v>
      </c>
      <c r="N888" s="38" t="s">
        <v>48</v>
      </c>
      <c r="O888" s="31" t="s">
        <v>337</v>
      </c>
      <c r="P888" s="28" t="s">
        <v>338</v>
      </c>
      <c r="Q888" s="38" t="s">
        <v>1846</v>
      </c>
      <c r="R888" s="38">
        <v>1</v>
      </c>
      <c r="S888" s="38" t="s">
        <v>99</v>
      </c>
      <c r="T888" s="38" t="s">
        <v>53</v>
      </c>
      <c r="U888" s="38" t="s">
        <v>54</v>
      </c>
      <c r="V888" s="38" t="s">
        <v>55</v>
      </c>
      <c r="Y888" s="38">
        <v>75.11</v>
      </c>
      <c r="Z888" s="38">
        <v>1</v>
      </c>
      <c r="AF888" s="38">
        <v>75.11</v>
      </c>
      <c r="AK888" s="14" t="e">
        <f t="shared" si="3"/>
        <v>#DIV/0!</v>
      </c>
      <c r="AO888" s="28"/>
    </row>
    <row r="889" spans="1:41" ht="12.5" hidden="1">
      <c r="A889" s="28" t="s">
        <v>3401</v>
      </c>
      <c r="B889" s="39">
        <v>45753</v>
      </c>
      <c r="C889" s="29">
        <v>45759</v>
      </c>
      <c r="D889" s="38" t="s">
        <v>41</v>
      </c>
      <c r="E889" s="38" t="s">
        <v>3402</v>
      </c>
      <c r="G889" s="38" t="s">
        <v>43</v>
      </c>
      <c r="H889" s="38">
        <v>10.46</v>
      </c>
      <c r="I889" s="38" t="s">
        <v>44</v>
      </c>
      <c r="J889" s="38" t="s">
        <v>45</v>
      </c>
      <c r="K889" s="38" t="s">
        <v>3403</v>
      </c>
      <c r="L889" s="30" t="s">
        <v>47</v>
      </c>
      <c r="M889" s="38" t="s">
        <v>48</v>
      </c>
      <c r="N889" s="38" t="s">
        <v>48</v>
      </c>
      <c r="O889" s="31" t="s">
        <v>337</v>
      </c>
      <c r="P889" s="28" t="s">
        <v>338</v>
      </c>
      <c r="Q889" s="38" t="s">
        <v>1846</v>
      </c>
      <c r="R889" s="38">
        <v>1</v>
      </c>
      <c r="S889" s="38" t="s">
        <v>52</v>
      </c>
      <c r="T889" s="38" t="s">
        <v>53</v>
      </c>
      <c r="U889" s="38" t="s">
        <v>54</v>
      </c>
      <c r="V889" s="38" t="s">
        <v>55</v>
      </c>
      <c r="Y889" s="38">
        <v>68.900000000000006</v>
      </c>
      <c r="Z889" s="38">
        <v>1</v>
      </c>
      <c r="AF889" s="38">
        <v>68.900000000000006</v>
      </c>
      <c r="AK889" s="14" t="e">
        <f t="shared" si="3"/>
        <v>#DIV/0!</v>
      </c>
      <c r="AO889" s="28"/>
    </row>
    <row r="890" spans="1:41" ht="12.5" hidden="1">
      <c r="A890" s="28" t="s">
        <v>3404</v>
      </c>
      <c r="B890" s="39">
        <v>45751</v>
      </c>
      <c r="C890" s="29">
        <v>45759</v>
      </c>
      <c r="D890" s="38" t="s">
        <v>41</v>
      </c>
      <c r="E890" s="38" t="s">
        <v>3405</v>
      </c>
      <c r="G890" s="38" t="s">
        <v>43</v>
      </c>
      <c r="H890" s="38">
        <v>10.46</v>
      </c>
      <c r="I890" s="38" t="s">
        <v>44</v>
      </c>
      <c r="J890" s="38" t="s">
        <v>45</v>
      </c>
      <c r="K890" s="38" t="s">
        <v>3406</v>
      </c>
      <c r="L890" s="30" t="s">
        <v>47</v>
      </c>
      <c r="M890" s="38" t="s">
        <v>48</v>
      </c>
      <c r="N890" s="38" t="s">
        <v>48</v>
      </c>
      <c r="O890" s="31" t="s">
        <v>337</v>
      </c>
      <c r="P890" s="28" t="s">
        <v>338</v>
      </c>
      <c r="Q890" s="38" t="s">
        <v>1846</v>
      </c>
      <c r="R890" s="38">
        <v>1</v>
      </c>
      <c r="S890" s="38" t="s">
        <v>52</v>
      </c>
      <c r="T890" s="38" t="s">
        <v>53</v>
      </c>
      <c r="U890" s="38" t="s">
        <v>54</v>
      </c>
      <c r="V890" s="38" t="s">
        <v>55</v>
      </c>
      <c r="Y890" s="38">
        <v>73.040000000000006</v>
      </c>
      <c r="Z890" s="38">
        <v>1</v>
      </c>
      <c r="AF890" s="38">
        <v>73.040000000000006</v>
      </c>
      <c r="AK890" s="14" t="e">
        <f t="shared" si="3"/>
        <v>#DIV/0!</v>
      </c>
      <c r="AO890" s="28"/>
    </row>
    <row r="891" spans="1:41" ht="12.5" hidden="1">
      <c r="A891" s="28" t="s">
        <v>3407</v>
      </c>
      <c r="B891" s="39">
        <v>45754</v>
      </c>
      <c r="C891" s="29">
        <v>45757</v>
      </c>
      <c r="D891" s="38" t="s">
        <v>41</v>
      </c>
      <c r="E891" s="38" t="s">
        <v>3408</v>
      </c>
      <c r="G891" s="38" t="s">
        <v>43</v>
      </c>
      <c r="H891" s="38">
        <v>12.75</v>
      </c>
      <c r="I891" s="38" t="s">
        <v>44</v>
      </c>
      <c r="J891" s="38" t="s">
        <v>45</v>
      </c>
      <c r="K891" s="38" t="s">
        <v>3409</v>
      </c>
      <c r="L891" s="30" t="s">
        <v>58</v>
      </c>
      <c r="M891" s="38" t="s">
        <v>48</v>
      </c>
      <c r="N891" s="38" t="s">
        <v>48</v>
      </c>
      <c r="O891" s="31" t="s">
        <v>357</v>
      </c>
      <c r="P891" s="28" t="s">
        <v>358</v>
      </c>
      <c r="Q891" s="38" t="s">
        <v>359</v>
      </c>
      <c r="R891" s="38">
        <v>1</v>
      </c>
      <c r="S891" s="38" t="s">
        <v>68</v>
      </c>
      <c r="T891" s="38" t="s">
        <v>53</v>
      </c>
      <c r="U891" s="38" t="s">
        <v>54</v>
      </c>
      <c r="V891" s="38" t="s">
        <v>55</v>
      </c>
      <c r="Y891" s="38">
        <v>74.400000000000006</v>
      </c>
      <c r="Z891" s="38">
        <v>1</v>
      </c>
      <c r="AF891" s="38">
        <v>61.65</v>
      </c>
      <c r="AI891" s="38">
        <v>1</v>
      </c>
      <c r="AJ891" s="38">
        <v>10</v>
      </c>
      <c r="AK891" s="14">
        <f t="shared" si="3"/>
        <v>0.1</v>
      </c>
      <c r="AO891" s="28"/>
    </row>
    <row r="892" spans="1:41" ht="12.5" hidden="1">
      <c r="A892" s="28" t="s">
        <v>3410</v>
      </c>
      <c r="B892" s="37">
        <v>45731</v>
      </c>
      <c r="C892" s="29">
        <v>45755</v>
      </c>
      <c r="D892" s="38" t="s">
        <v>41</v>
      </c>
      <c r="E892" s="38" t="s">
        <v>3411</v>
      </c>
      <c r="G892" s="38" t="s">
        <v>43</v>
      </c>
      <c r="H892" s="38">
        <v>10.46</v>
      </c>
      <c r="I892" s="38" t="s">
        <v>44</v>
      </c>
      <c r="J892" s="38" t="s">
        <v>45</v>
      </c>
      <c r="K892" s="38" t="s">
        <v>3412</v>
      </c>
      <c r="L892" s="30" t="s">
        <v>47</v>
      </c>
      <c r="M892" s="38" t="s">
        <v>48</v>
      </c>
      <c r="N892" s="38" t="s">
        <v>48</v>
      </c>
      <c r="O892" s="31" t="s">
        <v>369</v>
      </c>
      <c r="P892" s="28" t="s">
        <v>370</v>
      </c>
      <c r="Q892" s="38" t="s">
        <v>2970</v>
      </c>
      <c r="R892" s="38">
        <v>1</v>
      </c>
      <c r="S892" s="38" t="s">
        <v>99</v>
      </c>
      <c r="T892" s="38" t="s">
        <v>53</v>
      </c>
      <c r="U892" s="38" t="s">
        <v>54</v>
      </c>
      <c r="V892" s="38" t="s">
        <v>55</v>
      </c>
      <c r="Y892" s="38">
        <v>80.73</v>
      </c>
      <c r="Z892" s="38">
        <v>1</v>
      </c>
      <c r="AF892" s="38">
        <v>80.73</v>
      </c>
      <c r="AI892" s="38">
        <v>1</v>
      </c>
      <c r="AJ892" s="38">
        <v>5</v>
      </c>
      <c r="AK892" s="14">
        <f t="shared" si="3"/>
        <v>0.2</v>
      </c>
      <c r="AO892" s="28"/>
    </row>
    <row r="893" spans="1:41" ht="12.5" hidden="1">
      <c r="A893" s="28" t="s">
        <v>3413</v>
      </c>
      <c r="B893" s="39">
        <v>45754</v>
      </c>
      <c r="C893" s="29">
        <v>45757</v>
      </c>
      <c r="D893" s="38" t="s">
        <v>41</v>
      </c>
      <c r="E893" s="38" t="s">
        <v>3414</v>
      </c>
      <c r="G893" s="38" t="s">
        <v>43</v>
      </c>
      <c r="H893" s="38">
        <v>9.6999999999999993</v>
      </c>
      <c r="I893" s="38" t="s">
        <v>44</v>
      </c>
      <c r="J893" s="38" t="s">
        <v>45</v>
      </c>
      <c r="K893" s="38" t="s">
        <v>3415</v>
      </c>
      <c r="L893" s="30" t="s">
        <v>47</v>
      </c>
      <c r="M893" s="38" t="s">
        <v>48</v>
      </c>
      <c r="N893" s="38" t="s">
        <v>48</v>
      </c>
      <c r="O893" s="31" t="s">
        <v>2554</v>
      </c>
      <c r="P893" s="28" t="s">
        <v>2555</v>
      </c>
      <c r="Q893" s="38" t="s">
        <v>2556</v>
      </c>
      <c r="R893" s="38">
        <v>1</v>
      </c>
      <c r="S893" s="38" t="s">
        <v>99</v>
      </c>
      <c r="T893" s="38" t="s">
        <v>53</v>
      </c>
      <c r="U893" s="38" t="s">
        <v>54</v>
      </c>
      <c r="V893" s="38" t="s">
        <v>55</v>
      </c>
      <c r="Y893" s="38">
        <v>77.28</v>
      </c>
      <c r="Z893" s="38">
        <v>1</v>
      </c>
      <c r="AF893" s="38">
        <v>77.28</v>
      </c>
      <c r="AI893" s="38">
        <v>2</v>
      </c>
      <c r="AJ893" s="38">
        <v>8</v>
      </c>
      <c r="AK893" s="14">
        <f t="shared" si="3"/>
        <v>0.25</v>
      </c>
      <c r="AO893" s="28"/>
    </row>
    <row r="894" spans="1:41" ht="12.5" hidden="1">
      <c r="A894" s="28" t="s">
        <v>3416</v>
      </c>
      <c r="B894" s="37">
        <v>45745</v>
      </c>
      <c r="C894" s="29">
        <v>45749</v>
      </c>
      <c r="D894" s="38" t="s">
        <v>41</v>
      </c>
      <c r="E894" s="38" t="s">
        <v>3417</v>
      </c>
      <c r="G894" s="38" t="s">
        <v>43</v>
      </c>
      <c r="H894" s="38">
        <v>9.64</v>
      </c>
      <c r="I894" s="38" t="s">
        <v>44</v>
      </c>
      <c r="J894" s="38" t="s">
        <v>45</v>
      </c>
      <c r="K894" s="38" t="s">
        <v>3418</v>
      </c>
      <c r="L894" s="30" t="s">
        <v>58</v>
      </c>
      <c r="M894" s="38" t="s">
        <v>48</v>
      </c>
      <c r="N894" s="38" t="s">
        <v>48</v>
      </c>
      <c r="O894" s="31" t="s">
        <v>2554</v>
      </c>
      <c r="P894" s="28" t="s">
        <v>2555</v>
      </c>
      <c r="Q894" s="38" t="s">
        <v>2556</v>
      </c>
      <c r="R894" s="38">
        <v>1</v>
      </c>
      <c r="S894" s="38" t="s">
        <v>75</v>
      </c>
      <c r="T894" s="38" t="s">
        <v>53</v>
      </c>
      <c r="U894" s="38" t="s">
        <v>54</v>
      </c>
      <c r="V894" s="38" t="s">
        <v>55</v>
      </c>
      <c r="Y894" s="38">
        <v>79.47</v>
      </c>
      <c r="Z894" s="38">
        <v>1</v>
      </c>
      <c r="AF894" s="38">
        <v>69.83</v>
      </c>
      <c r="AK894" s="14" t="e">
        <f t="shared" si="3"/>
        <v>#DIV/0!</v>
      </c>
      <c r="AO894" s="28"/>
    </row>
    <row r="895" spans="1:41" ht="12.5" hidden="1">
      <c r="A895" s="28" t="s">
        <v>3419</v>
      </c>
      <c r="B895" s="37">
        <v>45742</v>
      </c>
      <c r="C895" s="29">
        <v>45748</v>
      </c>
      <c r="D895" s="38" t="s">
        <v>41</v>
      </c>
      <c r="E895" s="38" t="s">
        <v>3420</v>
      </c>
      <c r="G895" s="38" t="s">
        <v>43</v>
      </c>
      <c r="H895" s="38">
        <v>12.22</v>
      </c>
      <c r="I895" s="38" t="s">
        <v>44</v>
      </c>
      <c r="J895" s="38" t="s">
        <v>45</v>
      </c>
      <c r="K895" s="38" t="s">
        <v>3421</v>
      </c>
      <c r="L895" s="30" t="s">
        <v>47</v>
      </c>
      <c r="M895" s="38" t="s">
        <v>48</v>
      </c>
      <c r="N895" s="38" t="s">
        <v>48</v>
      </c>
      <c r="O895" s="31" t="s">
        <v>1223</v>
      </c>
      <c r="P895" s="28" t="s">
        <v>1224</v>
      </c>
      <c r="Q895" s="38" t="s">
        <v>1225</v>
      </c>
      <c r="R895" s="38">
        <v>1</v>
      </c>
      <c r="S895" s="38" t="s">
        <v>52</v>
      </c>
      <c r="T895" s="38" t="s">
        <v>53</v>
      </c>
      <c r="U895" s="38" t="s">
        <v>54</v>
      </c>
      <c r="V895" s="38" t="s">
        <v>55</v>
      </c>
      <c r="Y895" s="38">
        <v>107.06</v>
      </c>
      <c r="Z895" s="38">
        <v>1</v>
      </c>
      <c r="AF895" s="38">
        <v>107.06</v>
      </c>
      <c r="AI895" s="38">
        <v>1</v>
      </c>
      <c r="AJ895" s="38">
        <v>1</v>
      </c>
      <c r="AK895" s="14">
        <f t="shared" si="3"/>
        <v>1</v>
      </c>
      <c r="AO895" s="28"/>
    </row>
    <row r="896" spans="1:41" ht="12.5" hidden="1">
      <c r="A896" s="28" t="s">
        <v>3422</v>
      </c>
      <c r="B896" s="39">
        <v>45756</v>
      </c>
      <c r="C896" s="29">
        <v>45758</v>
      </c>
      <c r="D896" s="38" t="s">
        <v>41</v>
      </c>
      <c r="E896" s="38" t="s">
        <v>3423</v>
      </c>
      <c r="G896" s="38" t="s">
        <v>43</v>
      </c>
      <c r="H896" s="38">
        <v>14.14</v>
      </c>
      <c r="I896" s="38" t="s">
        <v>44</v>
      </c>
      <c r="J896" s="38" t="s">
        <v>45</v>
      </c>
      <c r="K896" s="38" t="s">
        <v>3424</v>
      </c>
      <c r="L896" s="30" t="s">
        <v>58</v>
      </c>
      <c r="M896" s="38" t="s">
        <v>48</v>
      </c>
      <c r="N896" s="38" t="s">
        <v>48</v>
      </c>
      <c r="O896" s="31" t="s">
        <v>3425</v>
      </c>
      <c r="P896" s="28" t="s">
        <v>3426</v>
      </c>
      <c r="Q896" s="38" t="s">
        <v>3427</v>
      </c>
      <c r="R896" s="38">
        <v>1</v>
      </c>
      <c r="S896" s="38" t="s">
        <v>2716</v>
      </c>
      <c r="T896" s="38" t="s">
        <v>53</v>
      </c>
      <c r="U896" s="38" t="s">
        <v>54</v>
      </c>
      <c r="V896" s="38" t="s">
        <v>61</v>
      </c>
      <c r="Z896" s="38">
        <v>1</v>
      </c>
      <c r="AI896" s="38">
        <v>2</v>
      </c>
      <c r="AJ896" s="38">
        <v>1</v>
      </c>
      <c r="AK896" s="14">
        <f t="shared" si="3"/>
        <v>2</v>
      </c>
      <c r="AO896" s="28"/>
    </row>
    <row r="897" spans="1:41" ht="12.5" hidden="1">
      <c r="A897" s="28" t="s">
        <v>3428</v>
      </c>
      <c r="B897" s="37">
        <v>45727</v>
      </c>
      <c r="C897" s="29">
        <v>45756</v>
      </c>
      <c r="D897" s="38" t="s">
        <v>41</v>
      </c>
      <c r="E897" s="38" t="s">
        <v>3429</v>
      </c>
      <c r="G897" s="38" t="s">
        <v>43</v>
      </c>
      <c r="H897" s="38">
        <v>14.14</v>
      </c>
      <c r="I897" s="38" t="s">
        <v>44</v>
      </c>
      <c r="J897" s="38" t="s">
        <v>45</v>
      </c>
      <c r="K897" s="38" t="s">
        <v>3430</v>
      </c>
      <c r="L897" s="30" t="s">
        <v>47</v>
      </c>
      <c r="M897" s="38" t="s">
        <v>48</v>
      </c>
      <c r="N897" s="38" t="s">
        <v>48</v>
      </c>
      <c r="O897" s="31" t="s">
        <v>3425</v>
      </c>
      <c r="P897" s="28" t="s">
        <v>3426</v>
      </c>
      <c r="Q897" s="38" t="s">
        <v>3427</v>
      </c>
      <c r="R897" s="38">
        <v>1</v>
      </c>
      <c r="S897" s="38" t="s">
        <v>92</v>
      </c>
      <c r="T897" s="38" t="s">
        <v>53</v>
      </c>
      <c r="U897" s="38" t="s">
        <v>54</v>
      </c>
      <c r="V897" s="38" t="s">
        <v>560</v>
      </c>
      <c r="Y897" s="38">
        <v>115.48</v>
      </c>
      <c r="Z897" s="38">
        <v>1</v>
      </c>
      <c r="AF897" s="38">
        <v>100.53</v>
      </c>
      <c r="AK897" s="14" t="e">
        <f t="shared" si="3"/>
        <v>#DIV/0!</v>
      </c>
      <c r="AO897" s="28"/>
    </row>
    <row r="898" spans="1:41" ht="12.5" hidden="1">
      <c r="A898" s="28" t="s">
        <v>3431</v>
      </c>
      <c r="B898" s="39">
        <v>45752</v>
      </c>
      <c r="C898" s="29">
        <v>45759</v>
      </c>
      <c r="D898" s="38" t="s">
        <v>41</v>
      </c>
      <c r="E898" s="38" t="s">
        <v>3432</v>
      </c>
      <c r="G898" s="38" t="s">
        <v>43</v>
      </c>
      <c r="H898" s="38">
        <v>17.59</v>
      </c>
      <c r="I898" s="38" t="s">
        <v>44</v>
      </c>
      <c r="J898" s="38" t="s">
        <v>45</v>
      </c>
      <c r="K898" s="38" t="s">
        <v>3433</v>
      </c>
      <c r="L898" s="30" t="s">
        <v>47</v>
      </c>
      <c r="M898" s="38" t="s">
        <v>48</v>
      </c>
      <c r="N898" s="38" t="s">
        <v>48</v>
      </c>
      <c r="O898" s="31" t="s">
        <v>437</v>
      </c>
      <c r="P898" s="28" t="s">
        <v>438</v>
      </c>
      <c r="Q898" s="38" t="s">
        <v>2246</v>
      </c>
      <c r="R898" s="38">
        <v>1</v>
      </c>
      <c r="S898" s="38" t="s">
        <v>52</v>
      </c>
      <c r="T898" s="38" t="s">
        <v>53</v>
      </c>
      <c r="U898" s="38" t="s">
        <v>54</v>
      </c>
      <c r="V898" s="38" t="s">
        <v>61</v>
      </c>
      <c r="Y898" s="38">
        <v>122.86</v>
      </c>
      <c r="Z898" s="38">
        <v>1</v>
      </c>
      <c r="AI898" s="38">
        <v>2</v>
      </c>
      <c r="AJ898" s="38">
        <v>9</v>
      </c>
      <c r="AK898" s="14">
        <f t="shared" si="3"/>
        <v>0.22222222222222221</v>
      </c>
      <c r="AO898" s="28"/>
    </row>
    <row r="899" spans="1:41" ht="12.5" hidden="1">
      <c r="A899" s="28" t="s">
        <v>3434</v>
      </c>
      <c r="B899" s="37">
        <v>45745</v>
      </c>
      <c r="C899" s="29">
        <v>45754</v>
      </c>
      <c r="D899" s="38" t="s">
        <v>41</v>
      </c>
      <c r="E899" s="38" t="s">
        <v>3435</v>
      </c>
      <c r="G899" s="38" t="s">
        <v>43</v>
      </c>
      <c r="H899" s="38">
        <v>17.59</v>
      </c>
      <c r="I899" s="38" t="s">
        <v>44</v>
      </c>
      <c r="J899" s="38" t="s">
        <v>45</v>
      </c>
      <c r="K899" s="38" t="s">
        <v>3436</v>
      </c>
      <c r="L899" s="30" t="s">
        <v>47</v>
      </c>
      <c r="M899" s="38" t="s">
        <v>48</v>
      </c>
      <c r="N899" s="38" t="s">
        <v>48</v>
      </c>
      <c r="O899" s="31" t="s">
        <v>437</v>
      </c>
      <c r="P899" s="28" t="s">
        <v>438</v>
      </c>
      <c r="Q899" s="38" t="s">
        <v>2246</v>
      </c>
      <c r="R899" s="38">
        <v>1</v>
      </c>
      <c r="S899" s="38" t="s">
        <v>99</v>
      </c>
      <c r="T899" s="38" t="s">
        <v>53</v>
      </c>
      <c r="U899" s="38" t="s">
        <v>54</v>
      </c>
      <c r="V899" s="38" t="s">
        <v>240</v>
      </c>
      <c r="Y899" s="38">
        <v>125.46</v>
      </c>
      <c r="Z899" s="38">
        <v>1</v>
      </c>
      <c r="AF899" s="38">
        <v>125.46</v>
      </c>
      <c r="AK899" s="14" t="e">
        <f t="shared" si="3"/>
        <v>#DIV/0!</v>
      </c>
      <c r="AO899" s="28"/>
    </row>
    <row r="900" spans="1:41" ht="12.5" hidden="1">
      <c r="A900" s="28" t="s">
        <v>3437</v>
      </c>
      <c r="B900" s="39">
        <v>45749</v>
      </c>
      <c r="C900" s="29">
        <v>45759</v>
      </c>
      <c r="D900" s="38" t="s">
        <v>41</v>
      </c>
      <c r="E900" s="38" t="s">
        <v>3438</v>
      </c>
      <c r="G900" s="38" t="s">
        <v>43</v>
      </c>
      <c r="H900" s="38">
        <v>11.59</v>
      </c>
      <c r="I900" s="38" t="s">
        <v>44</v>
      </c>
      <c r="J900" s="38" t="s">
        <v>45</v>
      </c>
      <c r="K900" s="38" t="s">
        <v>3439</v>
      </c>
      <c r="L900" s="30" t="s">
        <v>47</v>
      </c>
      <c r="M900" s="38" t="s">
        <v>48</v>
      </c>
      <c r="N900" s="38" t="s">
        <v>48</v>
      </c>
      <c r="O900" s="31" t="s">
        <v>443</v>
      </c>
      <c r="P900" s="28" t="s">
        <v>444</v>
      </c>
      <c r="Q900" s="38" t="s">
        <v>445</v>
      </c>
      <c r="R900" s="38">
        <v>1</v>
      </c>
      <c r="S900" s="38" t="s">
        <v>99</v>
      </c>
      <c r="T900" s="38" t="s">
        <v>53</v>
      </c>
      <c r="U900" s="38" t="s">
        <v>54</v>
      </c>
      <c r="V900" s="38" t="s">
        <v>61</v>
      </c>
      <c r="Y900" s="38">
        <v>120.9</v>
      </c>
      <c r="Z900" s="38">
        <v>1</v>
      </c>
      <c r="AI900" s="38">
        <v>5</v>
      </c>
      <c r="AJ900" s="38">
        <v>14</v>
      </c>
      <c r="AK900" s="14">
        <f t="shared" si="3"/>
        <v>0.35714285714285715</v>
      </c>
      <c r="AO900" s="28"/>
    </row>
    <row r="901" spans="1:41" ht="12.5" hidden="1">
      <c r="A901" s="28" t="s">
        <v>3440</v>
      </c>
      <c r="B901" s="39">
        <v>45752</v>
      </c>
      <c r="C901" s="29">
        <v>45756</v>
      </c>
      <c r="D901" s="38" t="s">
        <v>41</v>
      </c>
      <c r="E901" s="38" t="s">
        <v>3441</v>
      </c>
      <c r="G901" s="38" t="s">
        <v>43</v>
      </c>
      <c r="H901" s="38">
        <v>11.59</v>
      </c>
      <c r="I901" s="38" t="s">
        <v>44</v>
      </c>
      <c r="J901" s="38" t="s">
        <v>45</v>
      </c>
      <c r="K901" s="38" t="s">
        <v>3442</v>
      </c>
      <c r="L901" s="30" t="s">
        <v>47</v>
      </c>
      <c r="M901" s="38" t="s">
        <v>48</v>
      </c>
      <c r="N901" s="38" t="s">
        <v>48</v>
      </c>
      <c r="O901" s="31" t="s">
        <v>443</v>
      </c>
      <c r="P901" s="28" t="s">
        <v>444</v>
      </c>
      <c r="Q901" s="38" t="s">
        <v>445</v>
      </c>
      <c r="R901" s="38">
        <v>1</v>
      </c>
      <c r="S901" s="38" t="s">
        <v>52</v>
      </c>
      <c r="T901" s="38" t="s">
        <v>53</v>
      </c>
      <c r="U901" s="38" t="s">
        <v>54</v>
      </c>
      <c r="V901" s="38" t="s">
        <v>61</v>
      </c>
      <c r="Y901" s="38">
        <v>123.81</v>
      </c>
      <c r="Z901" s="38">
        <v>1</v>
      </c>
      <c r="AK901" s="14" t="e">
        <f t="shared" si="3"/>
        <v>#DIV/0!</v>
      </c>
      <c r="AO901" s="28"/>
    </row>
    <row r="902" spans="1:41" ht="12.5" hidden="1">
      <c r="A902" s="28" t="s">
        <v>3443</v>
      </c>
      <c r="B902" s="39">
        <v>45752</v>
      </c>
      <c r="C902" s="29">
        <v>45755</v>
      </c>
      <c r="D902" s="38" t="s">
        <v>41</v>
      </c>
      <c r="E902" s="38" t="s">
        <v>3444</v>
      </c>
      <c r="G902" s="38" t="s">
        <v>43</v>
      </c>
      <c r="H902" s="38">
        <v>11.59</v>
      </c>
      <c r="I902" s="38" t="s">
        <v>44</v>
      </c>
      <c r="J902" s="38" t="s">
        <v>45</v>
      </c>
      <c r="K902" s="38" t="s">
        <v>3445</v>
      </c>
      <c r="L902" s="30" t="s">
        <v>47</v>
      </c>
      <c r="M902" s="38" t="s">
        <v>48</v>
      </c>
      <c r="N902" s="38" t="s">
        <v>48</v>
      </c>
      <c r="O902" s="31" t="s">
        <v>443</v>
      </c>
      <c r="P902" s="28" t="s">
        <v>444</v>
      </c>
      <c r="Q902" s="38" t="s">
        <v>445</v>
      </c>
      <c r="R902" s="38">
        <v>1</v>
      </c>
      <c r="S902" s="38" t="s">
        <v>99</v>
      </c>
      <c r="T902" s="38" t="s">
        <v>53</v>
      </c>
      <c r="U902" s="38" t="s">
        <v>54</v>
      </c>
      <c r="V902" s="38" t="s">
        <v>55</v>
      </c>
      <c r="Y902" s="38">
        <v>120.9</v>
      </c>
      <c r="Z902" s="38">
        <v>1</v>
      </c>
      <c r="AF902" s="38">
        <v>120.9</v>
      </c>
      <c r="AK902" s="14" t="e">
        <f t="shared" si="3"/>
        <v>#DIV/0!</v>
      </c>
      <c r="AO902" s="28"/>
    </row>
    <row r="903" spans="1:41" ht="12.5" hidden="1">
      <c r="A903" s="28" t="s">
        <v>3446</v>
      </c>
      <c r="B903" s="37">
        <v>45735</v>
      </c>
      <c r="C903" s="29">
        <v>45753</v>
      </c>
      <c r="D903" s="38" t="s">
        <v>41</v>
      </c>
      <c r="E903" s="38" t="s">
        <v>3447</v>
      </c>
      <c r="G903" s="38" t="s">
        <v>43</v>
      </c>
      <c r="H903" s="38">
        <v>11.52</v>
      </c>
      <c r="I903" s="38" t="s">
        <v>44</v>
      </c>
      <c r="J903" s="38" t="s">
        <v>45</v>
      </c>
      <c r="K903" s="38" t="s">
        <v>3448</v>
      </c>
      <c r="L903" s="30" t="s">
        <v>47</v>
      </c>
      <c r="M903" s="38" t="s">
        <v>48</v>
      </c>
      <c r="N903" s="38" t="s">
        <v>48</v>
      </c>
      <c r="O903" s="31" t="s">
        <v>443</v>
      </c>
      <c r="P903" s="28" t="s">
        <v>444</v>
      </c>
      <c r="Q903" s="38" t="s">
        <v>445</v>
      </c>
      <c r="R903" s="38">
        <v>1</v>
      </c>
      <c r="S903" s="38" t="s">
        <v>99</v>
      </c>
      <c r="T903" s="38" t="s">
        <v>53</v>
      </c>
      <c r="U903" s="38" t="s">
        <v>54</v>
      </c>
      <c r="V903" s="38" t="s">
        <v>55</v>
      </c>
      <c r="Y903" s="38">
        <v>122.95</v>
      </c>
      <c r="Z903" s="38">
        <v>1</v>
      </c>
      <c r="AF903" s="38">
        <v>122.95</v>
      </c>
      <c r="AK903" s="14" t="e">
        <f t="shared" si="3"/>
        <v>#DIV/0!</v>
      </c>
      <c r="AO903" s="28"/>
    </row>
    <row r="904" spans="1:41" ht="12.5" hidden="1">
      <c r="A904" s="28" t="s">
        <v>3449</v>
      </c>
      <c r="B904" s="37">
        <v>45742</v>
      </c>
      <c r="C904" s="29">
        <v>45748</v>
      </c>
      <c r="D904" s="38" t="s">
        <v>41</v>
      </c>
      <c r="E904" s="38" t="s">
        <v>3450</v>
      </c>
      <c r="G904" s="38" t="s">
        <v>43</v>
      </c>
      <c r="H904" s="38">
        <v>11.52</v>
      </c>
      <c r="I904" s="38" t="s">
        <v>44</v>
      </c>
      <c r="J904" s="38" t="s">
        <v>45</v>
      </c>
      <c r="K904" s="38" t="s">
        <v>3451</v>
      </c>
      <c r="L904" s="30" t="s">
        <v>58</v>
      </c>
      <c r="M904" s="38" t="s">
        <v>48</v>
      </c>
      <c r="N904" s="38" t="s">
        <v>48</v>
      </c>
      <c r="O904" s="31" t="s">
        <v>443</v>
      </c>
      <c r="P904" s="28" t="s">
        <v>444</v>
      </c>
      <c r="Q904" s="38" t="s">
        <v>445</v>
      </c>
      <c r="R904" s="38">
        <v>1</v>
      </c>
      <c r="S904" s="38" t="s">
        <v>75</v>
      </c>
      <c r="T904" s="38" t="s">
        <v>53</v>
      </c>
      <c r="U904" s="38" t="s">
        <v>54</v>
      </c>
      <c r="V904" s="38" t="s">
        <v>240</v>
      </c>
      <c r="Y904" s="38">
        <v>122.51</v>
      </c>
      <c r="Z904" s="38">
        <v>1</v>
      </c>
      <c r="AF904" s="38">
        <v>95.05</v>
      </c>
      <c r="AK904" s="14" t="e">
        <f t="shared" si="3"/>
        <v>#DIV/0!</v>
      </c>
      <c r="AO904" s="28"/>
    </row>
    <row r="905" spans="1:41" ht="12.5" hidden="1">
      <c r="A905" s="28" t="s">
        <v>3452</v>
      </c>
      <c r="B905" s="39">
        <v>45755</v>
      </c>
      <c r="C905" s="29">
        <v>45758</v>
      </c>
      <c r="D905" s="38" t="s">
        <v>41</v>
      </c>
      <c r="E905" s="38" t="s">
        <v>3453</v>
      </c>
      <c r="G905" s="38" t="s">
        <v>137</v>
      </c>
      <c r="H905" s="38">
        <v>0</v>
      </c>
      <c r="L905" s="30" t="s">
        <v>47</v>
      </c>
      <c r="M905" s="38" t="s">
        <v>48</v>
      </c>
      <c r="N905" s="38" t="s">
        <v>48</v>
      </c>
      <c r="O905" s="31" t="s">
        <v>455</v>
      </c>
      <c r="P905" s="28" t="s">
        <v>456</v>
      </c>
      <c r="Q905" s="38" t="s">
        <v>2575</v>
      </c>
      <c r="R905" s="38">
        <v>1</v>
      </c>
      <c r="S905" s="38" t="s">
        <v>92</v>
      </c>
      <c r="T905" s="38" t="s">
        <v>53</v>
      </c>
      <c r="U905" s="38" t="s">
        <v>54</v>
      </c>
      <c r="V905" s="38" t="s">
        <v>61</v>
      </c>
      <c r="Y905" s="38">
        <v>73.34</v>
      </c>
      <c r="Z905" s="38">
        <v>1</v>
      </c>
      <c r="AI905" s="38">
        <v>2</v>
      </c>
      <c r="AJ905" s="38">
        <v>11</v>
      </c>
      <c r="AK905" s="14">
        <f t="shared" si="3"/>
        <v>0.18181818181818182</v>
      </c>
      <c r="AO905" s="28"/>
    </row>
    <row r="906" spans="1:41" ht="12.5" hidden="1">
      <c r="A906" s="28" t="s">
        <v>3454</v>
      </c>
      <c r="B906" s="37">
        <v>45742</v>
      </c>
      <c r="C906" s="29">
        <v>45748</v>
      </c>
      <c r="D906" s="38" t="s">
        <v>41</v>
      </c>
      <c r="E906" s="38" t="s">
        <v>3455</v>
      </c>
      <c r="G906" s="38" t="s">
        <v>137</v>
      </c>
      <c r="H906" s="38">
        <v>0</v>
      </c>
      <c r="L906" s="30" t="s">
        <v>47</v>
      </c>
      <c r="M906" s="38" t="s">
        <v>48</v>
      </c>
      <c r="N906" s="38" t="s">
        <v>48</v>
      </c>
      <c r="O906" s="31" t="s">
        <v>455</v>
      </c>
      <c r="P906" s="28" t="s">
        <v>456</v>
      </c>
      <c r="Q906" s="38" t="s">
        <v>2575</v>
      </c>
      <c r="R906" s="38">
        <v>1</v>
      </c>
      <c r="S906" s="38" t="s">
        <v>82</v>
      </c>
      <c r="T906" s="38" t="s">
        <v>53</v>
      </c>
      <c r="U906" s="38" t="s">
        <v>54</v>
      </c>
      <c r="V906" s="38" t="s">
        <v>560</v>
      </c>
      <c r="Y906" s="38">
        <v>71.209999999999994</v>
      </c>
      <c r="AK906" s="14" t="e">
        <f t="shared" si="3"/>
        <v>#DIV/0!</v>
      </c>
      <c r="AM906" s="45" t="s">
        <v>3284</v>
      </c>
      <c r="AO906" s="28"/>
    </row>
    <row r="907" spans="1:41" ht="12.5" hidden="1">
      <c r="A907" s="28" t="s">
        <v>3456</v>
      </c>
      <c r="B907" s="37">
        <v>45731</v>
      </c>
      <c r="C907" s="29">
        <v>45748</v>
      </c>
      <c r="D907" s="38" t="s">
        <v>41</v>
      </c>
      <c r="E907" s="38" t="s">
        <v>3457</v>
      </c>
      <c r="G907" s="38" t="s">
        <v>43</v>
      </c>
      <c r="H907" s="38">
        <v>10.4</v>
      </c>
      <c r="I907" s="38" t="s">
        <v>44</v>
      </c>
      <c r="J907" s="38" t="s">
        <v>45</v>
      </c>
      <c r="K907" s="38" t="s">
        <v>3458</v>
      </c>
      <c r="L907" s="30" t="s">
        <v>47</v>
      </c>
      <c r="M907" s="38" t="s">
        <v>48</v>
      </c>
      <c r="N907" s="38" t="s">
        <v>48</v>
      </c>
      <c r="O907" s="31" t="s">
        <v>1259</v>
      </c>
      <c r="P907" s="28" t="s">
        <v>1260</v>
      </c>
      <c r="Q907" s="38" t="s">
        <v>1261</v>
      </c>
      <c r="R907" s="38">
        <v>1</v>
      </c>
      <c r="S907" s="38" t="s">
        <v>856</v>
      </c>
      <c r="T907" s="38" t="s">
        <v>53</v>
      </c>
      <c r="U907" s="38" t="s">
        <v>54</v>
      </c>
      <c r="V907" s="38" t="s">
        <v>560</v>
      </c>
      <c r="Y907" s="38">
        <v>65.62</v>
      </c>
      <c r="Z907" s="38">
        <v>1</v>
      </c>
      <c r="AI907" s="38">
        <v>1</v>
      </c>
      <c r="AJ907" s="38">
        <v>14</v>
      </c>
      <c r="AK907" s="14">
        <f t="shared" si="3"/>
        <v>7.1428571428571425E-2</v>
      </c>
      <c r="AM907" s="45" t="s">
        <v>3284</v>
      </c>
      <c r="AO907" s="28"/>
    </row>
    <row r="908" spans="1:41" ht="12.5" hidden="1">
      <c r="A908" s="28" t="s">
        <v>3459</v>
      </c>
      <c r="B908" s="39">
        <v>45749</v>
      </c>
      <c r="C908" s="29">
        <v>45752</v>
      </c>
      <c r="D908" s="38" t="s">
        <v>41</v>
      </c>
      <c r="E908" s="38" t="s">
        <v>3460</v>
      </c>
      <c r="G908" s="38" t="s">
        <v>43</v>
      </c>
      <c r="H908" s="38">
        <v>14.98</v>
      </c>
      <c r="I908" s="38" t="s">
        <v>44</v>
      </c>
      <c r="J908" s="38" t="s">
        <v>45</v>
      </c>
      <c r="K908" s="38" t="s">
        <v>3461</v>
      </c>
      <c r="L908" s="30" t="s">
        <v>47</v>
      </c>
      <c r="M908" s="38" t="s">
        <v>48</v>
      </c>
      <c r="N908" s="38" t="s">
        <v>48</v>
      </c>
      <c r="O908" s="31" t="s">
        <v>1891</v>
      </c>
      <c r="P908" s="28" t="s">
        <v>1892</v>
      </c>
      <c r="Q908" s="38" t="s">
        <v>1893</v>
      </c>
      <c r="R908" s="38">
        <v>1</v>
      </c>
      <c r="S908" s="38" t="s">
        <v>52</v>
      </c>
      <c r="T908" s="38" t="s">
        <v>53</v>
      </c>
      <c r="U908" s="38" t="s">
        <v>54</v>
      </c>
      <c r="V908" s="38" t="s">
        <v>240</v>
      </c>
      <c r="Y908" s="38">
        <v>96.23</v>
      </c>
      <c r="Z908" s="38">
        <v>1</v>
      </c>
      <c r="AF908" s="38">
        <v>96.23</v>
      </c>
      <c r="AI908" s="38">
        <v>1</v>
      </c>
      <c r="AJ908" s="38">
        <v>2</v>
      </c>
      <c r="AK908" s="14">
        <f t="shared" si="3"/>
        <v>0.5</v>
      </c>
      <c r="AO908" s="28"/>
    </row>
    <row r="909" spans="1:41" ht="12.5" hidden="1">
      <c r="A909" s="28" t="s">
        <v>3462</v>
      </c>
      <c r="B909" s="39">
        <v>45749</v>
      </c>
      <c r="C909" s="29">
        <v>45759</v>
      </c>
      <c r="D909" s="38" t="s">
        <v>41</v>
      </c>
      <c r="E909" s="38" t="s">
        <v>3463</v>
      </c>
      <c r="G909" s="38" t="s">
        <v>43</v>
      </c>
      <c r="H909" s="38">
        <v>67.98</v>
      </c>
      <c r="I909" s="38" t="s">
        <v>44</v>
      </c>
      <c r="J909" s="38" t="s">
        <v>45</v>
      </c>
      <c r="K909" s="38" t="s">
        <v>3464</v>
      </c>
      <c r="L909" s="30" t="s">
        <v>47</v>
      </c>
      <c r="M909" s="38" t="s">
        <v>48</v>
      </c>
      <c r="N909" s="38" t="s">
        <v>48</v>
      </c>
      <c r="O909" s="31" t="s">
        <v>511</v>
      </c>
      <c r="P909" s="28" t="s">
        <v>512</v>
      </c>
      <c r="Q909" s="38" t="s">
        <v>513</v>
      </c>
      <c r="R909" s="38">
        <v>1</v>
      </c>
      <c r="S909" s="38" t="s">
        <v>99</v>
      </c>
      <c r="T909" s="38" t="s">
        <v>53</v>
      </c>
      <c r="U909" s="38" t="s">
        <v>54</v>
      </c>
      <c r="V909" s="38" t="s">
        <v>55</v>
      </c>
      <c r="Y909" s="38">
        <v>76.58</v>
      </c>
      <c r="Z909" s="38">
        <v>1</v>
      </c>
      <c r="AF909" s="38">
        <v>76.58</v>
      </c>
      <c r="AI909" s="38">
        <v>1</v>
      </c>
      <c r="AJ909" s="38">
        <v>8</v>
      </c>
      <c r="AK909" s="14">
        <f t="shared" si="3"/>
        <v>0.125</v>
      </c>
      <c r="AN909" s="38" t="s">
        <v>3465</v>
      </c>
      <c r="AO909" s="28"/>
    </row>
    <row r="910" spans="1:41" ht="12.5" hidden="1">
      <c r="A910" s="28" t="s">
        <v>3466</v>
      </c>
      <c r="B910" s="37">
        <v>45740</v>
      </c>
      <c r="C910" s="29">
        <v>45750</v>
      </c>
      <c r="D910" s="38" t="s">
        <v>41</v>
      </c>
      <c r="E910" s="38" t="s">
        <v>3467</v>
      </c>
      <c r="G910" s="38" t="s">
        <v>43</v>
      </c>
      <c r="H910" s="38">
        <v>11.13</v>
      </c>
      <c r="I910" s="38" t="s">
        <v>44</v>
      </c>
      <c r="J910" s="38" t="s">
        <v>45</v>
      </c>
      <c r="K910" s="38" t="s">
        <v>3468</v>
      </c>
      <c r="L910" s="30" t="s">
        <v>47</v>
      </c>
      <c r="M910" s="38" t="s">
        <v>48</v>
      </c>
      <c r="N910" s="38" t="s">
        <v>48</v>
      </c>
      <c r="O910" s="31" t="s">
        <v>517</v>
      </c>
      <c r="P910" s="28" t="s">
        <v>518</v>
      </c>
      <c r="Q910" s="38" t="s">
        <v>519</v>
      </c>
      <c r="R910" s="38">
        <v>1</v>
      </c>
      <c r="S910" s="38" t="s">
        <v>82</v>
      </c>
      <c r="T910" s="38" t="s">
        <v>53</v>
      </c>
      <c r="U910" s="38" t="s">
        <v>54</v>
      </c>
      <c r="V910" s="38" t="s">
        <v>55</v>
      </c>
      <c r="Y910" s="38">
        <v>73.41</v>
      </c>
      <c r="Z910" s="38">
        <v>1</v>
      </c>
      <c r="AF910" s="38">
        <v>73.41</v>
      </c>
      <c r="AI910" s="38">
        <v>1</v>
      </c>
      <c r="AJ910" s="38">
        <v>7</v>
      </c>
      <c r="AK910" s="14">
        <f t="shared" si="3"/>
        <v>0.14285714285714285</v>
      </c>
      <c r="AO910" s="28"/>
    </row>
    <row r="911" spans="1:41" ht="12.5" hidden="1">
      <c r="A911" s="28" t="s">
        <v>3469</v>
      </c>
      <c r="B911" s="37">
        <v>45745</v>
      </c>
      <c r="C911" s="29">
        <v>45750</v>
      </c>
      <c r="D911" s="38" t="s">
        <v>41</v>
      </c>
      <c r="E911" s="38" t="s">
        <v>3470</v>
      </c>
      <c r="G911" s="38" t="s">
        <v>43</v>
      </c>
      <c r="H911" s="38">
        <v>11.13</v>
      </c>
      <c r="I911" s="38" t="s">
        <v>44</v>
      </c>
      <c r="J911" s="38" t="s">
        <v>45</v>
      </c>
      <c r="K911" s="38" t="s">
        <v>3471</v>
      </c>
      <c r="L911" s="30" t="s">
        <v>47</v>
      </c>
      <c r="M911" s="38" t="s">
        <v>48</v>
      </c>
      <c r="N911" s="38" t="s">
        <v>48</v>
      </c>
      <c r="O911" s="31" t="s">
        <v>536</v>
      </c>
      <c r="P911" s="28" t="s">
        <v>537</v>
      </c>
      <c r="Q911" s="38" t="s">
        <v>538</v>
      </c>
      <c r="R911" s="38">
        <v>1</v>
      </c>
      <c r="S911" s="38" t="s">
        <v>52</v>
      </c>
      <c r="T911" s="38" t="s">
        <v>53</v>
      </c>
      <c r="U911" s="38" t="s">
        <v>54</v>
      </c>
      <c r="V911" s="38" t="s">
        <v>55</v>
      </c>
      <c r="Y911" s="38">
        <v>86.1</v>
      </c>
      <c r="Z911" s="38">
        <v>1</v>
      </c>
      <c r="AF911" s="38">
        <v>86.1</v>
      </c>
      <c r="AI911" s="38">
        <v>2</v>
      </c>
      <c r="AJ911" s="38">
        <v>6</v>
      </c>
      <c r="AK911" s="14">
        <f t="shared" si="3"/>
        <v>0.33333333333333331</v>
      </c>
      <c r="AO911" s="28"/>
    </row>
    <row r="912" spans="1:41" ht="12.5" hidden="1">
      <c r="A912" s="28" t="s">
        <v>3472</v>
      </c>
      <c r="B912" s="37">
        <v>45744</v>
      </c>
      <c r="C912" s="29">
        <v>45749</v>
      </c>
      <c r="D912" s="38" t="s">
        <v>41</v>
      </c>
      <c r="E912" s="38" t="s">
        <v>3473</v>
      </c>
      <c r="G912" s="38" t="s">
        <v>43</v>
      </c>
      <c r="H912" s="38">
        <v>11.13</v>
      </c>
      <c r="I912" s="38" t="s">
        <v>44</v>
      </c>
      <c r="J912" s="38" t="s">
        <v>45</v>
      </c>
      <c r="K912" s="38" t="s">
        <v>3474</v>
      </c>
      <c r="L912" s="30" t="s">
        <v>47</v>
      </c>
      <c r="M912" s="38" t="s">
        <v>48</v>
      </c>
      <c r="N912" s="38" t="s">
        <v>48</v>
      </c>
      <c r="O912" s="31" t="s">
        <v>536</v>
      </c>
      <c r="P912" s="28" t="s">
        <v>537</v>
      </c>
      <c r="Q912" s="38" t="s">
        <v>538</v>
      </c>
      <c r="R912" s="38">
        <v>1</v>
      </c>
      <c r="S912" s="38" t="s">
        <v>99</v>
      </c>
      <c r="T912" s="38" t="s">
        <v>53</v>
      </c>
      <c r="U912" s="38" t="s">
        <v>54</v>
      </c>
      <c r="V912" s="38" t="s">
        <v>55</v>
      </c>
      <c r="Y912" s="38">
        <v>83.64</v>
      </c>
      <c r="Z912" s="38">
        <v>1</v>
      </c>
      <c r="AF912" s="38">
        <v>83.64</v>
      </c>
      <c r="AK912" s="14" t="e">
        <f t="shared" si="3"/>
        <v>#DIV/0!</v>
      </c>
      <c r="AO912" s="28"/>
    </row>
    <row r="913" spans="1:41" ht="12.5" hidden="1">
      <c r="A913" s="28" t="s">
        <v>3475</v>
      </c>
      <c r="B913" s="39">
        <v>45754</v>
      </c>
      <c r="C913" s="29">
        <v>45757</v>
      </c>
      <c r="D913" s="38" t="s">
        <v>41</v>
      </c>
      <c r="E913" s="38" t="s">
        <v>3476</v>
      </c>
      <c r="G913" s="38" t="s">
        <v>43</v>
      </c>
      <c r="H913" s="38">
        <v>20.69</v>
      </c>
      <c r="I913" s="38" t="s">
        <v>44</v>
      </c>
      <c r="J913" s="38" t="s">
        <v>45</v>
      </c>
      <c r="K913" s="38" t="s">
        <v>3477</v>
      </c>
      <c r="L913" s="30" t="s">
        <v>47</v>
      </c>
      <c r="M913" s="38" t="s">
        <v>48</v>
      </c>
      <c r="N913" s="38" t="s">
        <v>48</v>
      </c>
      <c r="O913" s="31" t="s">
        <v>551</v>
      </c>
      <c r="P913" s="28" t="s">
        <v>552</v>
      </c>
      <c r="Q913" s="38" t="s">
        <v>553</v>
      </c>
      <c r="R913" s="38">
        <v>1</v>
      </c>
      <c r="S913" s="38" t="s">
        <v>52</v>
      </c>
      <c r="T913" s="38" t="s">
        <v>53</v>
      </c>
      <c r="U913" s="38" t="s">
        <v>54</v>
      </c>
      <c r="V913" s="38" t="s">
        <v>55</v>
      </c>
      <c r="Y913" s="38">
        <v>100.12</v>
      </c>
      <c r="Z913" s="38">
        <v>1</v>
      </c>
      <c r="AF913" s="38">
        <v>100.12</v>
      </c>
      <c r="AI913" s="38">
        <v>2</v>
      </c>
      <c r="AJ913" s="38">
        <v>3</v>
      </c>
      <c r="AK913" s="14">
        <f t="shared" si="3"/>
        <v>0.66666666666666663</v>
      </c>
      <c r="AO913" s="28"/>
    </row>
    <row r="914" spans="1:41" ht="12.5" hidden="1">
      <c r="A914" s="28" t="s">
        <v>3478</v>
      </c>
      <c r="B914" s="39">
        <v>45754</v>
      </c>
      <c r="C914" s="29">
        <v>45757</v>
      </c>
      <c r="D914" s="38" t="s">
        <v>41</v>
      </c>
      <c r="E914" s="38" t="s">
        <v>3479</v>
      </c>
      <c r="G914" s="38" t="s">
        <v>43</v>
      </c>
      <c r="H914" s="38">
        <v>20.69</v>
      </c>
      <c r="I914" s="38" t="s">
        <v>44</v>
      </c>
      <c r="J914" s="38" t="s">
        <v>45</v>
      </c>
      <c r="K914" s="38" t="s">
        <v>3480</v>
      </c>
      <c r="L914" s="30" t="s">
        <v>47</v>
      </c>
      <c r="M914" s="38" t="s">
        <v>48</v>
      </c>
      <c r="N914" s="38" t="s">
        <v>48</v>
      </c>
      <c r="O914" s="31" t="s">
        <v>551</v>
      </c>
      <c r="P914" s="28" t="s">
        <v>552</v>
      </c>
      <c r="Q914" s="38" t="s">
        <v>553</v>
      </c>
      <c r="R914" s="38">
        <v>1</v>
      </c>
      <c r="S914" s="38" t="s">
        <v>99</v>
      </c>
      <c r="T914" s="38" t="s">
        <v>53</v>
      </c>
      <c r="U914" s="38" t="s">
        <v>54</v>
      </c>
      <c r="V914" s="38" t="s">
        <v>55</v>
      </c>
      <c r="Y914" s="38">
        <v>101.42</v>
      </c>
      <c r="Z914" s="38">
        <v>1</v>
      </c>
      <c r="AF914" s="38">
        <v>101.42</v>
      </c>
      <c r="AK914" s="14" t="e">
        <f t="shared" si="3"/>
        <v>#DIV/0!</v>
      </c>
      <c r="AO914" s="28"/>
    </row>
    <row r="915" spans="1:41" ht="12.5" hidden="1">
      <c r="A915" s="28" t="s">
        <v>3481</v>
      </c>
      <c r="B915" s="39">
        <v>45749</v>
      </c>
      <c r="C915" s="29">
        <v>45752</v>
      </c>
      <c r="D915" s="38" t="s">
        <v>41</v>
      </c>
      <c r="E915" s="38" t="s">
        <v>3482</v>
      </c>
      <c r="G915" s="38" t="s">
        <v>43</v>
      </c>
      <c r="H915" s="38">
        <v>18.04</v>
      </c>
      <c r="I915" s="38" t="s">
        <v>44</v>
      </c>
      <c r="J915" s="38" t="s">
        <v>45</v>
      </c>
      <c r="K915" s="38" t="s">
        <v>3483</v>
      </c>
      <c r="L915" s="30" t="s">
        <v>58</v>
      </c>
      <c r="M915" s="38" t="s">
        <v>48</v>
      </c>
      <c r="N915" s="38" t="s">
        <v>48</v>
      </c>
      <c r="O915" s="31" t="s">
        <v>1918</v>
      </c>
      <c r="P915" s="28" t="s">
        <v>1919</v>
      </c>
      <c r="Q915" s="38" t="s">
        <v>1920</v>
      </c>
      <c r="R915" s="38">
        <v>1</v>
      </c>
      <c r="S915" s="38" t="s">
        <v>75</v>
      </c>
      <c r="T915" s="38" t="s">
        <v>53</v>
      </c>
      <c r="U915" s="38" t="s">
        <v>54</v>
      </c>
      <c r="V915" s="38" t="s">
        <v>55</v>
      </c>
      <c r="Y915" s="38">
        <v>99.9</v>
      </c>
      <c r="Z915" s="38">
        <v>1</v>
      </c>
      <c r="AF915" s="38">
        <v>81.86</v>
      </c>
      <c r="AI915" s="38">
        <v>1</v>
      </c>
      <c r="AJ915" s="38">
        <v>5</v>
      </c>
      <c r="AK915" s="14">
        <f t="shared" si="3"/>
        <v>0.2</v>
      </c>
      <c r="AO915" s="28"/>
    </row>
    <row r="916" spans="1:41" ht="12.5" hidden="1">
      <c r="A916" s="28" t="s">
        <v>3484</v>
      </c>
      <c r="B916" s="37">
        <v>45743</v>
      </c>
      <c r="C916" s="29">
        <v>45749</v>
      </c>
      <c r="D916" s="38" t="s">
        <v>41</v>
      </c>
      <c r="E916" s="38" t="s">
        <v>3485</v>
      </c>
      <c r="G916" s="38" t="s">
        <v>43</v>
      </c>
      <c r="H916" s="38">
        <v>12.67</v>
      </c>
      <c r="I916" s="38" t="s">
        <v>44</v>
      </c>
      <c r="J916" s="38" t="s">
        <v>45</v>
      </c>
      <c r="K916" s="38" t="s">
        <v>3486</v>
      </c>
      <c r="L916" s="30" t="s">
        <v>47</v>
      </c>
      <c r="M916" s="38" t="s">
        <v>48</v>
      </c>
      <c r="N916" s="38" t="s">
        <v>48</v>
      </c>
      <c r="O916" s="31" t="s">
        <v>2290</v>
      </c>
      <c r="P916" s="28" t="s">
        <v>2291</v>
      </c>
      <c r="Q916" s="38" t="s">
        <v>2292</v>
      </c>
      <c r="R916" s="38">
        <v>1</v>
      </c>
      <c r="S916" s="38" t="s">
        <v>52</v>
      </c>
      <c r="T916" s="38" t="s">
        <v>53</v>
      </c>
      <c r="U916" s="38" t="s">
        <v>54</v>
      </c>
      <c r="V916" s="38" t="s">
        <v>55</v>
      </c>
      <c r="Y916" s="38">
        <v>108</v>
      </c>
      <c r="Z916" s="38">
        <v>1</v>
      </c>
      <c r="AF916" s="38">
        <v>108</v>
      </c>
      <c r="AI916" s="38">
        <v>1</v>
      </c>
      <c r="AK916" s="14" t="e">
        <f t="shared" si="3"/>
        <v>#DIV/0!</v>
      </c>
      <c r="AO916" s="28"/>
    </row>
    <row r="917" spans="1:41" ht="12.5" hidden="1">
      <c r="A917" s="28" t="s">
        <v>3487</v>
      </c>
      <c r="B917" s="37">
        <v>45735</v>
      </c>
      <c r="C917" s="29">
        <v>45762</v>
      </c>
      <c r="D917" s="38" t="s">
        <v>41</v>
      </c>
      <c r="E917" s="38" t="s">
        <v>3488</v>
      </c>
      <c r="G917" s="38" t="s">
        <v>43</v>
      </c>
      <c r="H917" s="38">
        <v>10.46</v>
      </c>
      <c r="I917" s="38" t="s">
        <v>44</v>
      </c>
      <c r="J917" s="38" t="s">
        <v>45</v>
      </c>
      <c r="K917" s="38" t="s">
        <v>3489</v>
      </c>
      <c r="L917" s="30" t="s">
        <v>58</v>
      </c>
      <c r="M917" s="38" t="s">
        <v>48</v>
      </c>
      <c r="N917" s="38" t="s">
        <v>48</v>
      </c>
      <c r="O917" s="31" t="s">
        <v>1924</v>
      </c>
      <c r="P917" s="28" t="s">
        <v>1925</v>
      </c>
      <c r="Q917" s="38" t="s">
        <v>1926</v>
      </c>
      <c r="R917" s="38">
        <v>1</v>
      </c>
      <c r="S917" s="38" t="s">
        <v>68</v>
      </c>
      <c r="T917" s="38" t="s">
        <v>53</v>
      </c>
      <c r="U917" s="38" t="s">
        <v>54</v>
      </c>
      <c r="V917" s="38" t="s">
        <v>55</v>
      </c>
      <c r="Y917" s="38">
        <v>110.06</v>
      </c>
      <c r="Z917" s="38">
        <v>1</v>
      </c>
      <c r="AF917" s="38">
        <v>99.6</v>
      </c>
      <c r="AI917" s="38">
        <v>1</v>
      </c>
      <c r="AK917" s="14" t="e">
        <f t="shared" si="3"/>
        <v>#DIV/0!</v>
      </c>
      <c r="AO917" s="28"/>
    </row>
    <row r="918" spans="1:41" ht="12.5" hidden="1">
      <c r="A918" s="28" t="s">
        <v>3490</v>
      </c>
      <c r="B918" s="37">
        <v>45738</v>
      </c>
      <c r="C918" s="29">
        <v>45748</v>
      </c>
      <c r="D918" s="38" t="s">
        <v>41</v>
      </c>
      <c r="E918" s="38" t="s">
        <v>3491</v>
      </c>
      <c r="G918" s="38" t="s">
        <v>43</v>
      </c>
      <c r="H918" s="38">
        <v>13.59</v>
      </c>
      <c r="I918" s="38" t="s">
        <v>44</v>
      </c>
      <c r="J918" s="38" t="s">
        <v>45</v>
      </c>
      <c r="K918" s="38" t="s">
        <v>3492</v>
      </c>
      <c r="L918" s="30" t="s">
        <v>58</v>
      </c>
      <c r="M918" s="38" t="s">
        <v>48</v>
      </c>
      <c r="N918" s="38" t="s">
        <v>48</v>
      </c>
      <c r="O918" s="31" t="s">
        <v>3493</v>
      </c>
      <c r="P918" s="28" t="s">
        <v>3494</v>
      </c>
      <c r="Q918" s="38" t="s">
        <v>3495</v>
      </c>
      <c r="R918" s="38">
        <v>1</v>
      </c>
      <c r="S918" s="38" t="s">
        <v>2990</v>
      </c>
      <c r="T918" s="38" t="s">
        <v>53</v>
      </c>
      <c r="U918" s="38" t="s">
        <v>54</v>
      </c>
      <c r="V918" s="38" t="s">
        <v>55</v>
      </c>
      <c r="Y918" s="38">
        <v>111.2</v>
      </c>
      <c r="Z918" s="38">
        <v>1</v>
      </c>
      <c r="AF918" s="38">
        <v>97.61</v>
      </c>
      <c r="AI918" s="38">
        <v>1</v>
      </c>
      <c r="AJ918" s="38">
        <v>11</v>
      </c>
      <c r="AK918" s="14">
        <f t="shared" si="3"/>
        <v>9.0909090909090912E-2</v>
      </c>
      <c r="AO918" s="28"/>
    </row>
    <row r="919" spans="1:41" ht="12.5" hidden="1">
      <c r="A919" s="28" t="s">
        <v>3496</v>
      </c>
      <c r="B919" s="39">
        <v>45754</v>
      </c>
      <c r="C919" s="29">
        <v>45759</v>
      </c>
      <c r="D919" s="38" t="s">
        <v>41</v>
      </c>
      <c r="E919" s="38" t="s">
        <v>3497</v>
      </c>
      <c r="G919" s="38" t="s">
        <v>43</v>
      </c>
      <c r="H919" s="38">
        <v>11.84</v>
      </c>
      <c r="I919" s="38" t="s">
        <v>44</v>
      </c>
      <c r="J919" s="38" t="s">
        <v>45</v>
      </c>
      <c r="K919" s="38" t="s">
        <v>3498</v>
      </c>
      <c r="L919" s="30" t="s">
        <v>47</v>
      </c>
      <c r="M919" s="38" t="s">
        <v>48</v>
      </c>
      <c r="N919" s="38" t="s">
        <v>48</v>
      </c>
      <c r="O919" s="31" t="s">
        <v>566</v>
      </c>
      <c r="P919" s="28" t="s">
        <v>567</v>
      </c>
      <c r="Q919" s="38" t="s">
        <v>568</v>
      </c>
      <c r="R919" s="38">
        <v>1</v>
      </c>
      <c r="S919" s="38" t="s">
        <v>92</v>
      </c>
      <c r="T919" s="38" t="s">
        <v>53</v>
      </c>
      <c r="U919" s="38" t="s">
        <v>54</v>
      </c>
      <c r="V919" s="38" t="s">
        <v>61</v>
      </c>
      <c r="Y919" s="38">
        <v>134.12</v>
      </c>
      <c r="Z919" s="38">
        <v>1</v>
      </c>
      <c r="AI919" s="38">
        <v>3</v>
      </c>
      <c r="AJ919" s="38">
        <v>3</v>
      </c>
      <c r="AK919" s="14">
        <f t="shared" si="3"/>
        <v>1</v>
      </c>
      <c r="AO919" s="28"/>
    </row>
    <row r="920" spans="1:41" ht="12.5" hidden="1">
      <c r="A920" s="28" t="s">
        <v>3499</v>
      </c>
      <c r="B920" s="37">
        <v>45742</v>
      </c>
      <c r="C920" s="29">
        <v>45758</v>
      </c>
      <c r="D920" s="38" t="s">
        <v>41</v>
      </c>
      <c r="E920" s="38" t="s">
        <v>3500</v>
      </c>
      <c r="G920" s="38" t="s">
        <v>43</v>
      </c>
      <c r="H920" s="38">
        <v>11.84</v>
      </c>
      <c r="I920" s="38" t="s">
        <v>44</v>
      </c>
      <c r="J920" s="38" t="s">
        <v>45</v>
      </c>
      <c r="K920" s="38" t="s">
        <v>3501</v>
      </c>
      <c r="L920" s="30" t="s">
        <v>58</v>
      </c>
      <c r="M920" s="38" t="s">
        <v>48</v>
      </c>
      <c r="N920" s="38" t="s">
        <v>48</v>
      </c>
      <c r="O920" s="31" t="s">
        <v>566</v>
      </c>
      <c r="P920" s="28" t="s">
        <v>567</v>
      </c>
      <c r="Q920" s="38" t="s">
        <v>568</v>
      </c>
      <c r="R920" s="38">
        <v>1</v>
      </c>
      <c r="S920" s="38" t="s">
        <v>75</v>
      </c>
      <c r="T920" s="38" t="s">
        <v>53</v>
      </c>
      <c r="U920" s="38" t="s">
        <v>54</v>
      </c>
      <c r="V920" s="38" t="s">
        <v>61</v>
      </c>
      <c r="Y920" s="38">
        <v>135.07</v>
      </c>
      <c r="Z920" s="38">
        <v>1</v>
      </c>
      <c r="AK920" s="14" t="e">
        <f t="shared" si="3"/>
        <v>#DIV/0!</v>
      </c>
      <c r="AO920" s="28"/>
    </row>
    <row r="921" spans="1:41" ht="12.5" hidden="1">
      <c r="A921" s="28" t="s">
        <v>3502</v>
      </c>
      <c r="B921" s="37">
        <v>45740</v>
      </c>
      <c r="C921" s="29">
        <v>45749</v>
      </c>
      <c r="D921" s="38" t="s">
        <v>41</v>
      </c>
      <c r="E921" s="38" t="s">
        <v>3503</v>
      </c>
      <c r="G921" s="38" t="s">
        <v>43</v>
      </c>
      <c r="H921" s="38">
        <v>11.77</v>
      </c>
      <c r="I921" s="38" t="s">
        <v>44</v>
      </c>
      <c r="J921" s="38" t="s">
        <v>45</v>
      </c>
      <c r="K921" s="38" t="s">
        <v>3504</v>
      </c>
      <c r="L921" s="30" t="s">
        <v>47</v>
      </c>
      <c r="M921" s="38" t="s">
        <v>48</v>
      </c>
      <c r="N921" s="38" t="s">
        <v>48</v>
      </c>
      <c r="O921" s="31" t="s">
        <v>566</v>
      </c>
      <c r="P921" s="28" t="s">
        <v>567</v>
      </c>
      <c r="Q921" s="38" t="s">
        <v>568</v>
      </c>
      <c r="R921" s="38">
        <v>1</v>
      </c>
      <c r="S921" s="38" t="s">
        <v>92</v>
      </c>
      <c r="T921" s="38" t="s">
        <v>53</v>
      </c>
      <c r="U921" s="38" t="s">
        <v>54</v>
      </c>
      <c r="V921" s="38" t="s">
        <v>61</v>
      </c>
      <c r="Y921" s="38">
        <v>130.69</v>
      </c>
      <c r="Z921" s="38">
        <v>1</v>
      </c>
      <c r="AK921" s="14" t="e">
        <f t="shared" si="3"/>
        <v>#DIV/0!</v>
      </c>
      <c r="AO921" s="28"/>
    </row>
    <row r="922" spans="1:41" ht="12.5" hidden="1">
      <c r="A922" s="28" t="s">
        <v>3505</v>
      </c>
      <c r="B922" s="37">
        <v>45741</v>
      </c>
      <c r="C922" s="29">
        <v>45754</v>
      </c>
      <c r="D922" s="38" t="s">
        <v>41</v>
      </c>
      <c r="E922" s="38" t="s">
        <v>3506</v>
      </c>
      <c r="G922" s="38" t="s">
        <v>43</v>
      </c>
      <c r="H922" s="38">
        <v>11.19</v>
      </c>
      <c r="I922" s="38" t="s">
        <v>44</v>
      </c>
      <c r="J922" s="38" t="s">
        <v>45</v>
      </c>
      <c r="K922" s="38" t="s">
        <v>3507</v>
      </c>
      <c r="L922" s="30" t="s">
        <v>47</v>
      </c>
      <c r="M922" s="38" t="s">
        <v>48</v>
      </c>
      <c r="N922" s="38" t="s">
        <v>48</v>
      </c>
      <c r="O922" s="31" t="s">
        <v>1366</v>
      </c>
      <c r="P922" s="28" t="s">
        <v>1367</v>
      </c>
      <c r="Q922" s="38" t="s">
        <v>1368</v>
      </c>
      <c r="R922" s="38">
        <v>1</v>
      </c>
      <c r="S922" s="38" t="s">
        <v>92</v>
      </c>
      <c r="T922" s="38" t="s">
        <v>53</v>
      </c>
      <c r="U922" s="38" t="s">
        <v>54</v>
      </c>
      <c r="V922" s="38" t="s">
        <v>560</v>
      </c>
      <c r="Y922" s="38">
        <v>103.97</v>
      </c>
      <c r="Z922" s="38">
        <v>1</v>
      </c>
      <c r="AI922" s="38">
        <v>2</v>
      </c>
      <c r="AJ922" s="38">
        <v>1</v>
      </c>
      <c r="AK922" s="14">
        <f t="shared" si="3"/>
        <v>2</v>
      </c>
      <c r="AM922" s="45" t="s">
        <v>3284</v>
      </c>
      <c r="AO922" s="28"/>
    </row>
    <row r="923" spans="1:41" ht="12.5" hidden="1">
      <c r="A923" s="28" t="s">
        <v>3508</v>
      </c>
      <c r="B923" s="37">
        <v>45738</v>
      </c>
      <c r="C923" s="29">
        <v>45748</v>
      </c>
      <c r="D923" s="38" t="s">
        <v>41</v>
      </c>
      <c r="E923" s="38" t="s">
        <v>3509</v>
      </c>
      <c r="G923" s="38" t="s">
        <v>43</v>
      </c>
      <c r="H923" s="38">
        <v>11.13</v>
      </c>
      <c r="I923" s="38" t="s">
        <v>44</v>
      </c>
      <c r="J923" s="38" t="s">
        <v>45</v>
      </c>
      <c r="K923" s="38" t="s">
        <v>3510</v>
      </c>
      <c r="L923" s="30" t="s">
        <v>47</v>
      </c>
      <c r="M923" s="38" t="s">
        <v>48</v>
      </c>
      <c r="N923" s="38" t="s">
        <v>48</v>
      </c>
      <c r="O923" s="31" t="s">
        <v>1366</v>
      </c>
      <c r="P923" s="28" t="s">
        <v>1367</v>
      </c>
      <c r="Q923" s="38" t="s">
        <v>1368</v>
      </c>
      <c r="R923" s="38">
        <v>1</v>
      </c>
      <c r="S923" s="38" t="s">
        <v>52</v>
      </c>
      <c r="T923" s="38" t="s">
        <v>53</v>
      </c>
      <c r="U923" s="38" t="s">
        <v>54</v>
      </c>
      <c r="V923" s="38" t="s">
        <v>55</v>
      </c>
      <c r="Y923" s="38">
        <v>104.89</v>
      </c>
      <c r="Z923" s="38">
        <v>1</v>
      </c>
      <c r="AF923" s="38">
        <v>104.89</v>
      </c>
      <c r="AK923" s="14" t="e">
        <f t="shared" si="3"/>
        <v>#DIV/0!</v>
      </c>
      <c r="AO923" s="28"/>
    </row>
    <row r="924" spans="1:41" ht="12.5" hidden="1">
      <c r="A924" s="28" t="s">
        <v>3511</v>
      </c>
      <c r="B924" s="37">
        <v>45745</v>
      </c>
      <c r="C924" s="29">
        <v>45750</v>
      </c>
      <c r="D924" s="38" t="s">
        <v>41</v>
      </c>
      <c r="E924" s="38" t="s">
        <v>3512</v>
      </c>
      <c r="G924" s="38" t="s">
        <v>43</v>
      </c>
      <c r="H924" s="38">
        <v>16.84</v>
      </c>
      <c r="I924" s="38" t="s">
        <v>44</v>
      </c>
      <c r="J924" s="38" t="s">
        <v>45</v>
      </c>
      <c r="K924" s="38" t="s">
        <v>3513</v>
      </c>
      <c r="L924" s="30" t="s">
        <v>47</v>
      </c>
      <c r="M924" s="38" t="s">
        <v>48</v>
      </c>
      <c r="N924" s="38" t="s">
        <v>48</v>
      </c>
      <c r="O924" s="31" t="s">
        <v>587</v>
      </c>
      <c r="P924" s="28" t="s">
        <v>588</v>
      </c>
      <c r="Q924" s="38" t="s">
        <v>3180</v>
      </c>
      <c r="R924" s="38">
        <v>1</v>
      </c>
      <c r="S924" s="38" t="s">
        <v>52</v>
      </c>
      <c r="T924" s="38" t="s">
        <v>53</v>
      </c>
      <c r="U924" s="38" t="s">
        <v>54</v>
      </c>
      <c r="V924" s="38" t="s">
        <v>61</v>
      </c>
      <c r="Y924" s="38">
        <v>121.9</v>
      </c>
      <c r="Z924" s="38">
        <v>1</v>
      </c>
      <c r="AI924" s="38">
        <v>1</v>
      </c>
      <c r="AJ924" s="38">
        <v>2</v>
      </c>
      <c r="AK924" s="14">
        <f t="shared" si="3"/>
        <v>0.5</v>
      </c>
      <c r="AO924" s="28"/>
    </row>
    <row r="925" spans="1:41" ht="12.5" hidden="1">
      <c r="A925" s="28" t="s">
        <v>3514</v>
      </c>
      <c r="B925" s="37">
        <v>45745</v>
      </c>
      <c r="C925" s="29">
        <v>45748</v>
      </c>
      <c r="D925" s="38" t="s">
        <v>41</v>
      </c>
      <c r="E925" s="38" t="s">
        <v>3515</v>
      </c>
      <c r="G925" s="38" t="s">
        <v>43</v>
      </c>
      <c r="H925" s="38">
        <v>14.47</v>
      </c>
      <c r="I925" s="38" t="s">
        <v>44</v>
      </c>
      <c r="J925" s="38" t="s">
        <v>45</v>
      </c>
      <c r="K925" s="38" t="s">
        <v>3516</v>
      </c>
      <c r="L925" s="30" t="s">
        <v>58</v>
      </c>
      <c r="M925" s="38" t="s">
        <v>48</v>
      </c>
      <c r="N925" s="38" t="s">
        <v>48</v>
      </c>
      <c r="O925" s="31" t="s">
        <v>2296</v>
      </c>
      <c r="P925" s="28" t="s">
        <v>2297</v>
      </c>
      <c r="Q925" s="38" t="s">
        <v>2298</v>
      </c>
      <c r="R925" s="38">
        <v>1</v>
      </c>
      <c r="S925" s="38" t="s">
        <v>306</v>
      </c>
      <c r="T925" s="38" t="s">
        <v>53</v>
      </c>
      <c r="U925" s="38" t="s">
        <v>54</v>
      </c>
      <c r="V925" s="38" t="s">
        <v>55</v>
      </c>
      <c r="Y925" s="38">
        <v>113.3</v>
      </c>
      <c r="Z925" s="38">
        <v>1</v>
      </c>
      <c r="AF925" s="38">
        <v>98.83</v>
      </c>
      <c r="AI925" s="38">
        <v>1</v>
      </c>
      <c r="AJ925" s="38">
        <v>2</v>
      </c>
      <c r="AK925" s="14">
        <f t="shared" si="3"/>
        <v>0.5</v>
      </c>
      <c r="AO925" s="28"/>
    </row>
    <row r="926" spans="1:41" ht="12.5" hidden="1">
      <c r="A926" s="28" t="s">
        <v>3517</v>
      </c>
      <c r="B926" s="37">
        <v>45746</v>
      </c>
      <c r="C926" s="29">
        <v>45756</v>
      </c>
      <c r="D926" s="38" t="s">
        <v>41</v>
      </c>
      <c r="E926" s="38" t="s">
        <v>3518</v>
      </c>
      <c r="G926" s="38" t="s">
        <v>43</v>
      </c>
      <c r="H926" s="38">
        <v>7.37</v>
      </c>
      <c r="I926" s="38" t="s">
        <v>44</v>
      </c>
      <c r="J926" s="38" t="s">
        <v>45</v>
      </c>
      <c r="K926" s="38" t="s">
        <v>3519</v>
      </c>
      <c r="L926" s="30" t="s">
        <v>47</v>
      </c>
      <c r="M926" s="38" t="s">
        <v>48</v>
      </c>
      <c r="N926" s="38" t="s">
        <v>48</v>
      </c>
      <c r="O926" s="31" t="s">
        <v>1943</v>
      </c>
      <c r="P926" s="28" t="s">
        <v>1944</v>
      </c>
      <c r="Q926" s="38" t="s">
        <v>1945</v>
      </c>
      <c r="R926" s="38">
        <v>1</v>
      </c>
      <c r="S926" s="38" t="s">
        <v>92</v>
      </c>
      <c r="T926" s="38" t="s">
        <v>53</v>
      </c>
      <c r="U926" s="38" t="s">
        <v>54</v>
      </c>
      <c r="V926" s="38" t="s">
        <v>55</v>
      </c>
      <c r="Y926" s="38">
        <v>89.19</v>
      </c>
      <c r="Z926" s="38">
        <v>1</v>
      </c>
      <c r="AF926" s="38">
        <v>89.19</v>
      </c>
      <c r="AI926" s="38">
        <v>1</v>
      </c>
      <c r="AJ926" s="38">
        <v>9</v>
      </c>
      <c r="AK926" s="14">
        <f t="shared" si="3"/>
        <v>0.1111111111111111</v>
      </c>
      <c r="AO926" s="28"/>
    </row>
    <row r="927" spans="1:41" ht="12.5" hidden="1">
      <c r="A927" s="28" t="s">
        <v>3520</v>
      </c>
      <c r="B927" s="39">
        <v>45752</v>
      </c>
      <c r="C927" s="29">
        <v>45759</v>
      </c>
      <c r="D927" s="38" t="s">
        <v>41</v>
      </c>
      <c r="E927" s="38" t="s">
        <v>3521</v>
      </c>
      <c r="G927" s="38" t="s">
        <v>137</v>
      </c>
      <c r="H927" s="38">
        <v>0</v>
      </c>
      <c r="L927" s="30" t="s">
        <v>47</v>
      </c>
      <c r="M927" s="38" t="s">
        <v>48</v>
      </c>
      <c r="N927" s="38" t="s">
        <v>48</v>
      </c>
      <c r="O927" s="31" t="s">
        <v>2652</v>
      </c>
      <c r="P927" s="28" t="s">
        <v>2653</v>
      </c>
      <c r="Q927" s="38" t="s">
        <v>3522</v>
      </c>
      <c r="R927" s="38">
        <v>1</v>
      </c>
      <c r="S927" s="38" t="s">
        <v>421</v>
      </c>
      <c r="T927" s="38" t="s">
        <v>53</v>
      </c>
      <c r="U927" s="38" t="s">
        <v>54</v>
      </c>
      <c r="V927" s="38" t="s">
        <v>61</v>
      </c>
      <c r="Y927" s="38">
        <v>219.21</v>
      </c>
      <c r="Z927" s="38">
        <v>1</v>
      </c>
      <c r="AF927" s="38">
        <v>219.21</v>
      </c>
      <c r="AI927" s="38">
        <v>1</v>
      </c>
      <c r="AJ927" s="38">
        <v>1</v>
      </c>
      <c r="AK927" s="14">
        <f t="shared" si="3"/>
        <v>1</v>
      </c>
      <c r="AO927" s="28"/>
    </row>
    <row r="928" spans="1:41" ht="12.5" hidden="1">
      <c r="A928" s="28" t="s">
        <v>3523</v>
      </c>
      <c r="B928" s="37">
        <v>45393</v>
      </c>
      <c r="C928" s="29">
        <v>45748</v>
      </c>
      <c r="D928" s="38" t="s">
        <v>57</v>
      </c>
      <c r="L928" s="30" t="s">
        <v>58</v>
      </c>
      <c r="M928" s="38" t="s">
        <v>48</v>
      </c>
      <c r="N928" s="38" t="s">
        <v>48</v>
      </c>
      <c r="O928" s="31" t="s">
        <v>2364</v>
      </c>
      <c r="P928" s="28" t="s">
        <v>2365</v>
      </c>
      <c r="Q928" s="38" t="s">
        <v>2366</v>
      </c>
      <c r="R928" s="38">
        <v>1</v>
      </c>
      <c r="S928" s="38" t="s">
        <v>59</v>
      </c>
      <c r="T928" s="38" t="s">
        <v>48</v>
      </c>
      <c r="U928" s="38" t="s">
        <v>60</v>
      </c>
      <c r="V928" s="38" t="s">
        <v>61</v>
      </c>
      <c r="Y928" s="38">
        <v>103.42</v>
      </c>
      <c r="Z928" s="38">
        <v>1</v>
      </c>
      <c r="AI928" s="38">
        <v>1</v>
      </c>
      <c r="AK928" s="14" t="e">
        <f t="shared" si="3"/>
        <v>#DIV/0!</v>
      </c>
      <c r="AO928" s="28"/>
    </row>
    <row r="929" spans="1:41" ht="12.5" hidden="1">
      <c r="A929" s="28" t="s">
        <v>3524</v>
      </c>
      <c r="B929" s="37">
        <v>45746</v>
      </c>
      <c r="C929" s="29">
        <v>45748</v>
      </c>
      <c r="D929" s="38" t="s">
        <v>41</v>
      </c>
      <c r="E929" s="38" t="s">
        <v>3525</v>
      </c>
      <c r="G929" s="38" t="s">
        <v>43</v>
      </c>
      <c r="H929" s="38">
        <v>16.48</v>
      </c>
      <c r="I929" s="38" t="s">
        <v>44</v>
      </c>
      <c r="J929" s="38" t="s">
        <v>45</v>
      </c>
      <c r="K929" s="38" t="s">
        <v>3526</v>
      </c>
      <c r="L929" s="30" t="s">
        <v>47</v>
      </c>
      <c r="M929" s="38" t="s">
        <v>48</v>
      </c>
      <c r="N929" s="38" t="s">
        <v>48</v>
      </c>
      <c r="O929" s="31" t="s">
        <v>3527</v>
      </c>
      <c r="P929" s="28" t="s">
        <v>3528</v>
      </c>
      <c r="Q929" s="38" t="s">
        <v>3529</v>
      </c>
      <c r="R929" s="38">
        <v>1</v>
      </c>
      <c r="S929" s="38" t="s">
        <v>92</v>
      </c>
      <c r="T929" s="38" t="s">
        <v>53</v>
      </c>
      <c r="U929" s="38" t="s">
        <v>54</v>
      </c>
      <c r="V929" s="38" t="s">
        <v>240</v>
      </c>
      <c r="Y929" s="38">
        <v>134.74</v>
      </c>
      <c r="Z929" s="38">
        <v>1</v>
      </c>
      <c r="AF929" s="38">
        <v>134.74</v>
      </c>
      <c r="AI929" s="38">
        <v>1</v>
      </c>
      <c r="AK929" s="14" t="e">
        <f t="shared" si="3"/>
        <v>#DIV/0!</v>
      </c>
      <c r="AO929" s="28"/>
    </row>
    <row r="930" spans="1:41" ht="12.5" hidden="1">
      <c r="A930" s="28" t="s">
        <v>3530</v>
      </c>
      <c r="B930" s="37">
        <v>45739</v>
      </c>
      <c r="C930" s="29">
        <v>45759</v>
      </c>
      <c r="D930" s="38" t="s">
        <v>41</v>
      </c>
      <c r="E930" s="38" t="s">
        <v>3531</v>
      </c>
      <c r="G930" s="38" t="s">
        <v>43</v>
      </c>
      <c r="H930" s="38">
        <v>10.46</v>
      </c>
      <c r="I930" s="38" t="s">
        <v>44</v>
      </c>
      <c r="J930" s="38" t="s">
        <v>45</v>
      </c>
      <c r="K930" s="38" t="s">
        <v>3532</v>
      </c>
      <c r="L930" s="30" t="s">
        <v>47</v>
      </c>
      <c r="M930" s="38" t="s">
        <v>48</v>
      </c>
      <c r="N930" s="38" t="s">
        <v>48</v>
      </c>
      <c r="O930" s="31" t="s">
        <v>1659</v>
      </c>
      <c r="P930" s="28" t="s">
        <v>1660</v>
      </c>
      <c r="Q930" s="38" t="s">
        <v>3533</v>
      </c>
      <c r="R930" s="38">
        <v>1</v>
      </c>
      <c r="S930" s="38" t="s">
        <v>99</v>
      </c>
      <c r="T930" s="38" t="s">
        <v>53</v>
      </c>
      <c r="U930" s="38" t="s">
        <v>54</v>
      </c>
      <c r="V930" s="38" t="s">
        <v>61</v>
      </c>
      <c r="Y930" s="38">
        <v>70.489999999999995</v>
      </c>
      <c r="Z930" s="38">
        <v>1</v>
      </c>
      <c r="AI930" s="38">
        <v>4</v>
      </c>
      <c r="AJ930" s="38">
        <v>19</v>
      </c>
      <c r="AK930" s="14">
        <f t="shared" si="3"/>
        <v>0.21052631578947367</v>
      </c>
      <c r="AO930" s="28"/>
    </row>
    <row r="931" spans="1:41" ht="12.5" hidden="1">
      <c r="A931" s="28" t="s">
        <v>3534</v>
      </c>
      <c r="B931" s="37">
        <v>45737</v>
      </c>
      <c r="C931" s="29">
        <v>45758</v>
      </c>
      <c r="D931" s="38" t="s">
        <v>41</v>
      </c>
      <c r="E931" s="38" t="s">
        <v>3535</v>
      </c>
      <c r="G931" s="38" t="s">
        <v>43</v>
      </c>
      <c r="H931" s="38">
        <v>10.46</v>
      </c>
      <c r="I931" s="38" t="s">
        <v>44</v>
      </c>
      <c r="J931" s="38" t="s">
        <v>45</v>
      </c>
      <c r="K931" s="38" t="s">
        <v>3536</v>
      </c>
      <c r="L931" s="30" t="s">
        <v>58</v>
      </c>
      <c r="M931" s="38" t="s">
        <v>48</v>
      </c>
      <c r="N931" s="38" t="s">
        <v>48</v>
      </c>
      <c r="O931" s="31" t="s">
        <v>1659</v>
      </c>
      <c r="P931" s="28" t="s">
        <v>1660</v>
      </c>
      <c r="Q931" s="38" t="s">
        <v>3533</v>
      </c>
      <c r="R931" s="38">
        <v>1</v>
      </c>
      <c r="S931" s="38" t="s">
        <v>75</v>
      </c>
      <c r="T931" s="38" t="s">
        <v>53</v>
      </c>
      <c r="U931" s="38" t="s">
        <v>54</v>
      </c>
      <c r="V931" s="38" t="s">
        <v>55</v>
      </c>
      <c r="Y931" s="38">
        <v>71.069999999999993</v>
      </c>
      <c r="Z931" s="38">
        <v>1</v>
      </c>
      <c r="AF931" s="38">
        <v>60.61</v>
      </c>
      <c r="AK931" s="14" t="e">
        <f t="shared" si="3"/>
        <v>#DIV/0!</v>
      </c>
      <c r="AO931" s="28"/>
    </row>
    <row r="932" spans="1:41" ht="12.5" hidden="1">
      <c r="A932" s="28" t="s">
        <v>3537</v>
      </c>
      <c r="B932" s="39">
        <v>45748</v>
      </c>
      <c r="C932" s="29">
        <v>45756</v>
      </c>
      <c r="D932" s="38" t="s">
        <v>41</v>
      </c>
      <c r="E932" s="38" t="s">
        <v>3538</v>
      </c>
      <c r="G932" s="38" t="s">
        <v>43</v>
      </c>
      <c r="H932" s="38">
        <v>10.46</v>
      </c>
      <c r="I932" s="38" t="s">
        <v>44</v>
      </c>
      <c r="J932" s="38" t="s">
        <v>45</v>
      </c>
      <c r="K932" s="38" t="s">
        <v>3539</v>
      </c>
      <c r="L932" s="30" t="s">
        <v>47</v>
      </c>
      <c r="M932" s="38" t="s">
        <v>48</v>
      </c>
      <c r="N932" s="38" t="s">
        <v>48</v>
      </c>
      <c r="O932" s="31" t="s">
        <v>1659</v>
      </c>
      <c r="P932" s="28" t="s">
        <v>1660</v>
      </c>
      <c r="Q932" s="38" t="s">
        <v>3533</v>
      </c>
      <c r="R932" s="38">
        <v>1</v>
      </c>
      <c r="S932" s="38" t="s">
        <v>82</v>
      </c>
      <c r="T932" s="38" t="s">
        <v>53</v>
      </c>
      <c r="U932" s="38" t="s">
        <v>54</v>
      </c>
      <c r="V932" s="38" t="s">
        <v>61</v>
      </c>
      <c r="Y932" s="38">
        <v>68.150000000000006</v>
      </c>
      <c r="Z932" s="38">
        <v>1</v>
      </c>
      <c r="AK932" s="14" t="e">
        <f t="shared" si="3"/>
        <v>#DIV/0!</v>
      </c>
      <c r="AO932" s="28"/>
    </row>
    <row r="933" spans="1:41" ht="12.5" hidden="1">
      <c r="A933" s="28" t="s">
        <v>3540</v>
      </c>
      <c r="B933" s="37">
        <v>45737</v>
      </c>
      <c r="C933" s="29">
        <v>45748</v>
      </c>
      <c r="D933" s="38" t="s">
        <v>41</v>
      </c>
      <c r="E933" s="38" t="s">
        <v>3541</v>
      </c>
      <c r="G933" s="38" t="s">
        <v>43</v>
      </c>
      <c r="H933" s="38">
        <v>10.4</v>
      </c>
      <c r="I933" s="38" t="s">
        <v>44</v>
      </c>
      <c r="J933" s="38" t="s">
        <v>45</v>
      </c>
      <c r="K933" s="38" t="s">
        <v>3542</v>
      </c>
      <c r="L933" s="30" t="s">
        <v>47</v>
      </c>
      <c r="M933" s="38" t="s">
        <v>48</v>
      </c>
      <c r="N933" s="38" t="s">
        <v>48</v>
      </c>
      <c r="O933" s="31" t="s">
        <v>1659</v>
      </c>
      <c r="P933" s="28" t="s">
        <v>1660</v>
      </c>
      <c r="Q933" s="38" t="s">
        <v>3533</v>
      </c>
      <c r="R933" s="38">
        <v>1</v>
      </c>
      <c r="S933" s="38" t="s">
        <v>52</v>
      </c>
      <c r="T933" s="38" t="s">
        <v>53</v>
      </c>
      <c r="U933" s="38" t="s">
        <v>54</v>
      </c>
      <c r="V933" s="38" t="s">
        <v>61</v>
      </c>
      <c r="Y933" s="38">
        <v>70.069999999999993</v>
      </c>
      <c r="Z933" s="38">
        <v>1</v>
      </c>
      <c r="AF933" s="38">
        <v>53.93</v>
      </c>
      <c r="AK933" s="14" t="e">
        <f t="shared" si="3"/>
        <v>#DIV/0!</v>
      </c>
      <c r="AO933" s="28"/>
    </row>
    <row r="934" spans="1:41" ht="12.5" hidden="1">
      <c r="A934" s="28" t="s">
        <v>3543</v>
      </c>
      <c r="B934" s="39">
        <v>45719</v>
      </c>
      <c r="C934" s="29">
        <v>45754</v>
      </c>
      <c r="D934" s="38" t="s">
        <v>41</v>
      </c>
      <c r="E934" s="38" t="s">
        <v>3544</v>
      </c>
      <c r="G934" s="38" t="s">
        <v>43</v>
      </c>
      <c r="H934" s="38">
        <v>7.76</v>
      </c>
      <c r="I934" s="38" t="s">
        <v>44</v>
      </c>
      <c r="J934" s="38" t="s">
        <v>45</v>
      </c>
      <c r="K934" s="38" t="s">
        <v>3545</v>
      </c>
      <c r="L934" s="30" t="s">
        <v>58</v>
      </c>
      <c r="M934" s="38" t="s">
        <v>48</v>
      </c>
      <c r="N934" s="38" t="s">
        <v>48</v>
      </c>
      <c r="O934" s="31" t="s">
        <v>3546</v>
      </c>
      <c r="P934" s="28" t="s">
        <v>3547</v>
      </c>
      <c r="Q934" s="38" t="s">
        <v>3548</v>
      </c>
      <c r="R934" s="38">
        <v>1</v>
      </c>
      <c r="S934" s="38" t="s">
        <v>75</v>
      </c>
      <c r="T934" s="38" t="s">
        <v>53</v>
      </c>
      <c r="U934" s="38" t="s">
        <v>54</v>
      </c>
      <c r="V934" s="38" t="s">
        <v>240</v>
      </c>
      <c r="Y934" s="38">
        <v>148.13</v>
      </c>
      <c r="Z934" s="38">
        <v>1</v>
      </c>
      <c r="AF934" s="38">
        <v>124.65</v>
      </c>
      <c r="AI934" s="38">
        <v>1</v>
      </c>
      <c r="AK934" s="14" t="e">
        <f t="shared" si="3"/>
        <v>#DIV/0!</v>
      </c>
      <c r="AO934" s="28"/>
    </row>
    <row r="935" spans="1:41" ht="12.5" hidden="1">
      <c r="A935" s="28" t="s">
        <v>3549</v>
      </c>
      <c r="B935" s="37">
        <v>45738</v>
      </c>
      <c r="C935" s="29">
        <v>45762</v>
      </c>
      <c r="D935" s="38" t="s">
        <v>41</v>
      </c>
      <c r="E935" s="38" t="s">
        <v>3550</v>
      </c>
      <c r="G935" s="38" t="s">
        <v>43</v>
      </c>
      <c r="H935" s="38">
        <v>16.579999999999998</v>
      </c>
      <c r="I935" s="38" t="s">
        <v>44</v>
      </c>
      <c r="J935" s="38" t="s">
        <v>45</v>
      </c>
      <c r="K935" s="38" t="s">
        <v>3551</v>
      </c>
      <c r="L935" s="30" t="s">
        <v>58</v>
      </c>
      <c r="M935" s="38" t="s">
        <v>48</v>
      </c>
      <c r="N935" s="38" t="s">
        <v>48</v>
      </c>
      <c r="O935" s="31" t="s">
        <v>3552</v>
      </c>
      <c r="P935" s="28" t="s">
        <v>3553</v>
      </c>
      <c r="Q935" s="38" t="s">
        <v>3554</v>
      </c>
      <c r="R935" s="38">
        <v>1</v>
      </c>
      <c r="S935" s="38" t="s">
        <v>2990</v>
      </c>
      <c r="T935" s="38" t="s">
        <v>53</v>
      </c>
      <c r="U935" s="38" t="s">
        <v>54</v>
      </c>
      <c r="V935" s="38" t="s">
        <v>61</v>
      </c>
      <c r="Y935" s="38">
        <v>146.56</v>
      </c>
      <c r="Z935" s="38">
        <v>1</v>
      </c>
      <c r="AI935" s="38">
        <v>1</v>
      </c>
      <c r="AJ935" s="38">
        <v>5</v>
      </c>
      <c r="AK935" s="14">
        <f t="shared" si="3"/>
        <v>0.2</v>
      </c>
      <c r="AO935" s="28"/>
    </row>
    <row r="936" spans="1:41" ht="12.5" hidden="1">
      <c r="A936" s="28" t="s">
        <v>3555</v>
      </c>
      <c r="B936" s="39">
        <v>45756</v>
      </c>
      <c r="C936" s="29">
        <v>45758</v>
      </c>
      <c r="D936" s="38" t="s">
        <v>41</v>
      </c>
      <c r="E936" s="38" t="s">
        <v>3556</v>
      </c>
      <c r="G936" s="38" t="s">
        <v>43</v>
      </c>
      <c r="H936" s="38">
        <v>20.27</v>
      </c>
      <c r="I936" s="38" t="s">
        <v>44</v>
      </c>
      <c r="J936" s="38" t="s">
        <v>45</v>
      </c>
      <c r="K936" s="38" t="s">
        <v>3557</v>
      </c>
      <c r="L936" s="30" t="s">
        <v>58</v>
      </c>
      <c r="M936" s="38" t="s">
        <v>48</v>
      </c>
      <c r="N936" s="38" t="s">
        <v>48</v>
      </c>
      <c r="O936" s="31" t="s">
        <v>911</v>
      </c>
      <c r="P936" s="28" t="s">
        <v>912</v>
      </c>
      <c r="Q936" s="38" t="s">
        <v>913</v>
      </c>
      <c r="R936" s="38">
        <v>1</v>
      </c>
      <c r="S936" s="38" t="s">
        <v>75</v>
      </c>
      <c r="T936" s="38" t="s">
        <v>53</v>
      </c>
      <c r="U936" s="38" t="s">
        <v>54</v>
      </c>
      <c r="V936" s="38" t="s">
        <v>240</v>
      </c>
      <c r="Y936" s="38">
        <v>266.31</v>
      </c>
      <c r="Z936" s="38">
        <v>1</v>
      </c>
      <c r="AF936" s="38">
        <v>216.09</v>
      </c>
      <c r="AI936" s="38">
        <v>1</v>
      </c>
      <c r="AJ936" s="38">
        <v>3</v>
      </c>
      <c r="AK936" s="14">
        <f t="shared" si="3"/>
        <v>0.33333333333333331</v>
      </c>
      <c r="AO936" s="28"/>
    </row>
    <row r="937" spans="1:41" ht="12.5" hidden="1">
      <c r="A937" s="28"/>
      <c r="C937" s="29"/>
      <c r="L937" s="30"/>
      <c r="O937" s="31"/>
      <c r="P937" s="28"/>
      <c r="AK937" s="14" t="e">
        <f t="shared" si="3"/>
        <v>#DIV/0!</v>
      </c>
      <c r="AO937" s="28"/>
    </row>
    <row r="938" spans="1:41" ht="12.5" hidden="1">
      <c r="A938" s="28" t="s">
        <v>3558</v>
      </c>
      <c r="B938" s="37">
        <v>45771</v>
      </c>
      <c r="C938" s="29">
        <v>45776</v>
      </c>
      <c r="D938" s="38" t="s">
        <v>41</v>
      </c>
      <c r="E938" s="38" t="s">
        <v>3559</v>
      </c>
      <c r="G938" s="38" t="s">
        <v>43</v>
      </c>
      <c r="H938" s="38">
        <v>14.14</v>
      </c>
      <c r="I938" s="38" t="s">
        <v>44</v>
      </c>
      <c r="J938" s="38" t="s">
        <v>45</v>
      </c>
      <c r="K938" s="38" t="s">
        <v>3560</v>
      </c>
      <c r="L938" s="30" t="s">
        <v>47</v>
      </c>
      <c r="M938" s="38" t="s">
        <v>48</v>
      </c>
      <c r="N938" s="38" t="s">
        <v>48</v>
      </c>
      <c r="O938" s="31" t="s">
        <v>49</v>
      </c>
      <c r="P938" s="28" t="s">
        <v>50</v>
      </c>
      <c r="Q938" s="38" t="s">
        <v>51</v>
      </c>
      <c r="R938" s="38">
        <v>1</v>
      </c>
      <c r="S938" s="38" t="s">
        <v>99</v>
      </c>
      <c r="T938" s="38" t="s">
        <v>53</v>
      </c>
      <c r="U938" s="38" t="s">
        <v>54</v>
      </c>
      <c r="V938" s="38" t="s">
        <v>61</v>
      </c>
      <c r="Y938" s="38">
        <v>95.3</v>
      </c>
      <c r="Z938" s="38">
        <v>1</v>
      </c>
      <c r="AI938" s="38">
        <v>4</v>
      </c>
      <c r="AJ938" s="38">
        <v>13</v>
      </c>
      <c r="AK938" s="14">
        <f t="shared" si="3"/>
        <v>0.30769230769230771</v>
      </c>
      <c r="AO938" s="28"/>
    </row>
    <row r="939" spans="1:41" ht="12.5" hidden="1">
      <c r="A939" s="28" t="s">
        <v>3561</v>
      </c>
      <c r="B939" s="37">
        <v>45767</v>
      </c>
      <c r="C939" s="29">
        <v>45776</v>
      </c>
      <c r="D939" s="38" t="s">
        <v>41</v>
      </c>
      <c r="E939" s="38" t="s">
        <v>3562</v>
      </c>
      <c r="G939" s="38" t="s">
        <v>43</v>
      </c>
      <c r="H939" s="38">
        <v>14.14</v>
      </c>
      <c r="I939" s="38" t="s">
        <v>44</v>
      </c>
      <c r="J939" s="38" t="s">
        <v>45</v>
      </c>
      <c r="K939" s="38" t="s">
        <v>3563</v>
      </c>
      <c r="L939" s="30" t="s">
        <v>47</v>
      </c>
      <c r="M939" s="38" t="s">
        <v>48</v>
      </c>
      <c r="N939" s="38" t="s">
        <v>48</v>
      </c>
      <c r="O939" s="31" t="s">
        <v>49</v>
      </c>
      <c r="P939" s="28" t="s">
        <v>50</v>
      </c>
      <c r="Q939" s="38" t="s">
        <v>51</v>
      </c>
      <c r="R939" s="38">
        <v>1</v>
      </c>
      <c r="S939" s="38" t="s">
        <v>99</v>
      </c>
      <c r="T939" s="38" t="s">
        <v>53</v>
      </c>
      <c r="U939" s="38" t="s">
        <v>54</v>
      </c>
      <c r="V939" s="38" t="s">
        <v>55</v>
      </c>
      <c r="Y939" s="38">
        <v>96.2</v>
      </c>
      <c r="Z939" s="38">
        <v>1</v>
      </c>
      <c r="AF939" s="38">
        <v>96.2</v>
      </c>
      <c r="AK939" s="14" t="e">
        <f t="shared" si="3"/>
        <v>#DIV/0!</v>
      </c>
      <c r="AO939" s="28"/>
    </row>
    <row r="940" spans="1:41" ht="12.5" hidden="1">
      <c r="A940" s="28" t="s">
        <v>3564</v>
      </c>
      <c r="B940" s="37">
        <v>45760</v>
      </c>
      <c r="C940" s="29">
        <v>45768</v>
      </c>
      <c r="D940" s="38" t="s">
        <v>41</v>
      </c>
      <c r="E940" s="38" t="s">
        <v>3565</v>
      </c>
      <c r="G940" s="38" t="s">
        <v>43</v>
      </c>
      <c r="H940" s="38">
        <v>14.14</v>
      </c>
      <c r="I940" s="38" t="s">
        <v>44</v>
      </c>
      <c r="J940" s="38" t="s">
        <v>45</v>
      </c>
      <c r="K940" s="38" t="s">
        <v>3566</v>
      </c>
      <c r="L940" s="30" t="s">
        <v>47</v>
      </c>
      <c r="M940" s="38" t="s">
        <v>48</v>
      </c>
      <c r="N940" s="38" t="s">
        <v>48</v>
      </c>
      <c r="O940" s="31" t="s">
        <v>49</v>
      </c>
      <c r="P940" s="28" t="s">
        <v>50</v>
      </c>
      <c r="Q940" s="38" t="s">
        <v>51</v>
      </c>
      <c r="R940" s="38">
        <v>1</v>
      </c>
      <c r="S940" s="38" t="s">
        <v>99</v>
      </c>
      <c r="T940" s="38" t="s">
        <v>53</v>
      </c>
      <c r="U940" s="38" t="s">
        <v>54</v>
      </c>
      <c r="V940" s="38" t="s">
        <v>55</v>
      </c>
      <c r="Y940" s="38">
        <v>97.31</v>
      </c>
      <c r="Z940" s="38">
        <v>1</v>
      </c>
      <c r="AF940" s="38">
        <v>97.31</v>
      </c>
      <c r="AK940" s="14" t="e">
        <f t="shared" si="3"/>
        <v>#DIV/0!</v>
      </c>
      <c r="AO940" s="28"/>
    </row>
    <row r="941" spans="1:41" ht="12.5" hidden="1">
      <c r="A941" s="28" t="s">
        <v>3567</v>
      </c>
      <c r="B941" s="39">
        <v>45755</v>
      </c>
      <c r="C941" s="29">
        <v>45768</v>
      </c>
      <c r="D941" s="38" t="s">
        <v>41</v>
      </c>
      <c r="E941" s="38" t="s">
        <v>3568</v>
      </c>
      <c r="G941" s="38" t="s">
        <v>43</v>
      </c>
      <c r="H941" s="38">
        <v>14.14</v>
      </c>
      <c r="I941" s="38" t="s">
        <v>44</v>
      </c>
      <c r="J941" s="38" t="s">
        <v>45</v>
      </c>
      <c r="K941" s="38" t="s">
        <v>3569</v>
      </c>
      <c r="L941" s="30" t="s">
        <v>58</v>
      </c>
      <c r="M941" s="38" t="s">
        <v>48</v>
      </c>
      <c r="N941" s="38" t="s">
        <v>48</v>
      </c>
      <c r="O941" s="31" t="s">
        <v>49</v>
      </c>
      <c r="P941" s="28" t="s">
        <v>50</v>
      </c>
      <c r="Q941" s="38" t="s">
        <v>51</v>
      </c>
      <c r="R941" s="38">
        <v>1</v>
      </c>
      <c r="S941" s="38" t="s">
        <v>75</v>
      </c>
      <c r="T941" s="38" t="s">
        <v>53</v>
      </c>
      <c r="U941" s="38" t="s">
        <v>54</v>
      </c>
      <c r="V941" s="38" t="s">
        <v>55</v>
      </c>
      <c r="Y941" s="38">
        <v>93.7</v>
      </c>
      <c r="Z941" s="38">
        <v>1</v>
      </c>
      <c r="AF941" s="38">
        <v>79.56</v>
      </c>
      <c r="AK941" s="14" t="e">
        <f t="shared" si="3"/>
        <v>#DIV/0!</v>
      </c>
      <c r="AO941" s="28"/>
    </row>
    <row r="942" spans="1:41" ht="12.5" hidden="1">
      <c r="A942" s="28" t="s">
        <v>3570</v>
      </c>
      <c r="B942" s="37">
        <v>45760</v>
      </c>
      <c r="C942" s="29">
        <v>45764</v>
      </c>
      <c r="D942" s="38" t="s">
        <v>41</v>
      </c>
      <c r="G942" s="38" t="s">
        <v>137</v>
      </c>
      <c r="H942" s="38">
        <v>0</v>
      </c>
      <c r="L942" s="30" t="s">
        <v>58</v>
      </c>
      <c r="M942" s="38" t="s">
        <v>48</v>
      </c>
      <c r="N942" s="38" t="s">
        <v>48</v>
      </c>
      <c r="O942" s="31" t="s">
        <v>2395</v>
      </c>
      <c r="P942" s="28" t="s">
        <v>2396</v>
      </c>
      <c r="Q942" s="38" t="s">
        <v>2397</v>
      </c>
      <c r="R942" s="38">
        <v>1</v>
      </c>
      <c r="S942" s="38" t="s">
        <v>75</v>
      </c>
      <c r="T942" s="38" t="s">
        <v>53</v>
      </c>
      <c r="U942" s="38" t="s">
        <v>54</v>
      </c>
      <c r="V942" s="38" t="s">
        <v>141</v>
      </c>
      <c r="Y942" s="38">
        <v>39.26</v>
      </c>
      <c r="Z942" s="38">
        <v>1</v>
      </c>
      <c r="AF942" s="38">
        <v>39.26</v>
      </c>
      <c r="AI942" s="38">
        <v>1</v>
      </c>
      <c r="AJ942" s="38">
        <v>2</v>
      </c>
      <c r="AK942" s="14">
        <f t="shared" si="3"/>
        <v>0.5</v>
      </c>
      <c r="AO942" s="28"/>
    </row>
    <row r="943" spans="1:41" ht="12.5" hidden="1">
      <c r="A943" s="28" t="s">
        <v>3571</v>
      </c>
      <c r="B943" s="39">
        <v>45754</v>
      </c>
      <c r="C943" s="29">
        <v>45771</v>
      </c>
      <c r="D943" s="38" t="s">
        <v>41</v>
      </c>
      <c r="E943" s="38" t="s">
        <v>3572</v>
      </c>
      <c r="G943" s="38" t="s">
        <v>43</v>
      </c>
      <c r="H943" s="38">
        <v>56.45</v>
      </c>
      <c r="I943" s="38" t="s">
        <v>44</v>
      </c>
      <c r="J943" s="38" t="s">
        <v>45</v>
      </c>
      <c r="K943" s="38" t="s">
        <v>3573</v>
      </c>
      <c r="L943" s="30" t="s">
        <v>47</v>
      </c>
      <c r="M943" s="38" t="s">
        <v>48</v>
      </c>
      <c r="N943" s="38" t="s">
        <v>48</v>
      </c>
      <c r="O943" s="31" t="s">
        <v>3574</v>
      </c>
      <c r="P943" s="28" t="s">
        <v>3575</v>
      </c>
      <c r="Q943" s="38" t="s">
        <v>3576</v>
      </c>
      <c r="R943" s="38">
        <v>1</v>
      </c>
      <c r="S943" s="38" t="s">
        <v>99</v>
      </c>
      <c r="T943" s="38" t="s">
        <v>53</v>
      </c>
      <c r="U943" s="38" t="s">
        <v>54</v>
      </c>
      <c r="V943" s="38" t="s">
        <v>61</v>
      </c>
      <c r="Y943" s="38">
        <v>162.97999999999999</v>
      </c>
      <c r="Z943" s="38">
        <v>1</v>
      </c>
      <c r="AI943" s="38">
        <v>1</v>
      </c>
      <c r="AJ943" s="38">
        <v>3</v>
      </c>
      <c r="AK943" s="14">
        <f t="shared" si="3"/>
        <v>0.33333333333333331</v>
      </c>
      <c r="AO943" s="28"/>
    </row>
    <row r="944" spans="1:41" ht="12.5" hidden="1">
      <c r="A944" s="28" t="s">
        <v>3577</v>
      </c>
      <c r="B944" s="37">
        <v>45765</v>
      </c>
      <c r="C944" s="29">
        <v>45769</v>
      </c>
      <c r="D944" s="38" t="s">
        <v>41</v>
      </c>
      <c r="E944" s="38" t="s">
        <v>3578</v>
      </c>
      <c r="G944" s="38" t="s">
        <v>43</v>
      </c>
      <c r="H944" s="38">
        <v>10.46</v>
      </c>
      <c r="I944" s="38" t="s">
        <v>44</v>
      </c>
      <c r="J944" s="38" t="s">
        <v>45</v>
      </c>
      <c r="K944" s="38" t="s">
        <v>3579</v>
      </c>
      <c r="L944" s="30" t="s">
        <v>58</v>
      </c>
      <c r="M944" s="38" t="s">
        <v>48</v>
      </c>
      <c r="N944" s="38" t="s">
        <v>48</v>
      </c>
      <c r="O944" s="31" t="s">
        <v>3580</v>
      </c>
      <c r="P944" s="28" t="s">
        <v>3581</v>
      </c>
      <c r="Q944" s="38" t="s">
        <v>3582</v>
      </c>
      <c r="R944" s="38">
        <v>1</v>
      </c>
      <c r="S944" s="38" t="s">
        <v>75</v>
      </c>
      <c r="T944" s="38" t="s">
        <v>53</v>
      </c>
      <c r="U944" s="38" t="s">
        <v>54</v>
      </c>
      <c r="V944" s="38" t="s">
        <v>61</v>
      </c>
      <c r="Y944" s="38">
        <v>72.22</v>
      </c>
      <c r="Z944" s="38">
        <v>1</v>
      </c>
      <c r="AI944" s="38">
        <v>1</v>
      </c>
      <c r="AJ944" s="38">
        <v>6</v>
      </c>
      <c r="AK944" s="14">
        <f t="shared" si="3"/>
        <v>0.16666666666666666</v>
      </c>
      <c r="AO944" s="28"/>
    </row>
    <row r="945" spans="1:41" ht="12.5" hidden="1">
      <c r="A945" s="28" t="s">
        <v>3583</v>
      </c>
      <c r="B945" s="37">
        <v>45770</v>
      </c>
      <c r="C945" s="29">
        <v>45776</v>
      </c>
      <c r="D945" s="38" t="s">
        <v>41</v>
      </c>
      <c r="E945" s="38" t="s">
        <v>3584</v>
      </c>
      <c r="G945" s="38" t="s">
        <v>43</v>
      </c>
      <c r="H945" s="38">
        <v>11.19</v>
      </c>
      <c r="I945" s="38" t="s">
        <v>44</v>
      </c>
      <c r="J945" s="38" t="s">
        <v>45</v>
      </c>
      <c r="K945" s="38" t="s">
        <v>3585</v>
      </c>
      <c r="L945" s="30" t="s">
        <v>47</v>
      </c>
      <c r="M945" s="38" t="s">
        <v>48</v>
      </c>
      <c r="N945" s="38" t="s">
        <v>48</v>
      </c>
      <c r="O945" s="31" t="s">
        <v>79</v>
      </c>
      <c r="P945" s="28" t="s">
        <v>80</v>
      </c>
      <c r="Q945" s="38" t="s">
        <v>81</v>
      </c>
      <c r="R945" s="38">
        <v>1</v>
      </c>
      <c r="S945" s="38" t="s">
        <v>52</v>
      </c>
      <c r="T945" s="38" t="s">
        <v>53</v>
      </c>
      <c r="U945" s="38" t="s">
        <v>54</v>
      </c>
      <c r="V945" s="38" t="s">
        <v>61</v>
      </c>
      <c r="Y945" s="38">
        <v>53.87</v>
      </c>
      <c r="Z945" s="38">
        <v>1</v>
      </c>
      <c r="AI945" s="38">
        <v>2</v>
      </c>
      <c r="AJ945" s="38">
        <v>23</v>
      </c>
      <c r="AK945" s="14">
        <f t="shared" si="3"/>
        <v>8.6956521739130432E-2</v>
      </c>
      <c r="AO945" s="28"/>
    </row>
    <row r="946" spans="1:41" ht="12.5" hidden="1">
      <c r="A946" s="28" t="s">
        <v>3586</v>
      </c>
      <c r="B946" s="39">
        <v>45752</v>
      </c>
      <c r="C946" s="29">
        <v>45768</v>
      </c>
      <c r="D946" s="38" t="s">
        <v>41</v>
      </c>
      <c r="E946" s="38" t="s">
        <v>3587</v>
      </c>
      <c r="G946" s="38" t="s">
        <v>43</v>
      </c>
      <c r="H946" s="38">
        <v>11.19</v>
      </c>
      <c r="I946" s="38" t="s">
        <v>44</v>
      </c>
      <c r="J946" s="38" t="s">
        <v>45</v>
      </c>
      <c r="K946" s="38" t="s">
        <v>3588</v>
      </c>
      <c r="L946" s="30" t="s">
        <v>58</v>
      </c>
      <c r="M946" s="38" t="s">
        <v>48</v>
      </c>
      <c r="N946" s="38" t="s">
        <v>48</v>
      </c>
      <c r="O946" s="31" t="s">
        <v>79</v>
      </c>
      <c r="P946" s="28" t="s">
        <v>80</v>
      </c>
      <c r="Q946" s="38" t="s">
        <v>81</v>
      </c>
      <c r="R946" s="38">
        <v>1</v>
      </c>
      <c r="S946" s="38" t="s">
        <v>75</v>
      </c>
      <c r="T946" s="38" t="s">
        <v>53</v>
      </c>
      <c r="U946" s="38" t="s">
        <v>54</v>
      </c>
      <c r="V946" s="38" t="s">
        <v>55</v>
      </c>
      <c r="Y946" s="38">
        <v>53.69</v>
      </c>
      <c r="Z946" s="38">
        <v>1</v>
      </c>
      <c r="AF946" s="38">
        <v>42.5</v>
      </c>
      <c r="AK946" s="14" t="e">
        <f t="shared" si="3"/>
        <v>#DIV/0!</v>
      </c>
      <c r="AO946" s="28"/>
    </row>
    <row r="947" spans="1:41" ht="12.5" hidden="1">
      <c r="A947" s="28" t="s">
        <v>3589</v>
      </c>
      <c r="B947" s="39">
        <v>45756</v>
      </c>
      <c r="C947" s="29">
        <v>45768</v>
      </c>
      <c r="D947" s="38" t="s">
        <v>41</v>
      </c>
      <c r="E947" s="38" t="s">
        <v>3590</v>
      </c>
      <c r="G947" s="38" t="s">
        <v>43</v>
      </c>
      <c r="H947" s="38">
        <v>12.3</v>
      </c>
      <c r="I947" s="38" t="s">
        <v>44</v>
      </c>
      <c r="J947" s="38" t="s">
        <v>45</v>
      </c>
      <c r="K947" s="38" t="s">
        <v>3591</v>
      </c>
      <c r="L947" s="30" t="s">
        <v>47</v>
      </c>
      <c r="M947" s="38" t="s">
        <v>48</v>
      </c>
      <c r="N947" s="38" t="s">
        <v>48</v>
      </c>
      <c r="O947" s="31" t="s">
        <v>96</v>
      </c>
      <c r="P947" s="28" t="s">
        <v>97</v>
      </c>
      <c r="Q947" s="38" t="s">
        <v>98</v>
      </c>
      <c r="R947" s="38">
        <v>1</v>
      </c>
      <c r="S947" s="38" t="s">
        <v>99</v>
      </c>
      <c r="T947" s="38" t="s">
        <v>53</v>
      </c>
      <c r="U947" s="38" t="s">
        <v>54</v>
      </c>
      <c r="V947" s="38" t="s">
        <v>55</v>
      </c>
      <c r="Y947" s="38">
        <v>84.42</v>
      </c>
      <c r="Z947" s="38">
        <v>1</v>
      </c>
      <c r="AF947" s="38">
        <v>84.42</v>
      </c>
      <c r="AI947" s="38">
        <v>1</v>
      </c>
      <c r="AJ947" s="38">
        <v>22</v>
      </c>
      <c r="AK947" s="14">
        <f t="shared" si="3"/>
        <v>4.5454545454545456E-2</v>
      </c>
      <c r="AO947" s="28"/>
    </row>
    <row r="948" spans="1:41" ht="12.5" hidden="1">
      <c r="A948" s="28" t="s">
        <v>3592</v>
      </c>
      <c r="B948" s="39">
        <v>45750</v>
      </c>
      <c r="C948" s="29">
        <v>45774</v>
      </c>
      <c r="D948" s="38" t="s">
        <v>41</v>
      </c>
      <c r="E948" s="38" t="s">
        <v>3593</v>
      </c>
      <c r="G948" s="38" t="s">
        <v>43</v>
      </c>
      <c r="H948" s="38">
        <v>13.22</v>
      </c>
      <c r="I948" s="38" t="s">
        <v>44</v>
      </c>
      <c r="J948" s="38" t="s">
        <v>45</v>
      </c>
      <c r="K948" s="38" t="s">
        <v>3594</v>
      </c>
      <c r="L948" s="30" t="s">
        <v>47</v>
      </c>
      <c r="M948" s="38" t="s">
        <v>48</v>
      </c>
      <c r="N948" s="38" t="s">
        <v>48</v>
      </c>
      <c r="O948" s="31" t="s">
        <v>966</v>
      </c>
      <c r="P948" s="28" t="s">
        <v>967</v>
      </c>
      <c r="Q948" s="38" t="s">
        <v>968</v>
      </c>
      <c r="R948" s="38">
        <v>1</v>
      </c>
      <c r="S948" s="38" t="s">
        <v>99</v>
      </c>
      <c r="T948" s="38" t="s">
        <v>53</v>
      </c>
      <c r="U948" s="38" t="s">
        <v>54</v>
      </c>
      <c r="V948" s="38" t="s">
        <v>55</v>
      </c>
      <c r="Y948" s="38">
        <v>80.930000000000007</v>
      </c>
      <c r="Z948" s="38">
        <v>1</v>
      </c>
      <c r="AF948" s="38">
        <v>80.930000000000007</v>
      </c>
      <c r="AI948" s="38">
        <v>1</v>
      </c>
      <c r="AJ948" s="38">
        <v>4</v>
      </c>
      <c r="AK948" s="14">
        <f t="shared" si="3"/>
        <v>0.25</v>
      </c>
      <c r="AO948" s="28"/>
    </row>
    <row r="949" spans="1:41" ht="12.5" hidden="1">
      <c r="A949" s="28" t="s">
        <v>3595</v>
      </c>
      <c r="B949" s="37">
        <v>45767</v>
      </c>
      <c r="C949" s="29">
        <v>45770</v>
      </c>
      <c r="D949" s="38" t="s">
        <v>41</v>
      </c>
      <c r="E949" s="38" t="s">
        <v>3596</v>
      </c>
      <c r="G949" s="38" t="s">
        <v>43</v>
      </c>
      <c r="H949" s="38">
        <v>6.33</v>
      </c>
      <c r="I949" s="38" t="s">
        <v>44</v>
      </c>
      <c r="J949" s="38" t="s">
        <v>45</v>
      </c>
      <c r="K949" s="38" t="s">
        <v>3597</v>
      </c>
      <c r="L949" s="30" t="s">
        <v>47</v>
      </c>
      <c r="M949" s="38" t="s">
        <v>48</v>
      </c>
      <c r="N949" s="38" t="s">
        <v>48</v>
      </c>
      <c r="O949" s="31" t="s">
        <v>103</v>
      </c>
      <c r="P949" s="28" t="s">
        <v>104</v>
      </c>
      <c r="Q949" s="38" t="s">
        <v>105</v>
      </c>
      <c r="R949" s="38">
        <v>1</v>
      </c>
      <c r="S949" s="38" t="s">
        <v>52</v>
      </c>
      <c r="T949" s="38" t="s">
        <v>53</v>
      </c>
      <c r="U949" s="38" t="s">
        <v>54</v>
      </c>
      <c r="V949" s="38" t="s">
        <v>55</v>
      </c>
      <c r="Y949" s="38">
        <v>102.73</v>
      </c>
      <c r="Z949" s="38">
        <v>1</v>
      </c>
      <c r="AF949" s="38">
        <v>102.73</v>
      </c>
      <c r="AI949" s="38">
        <v>1</v>
      </c>
      <c r="AJ949" s="38">
        <v>1</v>
      </c>
      <c r="AK949" s="14">
        <f t="shared" si="3"/>
        <v>1</v>
      </c>
      <c r="AO949" s="28"/>
    </row>
    <row r="950" spans="1:41" ht="12.5" hidden="1">
      <c r="A950" s="28" t="s">
        <v>3598</v>
      </c>
      <c r="B950" s="37">
        <v>45773</v>
      </c>
      <c r="C950" s="29">
        <v>45777</v>
      </c>
      <c r="D950" s="38" t="s">
        <v>41</v>
      </c>
      <c r="E950" s="38" t="s">
        <v>3599</v>
      </c>
      <c r="G950" s="38" t="s">
        <v>43</v>
      </c>
      <c r="H950" s="38">
        <v>14.56</v>
      </c>
      <c r="I950" s="38" t="s">
        <v>44</v>
      </c>
      <c r="J950" s="38" t="s">
        <v>45</v>
      </c>
      <c r="K950" s="38" t="s">
        <v>3600</v>
      </c>
      <c r="L950" s="30" t="s">
        <v>58</v>
      </c>
      <c r="M950" s="38" t="s">
        <v>48</v>
      </c>
      <c r="N950" s="38" t="s">
        <v>48</v>
      </c>
      <c r="O950" s="31" t="s">
        <v>109</v>
      </c>
      <c r="P950" s="28" t="s">
        <v>110</v>
      </c>
      <c r="Q950" s="38" t="s">
        <v>111</v>
      </c>
      <c r="R950" s="38">
        <v>1</v>
      </c>
      <c r="S950" s="38" t="s">
        <v>2990</v>
      </c>
      <c r="T950" s="38" t="s">
        <v>53</v>
      </c>
      <c r="U950" s="38" t="s">
        <v>54</v>
      </c>
      <c r="V950" s="38" t="s">
        <v>55</v>
      </c>
      <c r="Y950" s="38">
        <v>111.14</v>
      </c>
      <c r="Z950" s="38">
        <v>1</v>
      </c>
      <c r="AF950" s="38">
        <v>96.58</v>
      </c>
      <c r="AI950" s="38">
        <v>2</v>
      </c>
      <c r="AJ950" s="38">
        <v>3</v>
      </c>
      <c r="AK950" s="14">
        <f t="shared" si="3"/>
        <v>0.66666666666666663</v>
      </c>
      <c r="AO950" s="28"/>
    </row>
    <row r="951" spans="1:41" ht="12.5" hidden="1">
      <c r="A951" s="28" t="s">
        <v>3601</v>
      </c>
      <c r="B951" s="37">
        <v>45747</v>
      </c>
      <c r="C951" s="29">
        <v>45767</v>
      </c>
      <c r="D951" s="38" t="s">
        <v>41</v>
      </c>
      <c r="E951" s="38" t="s">
        <v>3602</v>
      </c>
      <c r="G951" s="38" t="s">
        <v>43</v>
      </c>
      <c r="H951" s="38">
        <v>14.56</v>
      </c>
      <c r="I951" s="38" t="s">
        <v>44</v>
      </c>
      <c r="J951" s="38" t="s">
        <v>45</v>
      </c>
      <c r="K951" s="38" t="s">
        <v>3603</v>
      </c>
      <c r="L951" s="30" t="s">
        <v>58</v>
      </c>
      <c r="M951" s="38" t="s">
        <v>48</v>
      </c>
      <c r="N951" s="38" t="s">
        <v>48</v>
      </c>
      <c r="O951" s="31" t="s">
        <v>109</v>
      </c>
      <c r="P951" s="28" t="s">
        <v>110</v>
      </c>
      <c r="Q951" s="38" t="s">
        <v>111</v>
      </c>
      <c r="R951" s="38">
        <v>1</v>
      </c>
      <c r="S951" s="38" t="s">
        <v>59</v>
      </c>
      <c r="T951" s="38" t="s">
        <v>53</v>
      </c>
      <c r="U951" s="38" t="s">
        <v>54</v>
      </c>
      <c r="V951" s="38" t="s">
        <v>61</v>
      </c>
      <c r="Y951" s="38">
        <v>108.4</v>
      </c>
      <c r="Z951" s="38">
        <v>1</v>
      </c>
      <c r="AK951" s="14" t="e">
        <f t="shared" si="3"/>
        <v>#DIV/0!</v>
      </c>
      <c r="AO951" s="28"/>
    </row>
    <row r="952" spans="1:41" ht="12.5" hidden="1">
      <c r="A952" s="28" t="s">
        <v>3604</v>
      </c>
      <c r="B952" s="37">
        <v>45759</v>
      </c>
      <c r="C952" s="29">
        <v>45772</v>
      </c>
      <c r="D952" s="38" t="s">
        <v>41</v>
      </c>
      <c r="E952" s="38" t="s">
        <v>3605</v>
      </c>
      <c r="G952" s="38" t="s">
        <v>43</v>
      </c>
      <c r="H952" s="38">
        <v>7.95</v>
      </c>
      <c r="I952" s="38" t="s">
        <v>44</v>
      </c>
      <c r="J952" s="38" t="s">
        <v>45</v>
      </c>
      <c r="K952" s="38" t="s">
        <v>3606</v>
      </c>
      <c r="L952" s="30" t="s">
        <v>47</v>
      </c>
      <c r="M952" s="38" t="s">
        <v>48</v>
      </c>
      <c r="N952" s="38" t="s">
        <v>48</v>
      </c>
      <c r="O952" s="31" t="s">
        <v>987</v>
      </c>
      <c r="P952" s="28" t="s">
        <v>988</v>
      </c>
      <c r="Q952" s="38" t="s">
        <v>989</v>
      </c>
      <c r="R952" s="38">
        <v>1</v>
      </c>
      <c r="S952" s="38" t="s">
        <v>99</v>
      </c>
      <c r="T952" s="38" t="s">
        <v>53</v>
      </c>
      <c r="U952" s="38" t="s">
        <v>54</v>
      </c>
      <c r="V952" s="38" t="s">
        <v>61</v>
      </c>
      <c r="Y952" s="38">
        <v>57.68</v>
      </c>
      <c r="Z952" s="38">
        <v>1</v>
      </c>
      <c r="AI952" s="38">
        <v>2</v>
      </c>
      <c r="AJ952" s="38">
        <v>5</v>
      </c>
      <c r="AK952" s="14">
        <f t="shared" si="3"/>
        <v>0.4</v>
      </c>
      <c r="AO952" s="28"/>
    </row>
    <row r="953" spans="1:41" ht="12.5" hidden="1">
      <c r="A953" s="28" t="s">
        <v>3607</v>
      </c>
      <c r="B953" s="37">
        <v>45762</v>
      </c>
      <c r="C953" s="29">
        <v>45768</v>
      </c>
      <c r="D953" s="38" t="s">
        <v>41</v>
      </c>
      <c r="E953" s="38" t="s">
        <v>3608</v>
      </c>
      <c r="G953" s="38" t="s">
        <v>43</v>
      </c>
      <c r="H953" s="38">
        <v>7.95</v>
      </c>
      <c r="I953" s="38" t="s">
        <v>44</v>
      </c>
      <c r="J953" s="38" t="s">
        <v>45</v>
      </c>
      <c r="K953" s="38" t="s">
        <v>3609</v>
      </c>
      <c r="L953" s="30" t="s">
        <v>47</v>
      </c>
      <c r="M953" s="38" t="s">
        <v>48</v>
      </c>
      <c r="N953" s="38" t="s">
        <v>48</v>
      </c>
      <c r="O953" s="31" t="s">
        <v>987</v>
      </c>
      <c r="P953" s="28" t="s">
        <v>988</v>
      </c>
      <c r="Q953" s="38" t="s">
        <v>989</v>
      </c>
      <c r="R953" s="38">
        <v>1</v>
      </c>
      <c r="S953" s="38" t="s">
        <v>99</v>
      </c>
      <c r="T953" s="38" t="s">
        <v>53</v>
      </c>
      <c r="U953" s="38" t="s">
        <v>54</v>
      </c>
      <c r="V953" s="38" t="s">
        <v>55</v>
      </c>
      <c r="Y953" s="38">
        <v>56.06</v>
      </c>
      <c r="Z953" s="38">
        <v>1</v>
      </c>
      <c r="AF953" s="38">
        <v>56.06</v>
      </c>
      <c r="AK953" s="14" t="e">
        <f t="shared" si="3"/>
        <v>#DIV/0!</v>
      </c>
      <c r="AO953" s="28"/>
    </row>
    <row r="954" spans="1:41" ht="12.5" hidden="1">
      <c r="A954" s="28" t="s">
        <v>3610</v>
      </c>
      <c r="B954" s="37">
        <v>45761</v>
      </c>
      <c r="C954" s="29">
        <v>45772</v>
      </c>
      <c r="D954" s="38" t="s">
        <v>41</v>
      </c>
      <c r="E954" s="38" t="s">
        <v>3611</v>
      </c>
      <c r="G954" s="38" t="s">
        <v>43</v>
      </c>
      <c r="H954" s="38">
        <v>10.1</v>
      </c>
      <c r="I954" s="38" t="s">
        <v>44</v>
      </c>
      <c r="J954" s="38" t="s">
        <v>45</v>
      </c>
      <c r="K954" s="38" t="s">
        <v>3612</v>
      </c>
      <c r="L954" s="30" t="s">
        <v>58</v>
      </c>
      <c r="M954" s="38" t="s">
        <v>48</v>
      </c>
      <c r="N954" s="38" t="s">
        <v>48</v>
      </c>
      <c r="O954" s="31" t="s">
        <v>121</v>
      </c>
      <c r="P954" s="28" t="s">
        <v>122</v>
      </c>
      <c r="Q954" s="38" t="s">
        <v>123</v>
      </c>
      <c r="R954" s="38">
        <v>1</v>
      </c>
      <c r="S954" s="38" t="s">
        <v>68</v>
      </c>
      <c r="T954" s="38" t="s">
        <v>53</v>
      </c>
      <c r="U954" s="38" t="s">
        <v>54</v>
      </c>
      <c r="V954" s="38" t="s">
        <v>55</v>
      </c>
      <c r="Y954" s="38">
        <v>70.540000000000006</v>
      </c>
      <c r="Z954" s="38">
        <v>1</v>
      </c>
      <c r="AF954" s="38">
        <v>60.44</v>
      </c>
      <c r="AI954" s="38">
        <v>1</v>
      </c>
      <c r="AJ954" s="38">
        <v>5</v>
      </c>
      <c r="AK954" s="14">
        <f t="shared" si="3"/>
        <v>0.2</v>
      </c>
      <c r="AO954" s="28"/>
    </row>
    <row r="955" spans="1:41" ht="12.5" hidden="1">
      <c r="A955" s="28" t="s">
        <v>3613</v>
      </c>
      <c r="B955" s="37">
        <v>45764</v>
      </c>
      <c r="C955" s="29">
        <v>45770</v>
      </c>
      <c r="D955" s="38" t="s">
        <v>41</v>
      </c>
      <c r="E955" s="38" t="s">
        <v>3614</v>
      </c>
      <c r="G955" s="38" t="s">
        <v>43</v>
      </c>
      <c r="H955" s="38">
        <v>9.6999999999999993</v>
      </c>
      <c r="I955" s="38" t="s">
        <v>44</v>
      </c>
      <c r="J955" s="38" t="s">
        <v>45</v>
      </c>
      <c r="K955" s="38" t="s">
        <v>3615</v>
      </c>
      <c r="L955" s="30" t="s">
        <v>58</v>
      </c>
      <c r="M955" s="38" t="s">
        <v>48</v>
      </c>
      <c r="N955" s="38" t="s">
        <v>48</v>
      </c>
      <c r="O955" s="31" t="s">
        <v>3616</v>
      </c>
      <c r="P955" s="28" t="s">
        <v>3617</v>
      </c>
      <c r="Q955" s="38" t="s">
        <v>3618</v>
      </c>
      <c r="R955" s="38">
        <v>1</v>
      </c>
      <c r="S955" s="38" t="s">
        <v>68</v>
      </c>
      <c r="T955" s="38" t="s">
        <v>53</v>
      </c>
      <c r="U955" s="38" t="s">
        <v>54</v>
      </c>
      <c r="V955" s="38" t="s">
        <v>55</v>
      </c>
      <c r="Y955" s="38">
        <v>51.84</v>
      </c>
      <c r="Z955" s="38">
        <v>1</v>
      </c>
      <c r="AF955" s="38">
        <v>42.14</v>
      </c>
      <c r="AI955" s="38">
        <v>1</v>
      </c>
      <c r="AJ955" s="38">
        <v>12</v>
      </c>
      <c r="AK955" s="14">
        <f t="shared" si="3"/>
        <v>8.3333333333333329E-2</v>
      </c>
      <c r="AO955" s="28"/>
    </row>
    <row r="956" spans="1:41" ht="12.5" hidden="1">
      <c r="A956" s="28" t="s">
        <v>3619</v>
      </c>
      <c r="B956" s="37">
        <v>45761</v>
      </c>
      <c r="C956" s="29">
        <v>45764</v>
      </c>
      <c r="D956" s="38" t="s">
        <v>41</v>
      </c>
      <c r="E956" s="38" t="s">
        <v>3620</v>
      </c>
      <c r="G956" s="38" t="s">
        <v>43</v>
      </c>
      <c r="H956" s="38">
        <v>11.19</v>
      </c>
      <c r="I956" s="38" t="s">
        <v>44</v>
      </c>
      <c r="J956" s="38" t="s">
        <v>45</v>
      </c>
      <c r="K956" s="38" t="s">
        <v>3621</v>
      </c>
      <c r="L956" s="30" t="s">
        <v>47</v>
      </c>
      <c r="M956" s="38" t="s">
        <v>48</v>
      </c>
      <c r="N956" s="38" t="s">
        <v>48</v>
      </c>
      <c r="O956" s="31" t="s">
        <v>1003</v>
      </c>
      <c r="P956" s="28" t="s">
        <v>1004</v>
      </c>
      <c r="Q956" s="38" t="s">
        <v>1005</v>
      </c>
      <c r="R956" s="38">
        <v>1</v>
      </c>
      <c r="S956" s="38" t="s">
        <v>52</v>
      </c>
      <c r="T956" s="38" t="s">
        <v>53</v>
      </c>
      <c r="U956" s="38" t="s">
        <v>54</v>
      </c>
      <c r="V956" s="38" t="s">
        <v>55</v>
      </c>
      <c r="Y956" s="38">
        <v>95.9</v>
      </c>
      <c r="Z956" s="38">
        <v>1</v>
      </c>
      <c r="AF956" s="38">
        <v>95.9</v>
      </c>
      <c r="AI956" s="38">
        <v>2</v>
      </c>
      <c r="AJ956" s="38">
        <v>3</v>
      </c>
      <c r="AK956" s="14">
        <f t="shared" si="3"/>
        <v>0.66666666666666663</v>
      </c>
      <c r="AO956" s="28"/>
    </row>
    <row r="957" spans="1:41" ht="12.5" hidden="1">
      <c r="A957" s="28" t="s">
        <v>3622</v>
      </c>
      <c r="B957" s="37">
        <v>45757</v>
      </c>
      <c r="C957" s="29">
        <v>45764</v>
      </c>
      <c r="D957" s="38" t="s">
        <v>41</v>
      </c>
      <c r="E957" s="38" t="s">
        <v>3623</v>
      </c>
      <c r="G957" s="38" t="s">
        <v>43</v>
      </c>
      <c r="H957" s="38">
        <v>11.19</v>
      </c>
      <c r="I957" s="38" t="s">
        <v>44</v>
      </c>
      <c r="J957" s="38" t="s">
        <v>45</v>
      </c>
      <c r="K957" s="38" t="s">
        <v>3624</v>
      </c>
      <c r="L957" s="30" t="s">
        <v>47</v>
      </c>
      <c r="M957" s="38" t="s">
        <v>48</v>
      </c>
      <c r="N957" s="38" t="s">
        <v>48</v>
      </c>
      <c r="O957" s="31" t="s">
        <v>1003</v>
      </c>
      <c r="P957" s="28" t="s">
        <v>1004</v>
      </c>
      <c r="Q957" s="38" t="s">
        <v>1005</v>
      </c>
      <c r="R957" s="38">
        <v>1</v>
      </c>
      <c r="S957" s="38" t="s">
        <v>99</v>
      </c>
      <c r="T957" s="38" t="s">
        <v>53</v>
      </c>
      <c r="U957" s="38" t="s">
        <v>54</v>
      </c>
      <c r="V957" s="38" t="s">
        <v>55</v>
      </c>
      <c r="Y957" s="38">
        <v>97.49</v>
      </c>
      <c r="Z957" s="38">
        <v>1</v>
      </c>
      <c r="AF957" s="38">
        <v>97.49</v>
      </c>
      <c r="AK957" s="14" t="e">
        <f t="shared" si="3"/>
        <v>#DIV/0!</v>
      </c>
      <c r="AO957" s="28"/>
    </row>
    <row r="958" spans="1:41" ht="12.5" hidden="1">
      <c r="A958" s="28" t="s">
        <v>3625</v>
      </c>
      <c r="B958" s="37">
        <v>45770</v>
      </c>
      <c r="C958" s="29">
        <v>45771</v>
      </c>
      <c r="D958" s="38" t="s">
        <v>41</v>
      </c>
      <c r="E958" s="38" t="s">
        <v>3626</v>
      </c>
      <c r="G958" s="38" t="s">
        <v>43</v>
      </c>
      <c r="H958" s="38">
        <v>7.95</v>
      </c>
      <c r="I958" s="38" t="s">
        <v>44</v>
      </c>
      <c r="J958" s="38" t="s">
        <v>45</v>
      </c>
      <c r="K958" s="38" t="s">
        <v>3627</v>
      </c>
      <c r="L958" s="30" t="s">
        <v>58</v>
      </c>
      <c r="M958" s="38" t="s">
        <v>48</v>
      </c>
      <c r="N958" s="38" t="s">
        <v>48</v>
      </c>
      <c r="O958" s="31" t="s">
        <v>3628</v>
      </c>
      <c r="P958" s="28" t="s">
        <v>3629</v>
      </c>
      <c r="Q958" s="38" t="s">
        <v>3630</v>
      </c>
      <c r="R958" s="38">
        <v>1</v>
      </c>
      <c r="S958" s="38" t="s">
        <v>75</v>
      </c>
      <c r="T958" s="38" t="s">
        <v>53</v>
      </c>
      <c r="U958" s="38" t="s">
        <v>54</v>
      </c>
      <c r="V958" s="38" t="s">
        <v>61</v>
      </c>
      <c r="Y958" s="38">
        <v>71.98</v>
      </c>
      <c r="Z958" s="38">
        <v>1</v>
      </c>
      <c r="AI958" s="38">
        <v>1</v>
      </c>
      <c r="AJ958" s="38">
        <v>1</v>
      </c>
      <c r="AK958" s="14">
        <f t="shared" si="3"/>
        <v>1</v>
      </c>
      <c r="AO958" s="28"/>
    </row>
    <row r="959" spans="1:41" ht="12.5" hidden="1">
      <c r="A959" s="28" t="s">
        <v>3631</v>
      </c>
      <c r="B959" s="37">
        <v>45746</v>
      </c>
      <c r="C959" s="29">
        <v>45774</v>
      </c>
      <c r="D959" s="38" t="s">
        <v>41</v>
      </c>
      <c r="G959" s="38" t="s">
        <v>137</v>
      </c>
      <c r="H959" s="38">
        <v>0</v>
      </c>
      <c r="L959" s="30" t="s">
        <v>58</v>
      </c>
      <c r="M959" s="38" t="s">
        <v>48</v>
      </c>
      <c r="N959" s="38" t="s">
        <v>48</v>
      </c>
      <c r="O959" s="31" t="s">
        <v>3632</v>
      </c>
      <c r="P959" s="28" t="s">
        <v>3633</v>
      </c>
      <c r="Q959" s="38" t="s">
        <v>3634</v>
      </c>
      <c r="R959" s="38">
        <v>1</v>
      </c>
      <c r="S959" s="38" t="s">
        <v>306</v>
      </c>
      <c r="T959" s="38" t="s">
        <v>53</v>
      </c>
      <c r="U959" s="38" t="s">
        <v>54</v>
      </c>
      <c r="V959" s="38" t="s">
        <v>141</v>
      </c>
      <c r="Y959" s="38">
        <v>34.85</v>
      </c>
      <c r="Z959" s="38">
        <v>1</v>
      </c>
      <c r="AF959" s="38">
        <v>34.85</v>
      </c>
      <c r="AI959" s="38">
        <v>1</v>
      </c>
      <c r="AJ959" s="38">
        <v>1</v>
      </c>
      <c r="AK959" s="14">
        <f t="shared" si="3"/>
        <v>1</v>
      </c>
      <c r="AO959" s="28"/>
    </row>
    <row r="960" spans="1:41" ht="12.5" hidden="1">
      <c r="A960" s="28" t="s">
        <v>3635</v>
      </c>
      <c r="B960" s="37">
        <v>45758</v>
      </c>
      <c r="C960" s="29">
        <v>45766</v>
      </c>
      <c r="D960" s="38" t="s">
        <v>41</v>
      </c>
      <c r="E960" s="38" t="s">
        <v>3636</v>
      </c>
      <c r="G960" s="38" t="s">
        <v>137</v>
      </c>
      <c r="H960" s="38">
        <v>0</v>
      </c>
      <c r="L960" s="30" t="s">
        <v>47</v>
      </c>
      <c r="M960" s="38" t="s">
        <v>48</v>
      </c>
      <c r="N960" s="38" t="s">
        <v>48</v>
      </c>
      <c r="O960" s="31" t="s">
        <v>147</v>
      </c>
      <c r="P960" s="28" t="s">
        <v>148</v>
      </c>
      <c r="Q960" s="38" t="s">
        <v>149</v>
      </c>
      <c r="R960" s="38">
        <v>1</v>
      </c>
      <c r="S960" s="38" t="s">
        <v>92</v>
      </c>
      <c r="T960" s="38" t="s">
        <v>53</v>
      </c>
      <c r="U960" s="38" t="s">
        <v>54</v>
      </c>
      <c r="V960" s="38" t="s">
        <v>61</v>
      </c>
      <c r="Y960" s="38">
        <v>392.74</v>
      </c>
      <c r="Z960" s="38">
        <v>1</v>
      </c>
      <c r="AI960" s="38">
        <v>1</v>
      </c>
      <c r="AJ960" s="38">
        <v>2</v>
      </c>
      <c r="AK960" s="14">
        <f t="shared" si="3"/>
        <v>0.5</v>
      </c>
      <c r="AO960" s="28"/>
    </row>
    <row r="961" spans="1:41" ht="12.5" hidden="1">
      <c r="A961" s="28" t="s">
        <v>3637</v>
      </c>
      <c r="B961" s="37">
        <v>45763</v>
      </c>
      <c r="C961" s="29">
        <v>45775</v>
      </c>
      <c r="D961" s="38" t="s">
        <v>41</v>
      </c>
      <c r="E961" s="38" t="s">
        <v>3638</v>
      </c>
      <c r="G961" s="38" t="s">
        <v>43</v>
      </c>
      <c r="H961" s="38">
        <v>11.84</v>
      </c>
      <c r="I961" s="38" t="s">
        <v>44</v>
      </c>
      <c r="J961" s="38" t="s">
        <v>45</v>
      </c>
      <c r="K961" s="38" t="s">
        <v>3639</v>
      </c>
      <c r="L961" s="30" t="s">
        <v>58</v>
      </c>
      <c r="M961" s="38" t="s">
        <v>53</v>
      </c>
      <c r="N961" s="38" t="s">
        <v>48</v>
      </c>
      <c r="O961" s="47" t="s">
        <v>160</v>
      </c>
      <c r="P961" s="28" t="s">
        <v>161</v>
      </c>
      <c r="Q961" s="38" t="s">
        <v>2143</v>
      </c>
      <c r="R961" s="38">
        <v>1</v>
      </c>
      <c r="S961" s="38" t="s">
        <v>75</v>
      </c>
      <c r="T961" s="38" t="s">
        <v>53</v>
      </c>
      <c r="U961" s="38" t="s">
        <v>54</v>
      </c>
      <c r="V961" s="38" t="s">
        <v>55</v>
      </c>
      <c r="Y961" s="38">
        <v>54.98</v>
      </c>
      <c r="Z961" s="38">
        <v>1</v>
      </c>
      <c r="AF961" s="38">
        <v>43.14</v>
      </c>
      <c r="AI961" s="38">
        <v>6</v>
      </c>
      <c r="AJ961" s="38">
        <v>10</v>
      </c>
      <c r="AK961" s="14">
        <f t="shared" si="3"/>
        <v>0.6</v>
      </c>
      <c r="AL961" s="38" t="s">
        <v>3640</v>
      </c>
      <c r="AO961" s="28"/>
    </row>
    <row r="962" spans="1:41" ht="12.5" hidden="1">
      <c r="A962" s="28" t="s">
        <v>3641</v>
      </c>
      <c r="B962" s="37">
        <v>45760</v>
      </c>
      <c r="C962" s="29">
        <v>45772</v>
      </c>
      <c r="D962" s="38" t="s">
        <v>41</v>
      </c>
      <c r="E962" s="38" t="s">
        <v>3642</v>
      </c>
      <c r="G962" s="38" t="s">
        <v>43</v>
      </c>
      <c r="H962" s="38">
        <v>11.84</v>
      </c>
      <c r="I962" s="38" t="s">
        <v>44</v>
      </c>
      <c r="J962" s="38" t="s">
        <v>45</v>
      </c>
      <c r="K962" s="38" t="s">
        <v>3643</v>
      </c>
      <c r="L962" s="30" t="s">
        <v>47</v>
      </c>
      <c r="M962" s="38" t="s">
        <v>48</v>
      </c>
      <c r="N962" s="38" t="s">
        <v>48</v>
      </c>
      <c r="O962" s="31" t="s">
        <v>160</v>
      </c>
      <c r="P962" s="28" t="s">
        <v>161</v>
      </c>
      <c r="Q962" s="38" t="s">
        <v>2143</v>
      </c>
      <c r="R962" s="38">
        <v>1</v>
      </c>
      <c r="S962" s="38" t="s">
        <v>92</v>
      </c>
      <c r="T962" s="38" t="s">
        <v>53</v>
      </c>
      <c r="U962" s="38" t="s">
        <v>54</v>
      </c>
      <c r="V962" s="38" t="s">
        <v>61</v>
      </c>
      <c r="Y962" s="38">
        <v>53.96</v>
      </c>
      <c r="Z962" s="38">
        <v>1</v>
      </c>
      <c r="AK962" s="14" t="e">
        <f t="shared" si="3"/>
        <v>#DIV/0!</v>
      </c>
      <c r="AL962" s="38" t="s">
        <v>3640</v>
      </c>
      <c r="AO962" s="28"/>
    </row>
    <row r="963" spans="1:41" ht="12.5" hidden="1">
      <c r="A963" s="28" t="s">
        <v>3637</v>
      </c>
      <c r="B963" s="37">
        <v>45763</v>
      </c>
      <c r="C963" s="29">
        <v>45771</v>
      </c>
      <c r="D963" s="38" t="s">
        <v>485</v>
      </c>
      <c r="L963" s="30" t="s">
        <v>58</v>
      </c>
      <c r="M963" s="38" t="s">
        <v>48</v>
      </c>
      <c r="N963" s="38" t="s">
        <v>48</v>
      </c>
      <c r="O963" s="31" t="s">
        <v>160</v>
      </c>
      <c r="P963" s="28" t="s">
        <v>161</v>
      </c>
      <c r="Q963" s="38" t="s">
        <v>2143</v>
      </c>
      <c r="R963" s="38">
        <v>1</v>
      </c>
      <c r="S963" s="38" t="s">
        <v>59</v>
      </c>
      <c r="T963" s="38" t="s">
        <v>53</v>
      </c>
      <c r="U963" s="38" t="s">
        <v>60</v>
      </c>
      <c r="V963" s="38" t="s">
        <v>61</v>
      </c>
      <c r="Y963" s="38">
        <v>54.98</v>
      </c>
      <c r="Z963" s="38">
        <v>1</v>
      </c>
      <c r="AK963" s="14" t="e">
        <f t="shared" si="3"/>
        <v>#DIV/0!</v>
      </c>
      <c r="AO963" s="28"/>
    </row>
    <row r="964" spans="1:41" ht="12.5" hidden="1">
      <c r="A964" s="28" t="s">
        <v>3637</v>
      </c>
      <c r="B964" s="37">
        <v>45763</v>
      </c>
      <c r="C964" s="29">
        <v>45771</v>
      </c>
      <c r="D964" s="38" t="s">
        <v>41</v>
      </c>
      <c r="E964" s="38" t="s">
        <v>3644</v>
      </c>
      <c r="G964" s="38" t="s">
        <v>43</v>
      </c>
      <c r="H964" s="38">
        <v>11.84</v>
      </c>
      <c r="I964" s="38" t="s">
        <v>44</v>
      </c>
      <c r="J964" s="38" t="s">
        <v>45</v>
      </c>
      <c r="K964" s="38" t="s">
        <v>3645</v>
      </c>
      <c r="L964" s="30" t="s">
        <v>58</v>
      </c>
      <c r="M964" s="38" t="s">
        <v>48</v>
      </c>
      <c r="N964" s="38" t="s">
        <v>48</v>
      </c>
      <c r="O964" s="31" t="s">
        <v>160</v>
      </c>
      <c r="P964" s="28" t="s">
        <v>161</v>
      </c>
      <c r="Q964" s="38" t="s">
        <v>2143</v>
      </c>
      <c r="R964" s="38">
        <v>1</v>
      </c>
      <c r="S964" s="38" t="s">
        <v>59</v>
      </c>
      <c r="T964" s="38" t="s">
        <v>53</v>
      </c>
      <c r="U964" s="38" t="s">
        <v>60</v>
      </c>
      <c r="V964" s="38" t="s">
        <v>61</v>
      </c>
      <c r="Y964" s="38">
        <v>54.98</v>
      </c>
      <c r="Z964" s="38">
        <v>1</v>
      </c>
      <c r="AK964" s="14" t="e">
        <f t="shared" si="3"/>
        <v>#DIV/0!</v>
      </c>
      <c r="AO964" s="28"/>
    </row>
    <row r="965" spans="1:41" ht="12.5" hidden="1">
      <c r="A965" s="28" t="s">
        <v>3646</v>
      </c>
      <c r="B965" s="39">
        <v>45752</v>
      </c>
      <c r="C965" s="29">
        <v>45769</v>
      </c>
      <c r="D965" s="38" t="s">
        <v>41</v>
      </c>
      <c r="E965" s="38" t="s">
        <v>3647</v>
      </c>
      <c r="G965" s="38" t="s">
        <v>43</v>
      </c>
      <c r="H965" s="38">
        <v>11.84</v>
      </c>
      <c r="I965" s="38" t="s">
        <v>44</v>
      </c>
      <c r="J965" s="38" t="s">
        <v>45</v>
      </c>
      <c r="K965" s="38" t="s">
        <v>3648</v>
      </c>
      <c r="L965" s="30" t="s">
        <v>58</v>
      </c>
      <c r="M965" s="38" t="s">
        <v>48</v>
      </c>
      <c r="N965" s="38" t="s">
        <v>48</v>
      </c>
      <c r="O965" s="31" t="s">
        <v>160</v>
      </c>
      <c r="P965" s="28" t="s">
        <v>161</v>
      </c>
      <c r="Q965" s="38" t="s">
        <v>2143</v>
      </c>
      <c r="R965" s="38">
        <v>1</v>
      </c>
      <c r="S965" s="38" t="s">
        <v>68</v>
      </c>
      <c r="T965" s="38" t="s">
        <v>53</v>
      </c>
      <c r="U965" s="38" t="s">
        <v>54</v>
      </c>
      <c r="V965" s="38" t="s">
        <v>61</v>
      </c>
      <c r="Y965" s="38">
        <v>53.7</v>
      </c>
      <c r="Z965" s="38">
        <v>1</v>
      </c>
      <c r="AK965" s="14" t="e">
        <f t="shared" si="3"/>
        <v>#DIV/0!</v>
      </c>
      <c r="AO965" s="28"/>
    </row>
    <row r="966" spans="1:41" ht="12.5" hidden="1">
      <c r="A966" s="28" t="s">
        <v>3641</v>
      </c>
      <c r="B966" s="37">
        <v>45760</v>
      </c>
      <c r="C966" s="29">
        <v>45766</v>
      </c>
      <c r="D966" s="38" t="s">
        <v>41</v>
      </c>
      <c r="E966" s="38" t="s">
        <v>3649</v>
      </c>
      <c r="G966" s="38" t="s">
        <v>43</v>
      </c>
      <c r="H966" s="38">
        <v>11.84</v>
      </c>
      <c r="I966" s="38" t="s">
        <v>44</v>
      </c>
      <c r="J966" s="38" t="s">
        <v>45</v>
      </c>
      <c r="K966" s="38" t="s">
        <v>3650</v>
      </c>
      <c r="L966" s="30" t="s">
        <v>47</v>
      </c>
      <c r="M966" s="38" t="s">
        <v>48</v>
      </c>
      <c r="N966" s="38" t="s">
        <v>48</v>
      </c>
      <c r="O966" s="31" t="s">
        <v>160</v>
      </c>
      <c r="P966" s="28" t="s">
        <v>161</v>
      </c>
      <c r="Q966" s="38" t="s">
        <v>2143</v>
      </c>
      <c r="R966" s="38">
        <v>1</v>
      </c>
      <c r="S966" s="38" t="s">
        <v>92</v>
      </c>
      <c r="T966" s="38" t="s">
        <v>53</v>
      </c>
      <c r="U966" s="38" t="s">
        <v>54</v>
      </c>
      <c r="V966" s="38" t="s">
        <v>61</v>
      </c>
      <c r="Y966" s="38">
        <v>53.96</v>
      </c>
      <c r="Z966" s="38">
        <v>1</v>
      </c>
      <c r="AK966" s="14" t="e">
        <f t="shared" si="3"/>
        <v>#DIV/0!</v>
      </c>
      <c r="AO966" s="28"/>
    </row>
    <row r="967" spans="1:41" ht="12.5" hidden="1">
      <c r="A967" s="28" t="s">
        <v>3651</v>
      </c>
      <c r="B967" s="37">
        <v>45774</v>
      </c>
      <c r="C967" s="29">
        <v>45776</v>
      </c>
      <c r="D967" s="38" t="s">
        <v>41</v>
      </c>
      <c r="E967" s="38" t="s">
        <v>3652</v>
      </c>
      <c r="G967" s="38" t="s">
        <v>43</v>
      </c>
      <c r="H967" s="38">
        <v>13.67</v>
      </c>
      <c r="I967" s="38" t="s">
        <v>44</v>
      </c>
      <c r="J967" s="38" t="s">
        <v>45</v>
      </c>
      <c r="K967" s="38" t="s">
        <v>3653</v>
      </c>
      <c r="L967" s="30" t="s">
        <v>47</v>
      </c>
      <c r="M967" s="38" t="s">
        <v>48</v>
      </c>
      <c r="N967" s="38" t="s">
        <v>48</v>
      </c>
      <c r="O967" s="31" t="s">
        <v>219</v>
      </c>
      <c r="P967" s="28" t="s">
        <v>220</v>
      </c>
      <c r="Q967" s="38" t="s">
        <v>221</v>
      </c>
      <c r="R967" s="38">
        <v>1</v>
      </c>
      <c r="S967" s="38" t="s">
        <v>99</v>
      </c>
      <c r="T967" s="38" t="s">
        <v>53</v>
      </c>
      <c r="U967" s="38" t="s">
        <v>54</v>
      </c>
      <c r="V967" s="38" t="s">
        <v>61</v>
      </c>
      <c r="Y967" s="38">
        <v>82.29</v>
      </c>
      <c r="Z967" s="38">
        <v>1</v>
      </c>
      <c r="AI967" s="38">
        <v>4</v>
      </c>
      <c r="AJ967" s="38">
        <v>31</v>
      </c>
      <c r="AK967" s="14">
        <f t="shared" si="3"/>
        <v>0.12903225806451613</v>
      </c>
      <c r="AO967" s="28"/>
    </row>
    <row r="968" spans="1:41" ht="12.5" hidden="1">
      <c r="A968" s="28" t="s">
        <v>3654</v>
      </c>
      <c r="B968" s="37">
        <v>45764</v>
      </c>
      <c r="C968" s="29">
        <v>45774</v>
      </c>
      <c r="D968" s="38" t="s">
        <v>41</v>
      </c>
      <c r="E968" s="38" t="s">
        <v>3655</v>
      </c>
      <c r="G968" s="38" t="s">
        <v>43</v>
      </c>
      <c r="H968" s="38">
        <v>13.67</v>
      </c>
      <c r="I968" s="38" t="s">
        <v>44</v>
      </c>
      <c r="J968" s="38" t="s">
        <v>45</v>
      </c>
      <c r="K968" s="38" t="s">
        <v>3656</v>
      </c>
      <c r="L968" s="30" t="s">
        <v>47</v>
      </c>
      <c r="M968" s="38" t="s">
        <v>48</v>
      </c>
      <c r="N968" s="38" t="s">
        <v>48</v>
      </c>
      <c r="O968" s="31" t="s">
        <v>219</v>
      </c>
      <c r="P968" s="28" t="s">
        <v>220</v>
      </c>
      <c r="Q968" s="38" t="s">
        <v>221</v>
      </c>
      <c r="R968" s="38">
        <v>1</v>
      </c>
      <c r="S968" s="38" t="s">
        <v>99</v>
      </c>
      <c r="T968" s="38" t="s">
        <v>53</v>
      </c>
      <c r="U968" s="38" t="s">
        <v>54</v>
      </c>
      <c r="V968" s="38" t="s">
        <v>55</v>
      </c>
      <c r="Y968" s="38">
        <v>84.21</v>
      </c>
      <c r="Z968" s="38">
        <v>1</v>
      </c>
      <c r="AF968" s="38">
        <v>84.21</v>
      </c>
      <c r="AK968" s="14" t="e">
        <f t="shared" si="3"/>
        <v>#DIV/0!</v>
      </c>
      <c r="AO968" s="28"/>
    </row>
    <row r="969" spans="1:41" ht="12.5" hidden="1">
      <c r="A969" s="28" t="s">
        <v>3657</v>
      </c>
      <c r="B969" s="37">
        <v>45767</v>
      </c>
      <c r="C969" s="29">
        <v>45773</v>
      </c>
      <c r="D969" s="38" t="s">
        <v>41</v>
      </c>
      <c r="E969" s="38" t="s">
        <v>3658</v>
      </c>
      <c r="G969" s="38" t="s">
        <v>43</v>
      </c>
      <c r="H969" s="38">
        <v>13.67</v>
      </c>
      <c r="I969" s="38" t="s">
        <v>44</v>
      </c>
      <c r="J969" s="38" t="s">
        <v>45</v>
      </c>
      <c r="K969" s="38" t="s">
        <v>3659</v>
      </c>
      <c r="L969" s="30" t="s">
        <v>58</v>
      </c>
      <c r="M969" s="38" t="s">
        <v>48</v>
      </c>
      <c r="N969" s="38" t="s">
        <v>48</v>
      </c>
      <c r="O969" s="31" t="s">
        <v>219</v>
      </c>
      <c r="P969" s="28" t="s">
        <v>220</v>
      </c>
      <c r="Q969" s="38" t="s">
        <v>221</v>
      </c>
      <c r="R969" s="38">
        <v>1</v>
      </c>
      <c r="S969" s="38" t="s">
        <v>68</v>
      </c>
      <c r="T969" s="38" t="s">
        <v>53</v>
      </c>
      <c r="U969" s="38" t="s">
        <v>54</v>
      </c>
      <c r="V969" s="38" t="s">
        <v>55</v>
      </c>
      <c r="Y969" s="38">
        <v>81.78</v>
      </c>
      <c r="Z969" s="38">
        <v>1</v>
      </c>
      <c r="AF969" s="38">
        <v>68.11</v>
      </c>
      <c r="AK969" s="14" t="e">
        <f t="shared" si="3"/>
        <v>#DIV/0!</v>
      </c>
      <c r="AO969" s="28"/>
    </row>
    <row r="970" spans="1:41" ht="12.5" hidden="1">
      <c r="A970" s="28" t="s">
        <v>3660</v>
      </c>
      <c r="B970" s="37">
        <v>45762</v>
      </c>
      <c r="C970" s="29">
        <v>45764</v>
      </c>
      <c r="D970" s="38" t="s">
        <v>41</v>
      </c>
      <c r="E970" s="38" t="s">
        <v>3661</v>
      </c>
      <c r="G970" s="38" t="s">
        <v>43</v>
      </c>
      <c r="H970" s="38">
        <v>13.67</v>
      </c>
      <c r="I970" s="38" t="s">
        <v>44</v>
      </c>
      <c r="J970" s="38" t="s">
        <v>45</v>
      </c>
      <c r="K970" s="38" t="s">
        <v>3662</v>
      </c>
      <c r="L970" s="30" t="s">
        <v>47</v>
      </c>
      <c r="M970" s="38" t="s">
        <v>48</v>
      </c>
      <c r="N970" s="38" t="s">
        <v>48</v>
      </c>
      <c r="O970" s="31" t="s">
        <v>219</v>
      </c>
      <c r="P970" s="28" t="s">
        <v>220</v>
      </c>
      <c r="Q970" s="38" t="s">
        <v>221</v>
      </c>
      <c r="R970" s="38">
        <v>1</v>
      </c>
      <c r="S970" s="38" t="s">
        <v>52</v>
      </c>
      <c r="T970" s="38" t="s">
        <v>53</v>
      </c>
      <c r="U970" s="38" t="s">
        <v>54</v>
      </c>
      <c r="V970" s="38" t="s">
        <v>55</v>
      </c>
      <c r="Y970" s="38">
        <v>80.62</v>
      </c>
      <c r="Z970" s="38">
        <v>1</v>
      </c>
      <c r="AF970" s="38">
        <v>80.62</v>
      </c>
      <c r="AK970" s="14" t="e">
        <f t="shared" si="3"/>
        <v>#DIV/0!</v>
      </c>
      <c r="AO970" s="28"/>
    </row>
    <row r="971" spans="1:41" ht="12.5" hidden="1">
      <c r="A971" s="28" t="s">
        <v>3663</v>
      </c>
      <c r="B971" s="37">
        <v>45767</v>
      </c>
      <c r="C971" s="29">
        <v>45771</v>
      </c>
      <c r="D971" s="38" t="s">
        <v>41</v>
      </c>
      <c r="E971" s="38" t="s">
        <v>3664</v>
      </c>
      <c r="G971" s="38" t="s">
        <v>43</v>
      </c>
      <c r="H971" s="38">
        <v>10.75</v>
      </c>
      <c r="I971" s="38" t="s">
        <v>44</v>
      </c>
      <c r="J971" s="38" t="s">
        <v>45</v>
      </c>
      <c r="K971" s="38" t="s">
        <v>3665</v>
      </c>
      <c r="L971" s="30" t="s">
        <v>47</v>
      </c>
      <c r="M971" s="38" t="s">
        <v>48</v>
      </c>
      <c r="N971" s="38" t="s">
        <v>48</v>
      </c>
      <c r="O971" s="31" t="s">
        <v>1066</v>
      </c>
      <c r="P971" s="28" t="s">
        <v>1067</v>
      </c>
      <c r="Q971" s="38" t="s">
        <v>1068</v>
      </c>
      <c r="R971" s="38">
        <v>1</v>
      </c>
      <c r="S971" s="38" t="s">
        <v>99</v>
      </c>
      <c r="T971" s="38" t="s">
        <v>53</v>
      </c>
      <c r="U971" s="38" t="s">
        <v>54</v>
      </c>
      <c r="V971" s="38" t="s">
        <v>61</v>
      </c>
      <c r="Y971" s="38">
        <v>73.16</v>
      </c>
      <c r="Z971" s="38">
        <v>1</v>
      </c>
      <c r="AI971" s="38">
        <v>1</v>
      </c>
      <c r="AJ971" s="38">
        <v>16</v>
      </c>
      <c r="AK971" s="14">
        <f t="shared" si="3"/>
        <v>6.25E-2</v>
      </c>
      <c r="AO971" s="28"/>
    </row>
    <row r="972" spans="1:41" ht="12.5" hidden="1">
      <c r="A972" s="28" t="s">
        <v>3666</v>
      </c>
      <c r="B972" s="37">
        <v>45763</v>
      </c>
      <c r="C972" s="29">
        <v>45770</v>
      </c>
      <c r="D972" s="38" t="s">
        <v>41</v>
      </c>
      <c r="E972" s="38" t="s">
        <v>3667</v>
      </c>
      <c r="G972" s="38" t="s">
        <v>43</v>
      </c>
      <c r="H972" s="38">
        <v>7.55</v>
      </c>
      <c r="I972" s="38" t="s">
        <v>44</v>
      </c>
      <c r="J972" s="38" t="s">
        <v>45</v>
      </c>
      <c r="K972" s="38" t="s">
        <v>3668</v>
      </c>
      <c r="L972" s="30" t="s">
        <v>58</v>
      </c>
      <c r="M972" s="38" t="s">
        <v>48</v>
      </c>
      <c r="N972" s="38" t="s">
        <v>48</v>
      </c>
      <c r="O972" s="31" t="s">
        <v>1812</v>
      </c>
      <c r="P972" s="28" t="s">
        <v>1813</v>
      </c>
      <c r="Q972" s="38" t="s">
        <v>1814</v>
      </c>
      <c r="R972" s="38">
        <v>1</v>
      </c>
      <c r="S972" s="38" t="s">
        <v>68</v>
      </c>
      <c r="T972" s="38" t="s">
        <v>53</v>
      </c>
      <c r="U972" s="38" t="s">
        <v>54</v>
      </c>
      <c r="V972" s="38" t="s">
        <v>55</v>
      </c>
      <c r="Y972" s="38">
        <v>59.16</v>
      </c>
      <c r="Z972" s="38">
        <v>1</v>
      </c>
      <c r="AF972" s="38">
        <v>51.61</v>
      </c>
      <c r="AI972" s="38">
        <v>3</v>
      </c>
      <c r="AJ972" s="38">
        <v>5</v>
      </c>
      <c r="AK972" s="14">
        <f t="shared" si="3"/>
        <v>0.6</v>
      </c>
      <c r="AO972" s="28"/>
    </row>
    <row r="973" spans="1:41" ht="12.5" hidden="1">
      <c r="A973" s="28" t="s">
        <v>3669</v>
      </c>
      <c r="B973" s="37">
        <v>45744</v>
      </c>
      <c r="C973" s="29">
        <v>45764</v>
      </c>
      <c r="D973" s="38" t="s">
        <v>41</v>
      </c>
      <c r="E973" s="38" t="s">
        <v>3670</v>
      </c>
      <c r="G973" s="38" t="s">
        <v>43</v>
      </c>
      <c r="H973" s="38">
        <v>7.55</v>
      </c>
      <c r="I973" s="38" t="s">
        <v>44</v>
      </c>
      <c r="J973" s="38" t="s">
        <v>45</v>
      </c>
      <c r="K973" s="38" t="s">
        <v>3671</v>
      </c>
      <c r="L973" s="30" t="s">
        <v>47</v>
      </c>
      <c r="M973" s="38" t="s">
        <v>48</v>
      </c>
      <c r="N973" s="38" t="s">
        <v>48</v>
      </c>
      <c r="O973" s="31" t="s">
        <v>1812</v>
      </c>
      <c r="P973" s="28" t="s">
        <v>1813</v>
      </c>
      <c r="Q973" s="38" t="s">
        <v>1814</v>
      </c>
      <c r="R973" s="38">
        <v>1</v>
      </c>
      <c r="S973" s="38" t="s">
        <v>92</v>
      </c>
      <c r="T973" s="38" t="s">
        <v>53</v>
      </c>
      <c r="U973" s="38" t="s">
        <v>54</v>
      </c>
      <c r="V973" s="38" t="s">
        <v>55</v>
      </c>
      <c r="Y973" s="38">
        <v>54.9</v>
      </c>
      <c r="Z973" s="38">
        <v>1</v>
      </c>
      <c r="AF973" s="38">
        <v>54.9</v>
      </c>
      <c r="AK973" s="14" t="e">
        <f t="shared" si="3"/>
        <v>#DIV/0!</v>
      </c>
      <c r="AO973" s="28"/>
    </row>
    <row r="974" spans="1:41" ht="12.5" hidden="1">
      <c r="A974" s="28" t="s">
        <v>3669</v>
      </c>
      <c r="B974" s="37">
        <v>45744</v>
      </c>
      <c r="C974" s="29">
        <v>45764</v>
      </c>
      <c r="D974" s="38" t="s">
        <v>41</v>
      </c>
      <c r="E974" s="38" t="s">
        <v>3672</v>
      </c>
      <c r="G974" s="38" t="s">
        <v>43</v>
      </c>
      <c r="H974" s="38">
        <v>7.55</v>
      </c>
      <c r="I974" s="38" t="s">
        <v>44</v>
      </c>
      <c r="J974" s="38" t="s">
        <v>45</v>
      </c>
      <c r="K974" s="38" t="s">
        <v>3673</v>
      </c>
      <c r="L974" s="30" t="s">
        <v>58</v>
      </c>
      <c r="M974" s="38" t="s">
        <v>48</v>
      </c>
      <c r="N974" s="38" t="s">
        <v>48</v>
      </c>
      <c r="O974" s="31" t="s">
        <v>1812</v>
      </c>
      <c r="P974" s="28" t="s">
        <v>1813</v>
      </c>
      <c r="Q974" s="38" t="s">
        <v>1814</v>
      </c>
      <c r="R974" s="38">
        <v>1</v>
      </c>
      <c r="S974" s="38" t="s">
        <v>2990</v>
      </c>
      <c r="T974" s="38" t="s">
        <v>53</v>
      </c>
      <c r="U974" s="38" t="s">
        <v>54</v>
      </c>
      <c r="V974" s="38" t="s">
        <v>61</v>
      </c>
      <c r="Y974" s="38">
        <v>54.9</v>
      </c>
      <c r="Z974" s="38">
        <v>1</v>
      </c>
      <c r="AK974" s="14" t="e">
        <f t="shared" si="3"/>
        <v>#DIV/0!</v>
      </c>
      <c r="AO974" s="28"/>
    </row>
    <row r="975" spans="1:41" ht="12.5" hidden="1">
      <c r="A975" s="28" t="s">
        <v>3674</v>
      </c>
      <c r="B975" s="37">
        <v>45766</v>
      </c>
      <c r="C975" s="29">
        <v>45776</v>
      </c>
      <c r="D975" s="38" t="s">
        <v>41</v>
      </c>
      <c r="G975" s="38" t="s">
        <v>137</v>
      </c>
      <c r="H975" s="38">
        <v>0</v>
      </c>
      <c r="L975" s="30" t="s">
        <v>47</v>
      </c>
      <c r="M975" s="38" t="s">
        <v>48</v>
      </c>
      <c r="N975" s="38" t="s">
        <v>48</v>
      </c>
      <c r="O975" s="31" t="s">
        <v>1816</v>
      </c>
      <c r="P975" s="28" t="s">
        <v>1817</v>
      </c>
      <c r="Q975" s="38" t="s">
        <v>1818</v>
      </c>
      <c r="R975" s="38">
        <v>1</v>
      </c>
      <c r="S975" s="38" t="s">
        <v>52</v>
      </c>
      <c r="T975" s="38" t="s">
        <v>53</v>
      </c>
      <c r="U975" s="38" t="s">
        <v>54</v>
      </c>
      <c r="V975" s="38" t="s">
        <v>141</v>
      </c>
      <c r="Y975" s="38">
        <v>34.53</v>
      </c>
      <c r="Z975" s="38">
        <v>1</v>
      </c>
      <c r="AF975" s="38">
        <v>34.53</v>
      </c>
      <c r="AI975" s="38">
        <v>1</v>
      </c>
      <c r="AJ975" s="38">
        <v>1</v>
      </c>
      <c r="AK975" s="14">
        <f t="shared" si="3"/>
        <v>1</v>
      </c>
      <c r="AO975" s="28"/>
    </row>
    <row r="976" spans="1:41" ht="12.5" hidden="1">
      <c r="A976" s="28" t="s">
        <v>3675</v>
      </c>
      <c r="B976" s="37">
        <v>45765</v>
      </c>
      <c r="C976" s="29">
        <v>45775</v>
      </c>
      <c r="D976" s="38" t="s">
        <v>41</v>
      </c>
      <c r="G976" s="38" t="s">
        <v>137</v>
      </c>
      <c r="H976" s="38">
        <v>0</v>
      </c>
      <c r="L976" s="30" t="s">
        <v>58</v>
      </c>
      <c r="M976" s="38" t="s">
        <v>48</v>
      </c>
      <c r="N976" s="38" t="s">
        <v>48</v>
      </c>
      <c r="O976" s="31" t="s">
        <v>3676</v>
      </c>
      <c r="P976" s="28" t="s">
        <v>3677</v>
      </c>
      <c r="Q976" s="38" t="s">
        <v>3678</v>
      </c>
      <c r="R976" s="38">
        <v>1</v>
      </c>
      <c r="S976" s="38" t="s">
        <v>68</v>
      </c>
      <c r="T976" s="38" t="s">
        <v>53</v>
      </c>
      <c r="U976" s="38" t="s">
        <v>54</v>
      </c>
      <c r="V976" s="38" t="s">
        <v>141</v>
      </c>
      <c r="Y976" s="38">
        <v>57.02</v>
      </c>
      <c r="Z976" s="38">
        <v>1</v>
      </c>
      <c r="AF976" s="38">
        <v>57.02</v>
      </c>
      <c r="AI976" s="38">
        <v>1</v>
      </c>
      <c r="AJ976" s="38">
        <v>1</v>
      </c>
      <c r="AK976" s="14">
        <f t="shared" si="3"/>
        <v>1</v>
      </c>
      <c r="AO976" s="28"/>
    </row>
    <row r="977" spans="1:41" ht="12.5" hidden="1">
      <c r="A977" s="28" t="s">
        <v>3679</v>
      </c>
      <c r="B977" s="39">
        <v>45754</v>
      </c>
      <c r="C977" s="29">
        <v>45776</v>
      </c>
      <c r="D977" s="38" t="s">
        <v>41</v>
      </c>
      <c r="G977" s="38" t="s">
        <v>137</v>
      </c>
      <c r="H977" s="38">
        <v>0</v>
      </c>
      <c r="L977" s="30" t="s">
        <v>47</v>
      </c>
      <c r="M977" s="38" t="s">
        <v>48</v>
      </c>
      <c r="N977" s="38" t="s">
        <v>48</v>
      </c>
      <c r="O977" s="31" t="s">
        <v>3680</v>
      </c>
      <c r="P977" s="28" t="s">
        <v>3681</v>
      </c>
      <c r="Q977" s="38" t="s">
        <v>3682</v>
      </c>
      <c r="R977" s="38">
        <v>1</v>
      </c>
      <c r="S977" s="38" t="s">
        <v>52</v>
      </c>
      <c r="T977" s="38" t="s">
        <v>53</v>
      </c>
      <c r="U977" s="38" t="s">
        <v>54</v>
      </c>
      <c r="V977" s="38" t="s">
        <v>141</v>
      </c>
      <c r="Y977" s="38">
        <v>24.93</v>
      </c>
      <c r="Z977" s="38">
        <v>1</v>
      </c>
      <c r="AF977" s="38">
        <v>24.93</v>
      </c>
      <c r="AI977" s="38">
        <v>2</v>
      </c>
      <c r="AJ977" s="38">
        <v>4</v>
      </c>
      <c r="AK977" s="14">
        <f t="shared" si="3"/>
        <v>0.5</v>
      </c>
      <c r="AO977" s="28"/>
    </row>
    <row r="978" spans="1:41" ht="12.5" hidden="1">
      <c r="A978" s="28" t="s">
        <v>3683</v>
      </c>
      <c r="B978" s="37">
        <v>45762</v>
      </c>
      <c r="C978" s="29">
        <v>45771</v>
      </c>
      <c r="D978" s="38" t="s">
        <v>41</v>
      </c>
      <c r="G978" s="38" t="s">
        <v>137</v>
      </c>
      <c r="H978" s="38">
        <v>0</v>
      </c>
      <c r="L978" s="30" t="s">
        <v>47</v>
      </c>
      <c r="M978" s="38" t="s">
        <v>48</v>
      </c>
      <c r="N978" s="38" t="s">
        <v>48</v>
      </c>
      <c r="O978" s="31" t="s">
        <v>3680</v>
      </c>
      <c r="P978" s="28" t="s">
        <v>3681</v>
      </c>
      <c r="Q978" s="38" t="s">
        <v>3682</v>
      </c>
      <c r="R978" s="38">
        <v>1</v>
      </c>
      <c r="S978" s="38" t="s">
        <v>92</v>
      </c>
      <c r="T978" s="38" t="s">
        <v>53</v>
      </c>
      <c r="U978" s="38" t="s">
        <v>54</v>
      </c>
      <c r="V978" s="38" t="s">
        <v>141</v>
      </c>
      <c r="Y978" s="38">
        <v>17.100000000000001</v>
      </c>
      <c r="Z978" s="38">
        <v>1</v>
      </c>
      <c r="AF978" s="38">
        <v>17.100000000000001</v>
      </c>
      <c r="AK978" s="14" t="e">
        <f t="shared" si="3"/>
        <v>#DIV/0!</v>
      </c>
      <c r="AO978" s="28"/>
    </row>
    <row r="979" spans="1:41" ht="12.5" hidden="1">
      <c r="A979" s="28" t="s">
        <v>3684</v>
      </c>
      <c r="B979" s="37">
        <v>45761</v>
      </c>
      <c r="C979" s="29">
        <v>45764</v>
      </c>
      <c r="D979" s="38" t="s">
        <v>41</v>
      </c>
      <c r="E979" s="38" t="s">
        <v>3685</v>
      </c>
      <c r="G979" s="38" t="s">
        <v>43</v>
      </c>
      <c r="H979" s="38">
        <v>11.19</v>
      </c>
      <c r="I979" s="38" t="s">
        <v>44</v>
      </c>
      <c r="J979" s="38" t="s">
        <v>45</v>
      </c>
      <c r="K979" s="38" t="s">
        <v>3686</v>
      </c>
      <c r="L979" s="30" t="s">
        <v>47</v>
      </c>
      <c r="M979" s="38" t="s">
        <v>48</v>
      </c>
      <c r="N979" s="38" t="s">
        <v>48</v>
      </c>
      <c r="O979" s="31" t="s">
        <v>2193</v>
      </c>
      <c r="P979" s="28" t="s">
        <v>2194</v>
      </c>
      <c r="Q979" s="38" t="s">
        <v>2195</v>
      </c>
      <c r="R979" s="38">
        <v>1</v>
      </c>
      <c r="S979" s="38" t="s">
        <v>99</v>
      </c>
      <c r="T979" s="38" t="s">
        <v>53</v>
      </c>
      <c r="U979" s="38" t="s">
        <v>54</v>
      </c>
      <c r="V979" s="38" t="s">
        <v>55</v>
      </c>
      <c r="Y979" s="38">
        <v>84.4</v>
      </c>
      <c r="Z979" s="38">
        <v>1</v>
      </c>
      <c r="AF979" s="38">
        <v>84.4</v>
      </c>
      <c r="AI979" s="38">
        <v>1</v>
      </c>
      <c r="AJ979" s="38">
        <v>25</v>
      </c>
      <c r="AK979" s="14">
        <f t="shared" si="3"/>
        <v>0.04</v>
      </c>
      <c r="AO979" s="28"/>
    </row>
    <row r="980" spans="1:41" ht="12.5" hidden="1">
      <c r="A980" s="28" t="s">
        <v>3687</v>
      </c>
      <c r="B980" s="37">
        <v>45770</v>
      </c>
      <c r="C980" s="29">
        <v>45774</v>
      </c>
      <c r="D980" s="38" t="s">
        <v>41</v>
      </c>
      <c r="E980" s="38" t="s">
        <v>3688</v>
      </c>
      <c r="G980" s="38" t="s">
        <v>43</v>
      </c>
      <c r="H980" s="38">
        <v>11.19</v>
      </c>
      <c r="I980" s="38" t="s">
        <v>44</v>
      </c>
      <c r="J980" s="38" t="s">
        <v>45</v>
      </c>
      <c r="K980" s="38" t="s">
        <v>3689</v>
      </c>
      <c r="L980" s="30" t="s">
        <v>58</v>
      </c>
      <c r="M980" s="38" t="s">
        <v>48</v>
      </c>
      <c r="N980" s="38" t="s">
        <v>48</v>
      </c>
      <c r="O980" s="31" t="s">
        <v>310</v>
      </c>
      <c r="P980" s="28" t="s">
        <v>311</v>
      </c>
      <c r="Q980" s="38" t="s">
        <v>312</v>
      </c>
      <c r="R980" s="38">
        <v>1</v>
      </c>
      <c r="S980" s="38" t="s">
        <v>75</v>
      </c>
      <c r="T980" s="38" t="s">
        <v>53</v>
      </c>
      <c r="U980" s="38" t="s">
        <v>54</v>
      </c>
      <c r="V980" s="38" t="s">
        <v>61</v>
      </c>
      <c r="Y980" s="38">
        <v>146.13999999999999</v>
      </c>
      <c r="Z980" s="38">
        <v>1</v>
      </c>
      <c r="AI980" s="38">
        <v>1</v>
      </c>
      <c r="AJ980" s="38">
        <v>12</v>
      </c>
      <c r="AK980" s="14">
        <f t="shared" si="3"/>
        <v>8.3333333333333329E-2</v>
      </c>
      <c r="AO980" s="28"/>
    </row>
    <row r="981" spans="1:41" ht="12.5" hidden="1">
      <c r="A981" s="28" t="s">
        <v>3690</v>
      </c>
      <c r="B981" s="37">
        <v>45763</v>
      </c>
      <c r="C981" s="29">
        <v>45767</v>
      </c>
      <c r="D981" s="38" t="s">
        <v>41</v>
      </c>
      <c r="E981" s="38" t="s">
        <v>3691</v>
      </c>
      <c r="G981" s="38" t="s">
        <v>43</v>
      </c>
      <c r="H981" s="38">
        <v>10.75</v>
      </c>
      <c r="I981" s="38" t="s">
        <v>44</v>
      </c>
      <c r="J981" s="38" t="s">
        <v>45</v>
      </c>
      <c r="K981" s="38" t="s">
        <v>3692</v>
      </c>
      <c r="L981" s="30" t="s">
        <v>58</v>
      </c>
      <c r="M981" s="38" t="s">
        <v>48</v>
      </c>
      <c r="N981" s="38" t="s">
        <v>48</v>
      </c>
      <c r="O981" s="31" t="s">
        <v>325</v>
      </c>
      <c r="P981" s="28" t="s">
        <v>326</v>
      </c>
      <c r="Q981" s="38" t="s">
        <v>327</v>
      </c>
      <c r="R981" s="38">
        <v>1</v>
      </c>
      <c r="S981" s="38" t="s">
        <v>75</v>
      </c>
      <c r="T981" s="38" t="s">
        <v>53</v>
      </c>
      <c r="U981" s="38" t="s">
        <v>54</v>
      </c>
      <c r="V981" s="38" t="s">
        <v>55</v>
      </c>
      <c r="Y981" s="38">
        <v>95.13</v>
      </c>
      <c r="Z981" s="38">
        <v>1</v>
      </c>
      <c r="AF981" s="38">
        <v>84.38</v>
      </c>
      <c r="AI981" s="38">
        <v>1</v>
      </c>
      <c r="AJ981" s="38">
        <v>3</v>
      </c>
      <c r="AK981" s="14">
        <f t="shared" si="3"/>
        <v>0.33333333333333331</v>
      </c>
      <c r="AO981" s="28"/>
    </row>
    <row r="982" spans="1:41" ht="12.5" hidden="1">
      <c r="A982" s="28" t="s">
        <v>3693</v>
      </c>
      <c r="B982" s="37">
        <v>45767</v>
      </c>
      <c r="C982" s="29">
        <v>45773</v>
      </c>
      <c r="D982" s="38" t="s">
        <v>41</v>
      </c>
      <c r="E982" s="38" t="s">
        <v>3694</v>
      </c>
      <c r="G982" s="38" t="s">
        <v>43</v>
      </c>
      <c r="H982" s="38">
        <v>10.46</v>
      </c>
      <c r="I982" s="38" t="s">
        <v>44</v>
      </c>
      <c r="J982" s="38" t="s">
        <v>45</v>
      </c>
      <c r="K982" s="38" t="s">
        <v>3695</v>
      </c>
      <c r="L982" s="30" t="s">
        <v>58</v>
      </c>
      <c r="M982" s="38" t="s">
        <v>48</v>
      </c>
      <c r="N982" s="38" t="s">
        <v>48</v>
      </c>
      <c r="O982" s="31" t="s">
        <v>337</v>
      </c>
      <c r="P982" s="28" t="s">
        <v>338</v>
      </c>
      <c r="Q982" s="38" t="s">
        <v>1846</v>
      </c>
      <c r="R982" s="38">
        <v>1</v>
      </c>
      <c r="S982" s="38" t="s">
        <v>68</v>
      </c>
      <c r="T982" s="38" t="s">
        <v>53</v>
      </c>
      <c r="U982" s="38" t="s">
        <v>54</v>
      </c>
      <c r="V982" s="38" t="s">
        <v>55</v>
      </c>
      <c r="Y982" s="38">
        <v>73.040000000000006</v>
      </c>
      <c r="Z982" s="38">
        <v>1</v>
      </c>
      <c r="AF982" s="38">
        <v>62.58</v>
      </c>
      <c r="AI982" s="38">
        <v>1</v>
      </c>
      <c r="AJ982" s="38">
        <v>13</v>
      </c>
      <c r="AK982" s="14">
        <f t="shared" si="3"/>
        <v>7.6923076923076927E-2</v>
      </c>
      <c r="AO982" s="28"/>
    </row>
    <row r="983" spans="1:41" ht="12.5" hidden="1">
      <c r="A983" s="28" t="s">
        <v>3696</v>
      </c>
      <c r="B983" s="37">
        <v>45759</v>
      </c>
      <c r="C983" s="29">
        <v>45766</v>
      </c>
      <c r="D983" s="38" t="s">
        <v>41</v>
      </c>
      <c r="E983" s="38" t="s">
        <v>3697</v>
      </c>
      <c r="G983" s="38" t="s">
        <v>43</v>
      </c>
      <c r="H983" s="38">
        <v>12.75</v>
      </c>
      <c r="I983" s="38" t="s">
        <v>44</v>
      </c>
      <c r="J983" s="38" t="s">
        <v>45</v>
      </c>
      <c r="K983" s="38" t="s">
        <v>3698</v>
      </c>
      <c r="L983" s="30" t="s">
        <v>47</v>
      </c>
      <c r="M983" s="38" t="s">
        <v>48</v>
      </c>
      <c r="N983" s="38" t="s">
        <v>48</v>
      </c>
      <c r="O983" s="40" t="s">
        <v>357</v>
      </c>
      <c r="P983" s="28" t="s">
        <v>358</v>
      </c>
      <c r="Q983" s="38" t="s">
        <v>359</v>
      </c>
      <c r="R983" s="38">
        <v>1</v>
      </c>
      <c r="S983" s="38" t="s">
        <v>99</v>
      </c>
      <c r="T983" s="38" t="s">
        <v>53</v>
      </c>
      <c r="U983" s="38" t="s">
        <v>54</v>
      </c>
      <c r="V983" s="38" t="s">
        <v>55</v>
      </c>
      <c r="Y983" s="38">
        <v>77.209999999999994</v>
      </c>
      <c r="Z983" s="38">
        <v>1</v>
      </c>
      <c r="AF983" s="38">
        <v>77.209999999999994</v>
      </c>
      <c r="AI983" s="38">
        <v>3</v>
      </c>
      <c r="AJ983" s="38">
        <v>2</v>
      </c>
      <c r="AK983" s="14">
        <f t="shared" si="3"/>
        <v>1.5</v>
      </c>
      <c r="AO983" s="28"/>
    </row>
    <row r="984" spans="1:41" ht="12.5" hidden="1">
      <c r="A984" s="28" t="s">
        <v>3699</v>
      </c>
      <c r="B984" s="37">
        <v>45759</v>
      </c>
      <c r="C984" s="29">
        <v>45765</v>
      </c>
      <c r="D984" s="38" t="s">
        <v>41</v>
      </c>
      <c r="E984" s="38" t="s">
        <v>3700</v>
      </c>
      <c r="G984" s="38" t="s">
        <v>43</v>
      </c>
      <c r="H984" s="38">
        <v>12.75</v>
      </c>
      <c r="I984" s="38" t="s">
        <v>44</v>
      </c>
      <c r="J984" s="38" t="s">
        <v>45</v>
      </c>
      <c r="K984" s="38" t="s">
        <v>3701</v>
      </c>
      <c r="L984" s="30" t="s">
        <v>58</v>
      </c>
      <c r="M984" s="38" t="s">
        <v>48</v>
      </c>
      <c r="N984" s="38" t="s">
        <v>48</v>
      </c>
      <c r="O984" s="40" t="s">
        <v>357</v>
      </c>
      <c r="P984" s="28" t="s">
        <v>358</v>
      </c>
      <c r="Q984" s="38" t="s">
        <v>359</v>
      </c>
      <c r="R984" s="38">
        <v>1</v>
      </c>
      <c r="S984" s="38" t="s">
        <v>2990</v>
      </c>
      <c r="T984" s="38" t="s">
        <v>53</v>
      </c>
      <c r="U984" s="38" t="s">
        <v>54</v>
      </c>
      <c r="V984" s="38" t="s">
        <v>55</v>
      </c>
      <c r="Y984" s="38">
        <v>75.87</v>
      </c>
      <c r="Z984" s="38">
        <v>1</v>
      </c>
      <c r="AF984" s="38">
        <v>63.12</v>
      </c>
      <c r="AK984" s="14" t="e">
        <f t="shared" si="3"/>
        <v>#DIV/0!</v>
      </c>
      <c r="AO984" s="28"/>
    </row>
    <row r="985" spans="1:41" ht="12.5" hidden="1">
      <c r="A985" s="28" t="s">
        <v>3702</v>
      </c>
      <c r="B985" s="37">
        <v>45759</v>
      </c>
      <c r="C985" s="29">
        <v>45763</v>
      </c>
      <c r="D985" s="38" t="s">
        <v>41</v>
      </c>
      <c r="E985" s="38" t="s">
        <v>3703</v>
      </c>
      <c r="G985" s="38" t="s">
        <v>43</v>
      </c>
      <c r="H985" s="38">
        <v>12.75</v>
      </c>
      <c r="I985" s="38" t="s">
        <v>44</v>
      </c>
      <c r="J985" s="38" t="s">
        <v>45</v>
      </c>
      <c r="K985" s="38" t="s">
        <v>3704</v>
      </c>
      <c r="L985" s="30" t="s">
        <v>47</v>
      </c>
      <c r="M985" s="38" t="s">
        <v>48</v>
      </c>
      <c r="N985" s="38" t="s">
        <v>48</v>
      </c>
      <c r="O985" s="40" t="s">
        <v>357</v>
      </c>
      <c r="P985" s="28" t="s">
        <v>358</v>
      </c>
      <c r="Q985" s="38" t="s">
        <v>359</v>
      </c>
      <c r="R985" s="38">
        <v>1</v>
      </c>
      <c r="S985" s="38" t="s">
        <v>99</v>
      </c>
      <c r="T985" s="38" t="s">
        <v>53</v>
      </c>
      <c r="U985" s="38" t="s">
        <v>54</v>
      </c>
      <c r="V985" s="38" t="s">
        <v>55</v>
      </c>
      <c r="Y985" s="38">
        <v>76.040000000000006</v>
      </c>
      <c r="Z985" s="38">
        <v>1</v>
      </c>
      <c r="AF985" s="38">
        <v>76.040000000000006</v>
      </c>
      <c r="AK985" s="14" t="e">
        <f t="shared" si="3"/>
        <v>#DIV/0!</v>
      </c>
      <c r="AO985" s="28"/>
    </row>
    <row r="986" spans="1:41" ht="12.5" hidden="1">
      <c r="A986" s="28" t="s">
        <v>3705</v>
      </c>
      <c r="B986" s="37">
        <v>45767</v>
      </c>
      <c r="C986" s="29">
        <v>45775</v>
      </c>
      <c r="D986" s="38" t="s">
        <v>41</v>
      </c>
      <c r="E986" s="38" t="s">
        <v>3706</v>
      </c>
      <c r="G986" s="38" t="s">
        <v>43</v>
      </c>
      <c r="H986" s="38">
        <v>10.46</v>
      </c>
      <c r="I986" s="38" t="s">
        <v>44</v>
      </c>
      <c r="J986" s="38" t="s">
        <v>45</v>
      </c>
      <c r="K986" s="38" t="s">
        <v>3707</v>
      </c>
      <c r="L986" s="30" t="s">
        <v>58</v>
      </c>
      <c r="M986" s="38" t="s">
        <v>48</v>
      </c>
      <c r="N986" s="38" t="s">
        <v>48</v>
      </c>
      <c r="O986" s="31" t="s">
        <v>369</v>
      </c>
      <c r="P986" s="28" t="s">
        <v>370</v>
      </c>
      <c r="Q986" s="38" t="s">
        <v>2970</v>
      </c>
      <c r="R986" s="38">
        <v>1</v>
      </c>
      <c r="S986" s="38" t="s">
        <v>75</v>
      </c>
      <c r="T986" s="38" t="s">
        <v>53</v>
      </c>
      <c r="U986" s="38" t="s">
        <v>54</v>
      </c>
      <c r="V986" s="38" t="s">
        <v>61</v>
      </c>
      <c r="Y986" s="38">
        <v>79.94</v>
      </c>
      <c r="Z986" s="38">
        <v>1</v>
      </c>
      <c r="AI986" s="38">
        <v>1</v>
      </c>
      <c r="AJ986" s="38">
        <v>5</v>
      </c>
      <c r="AK986" s="14">
        <f t="shared" si="3"/>
        <v>0.2</v>
      </c>
      <c r="AO986" s="28"/>
    </row>
    <row r="987" spans="1:41" ht="12.5" hidden="1">
      <c r="A987" s="28" t="s">
        <v>3708</v>
      </c>
      <c r="B987" s="37">
        <v>45767</v>
      </c>
      <c r="C987" s="29">
        <v>45769</v>
      </c>
      <c r="D987" s="38" t="s">
        <v>41</v>
      </c>
      <c r="E987" s="38" t="s">
        <v>3709</v>
      </c>
      <c r="G987" s="38" t="s">
        <v>43</v>
      </c>
      <c r="H987" s="38">
        <v>10.46</v>
      </c>
      <c r="I987" s="38" t="s">
        <v>44</v>
      </c>
      <c r="J987" s="38" t="s">
        <v>45</v>
      </c>
      <c r="K987" s="38" t="s">
        <v>3710</v>
      </c>
      <c r="L987" s="30" t="s">
        <v>47</v>
      </c>
      <c r="M987" s="38" t="s">
        <v>48</v>
      </c>
      <c r="N987" s="38" t="s">
        <v>48</v>
      </c>
      <c r="O987" s="31" t="s">
        <v>3711</v>
      </c>
      <c r="P987" s="28" t="s">
        <v>3712</v>
      </c>
      <c r="Q987" s="38" t="s">
        <v>3713</v>
      </c>
      <c r="R987" s="38">
        <v>1</v>
      </c>
      <c r="S987" s="38" t="s">
        <v>52</v>
      </c>
      <c r="T987" s="38" t="s">
        <v>53</v>
      </c>
      <c r="U987" s="38" t="s">
        <v>54</v>
      </c>
      <c r="V987" s="38" t="s">
        <v>61</v>
      </c>
      <c r="Y987" s="38">
        <v>74.430000000000007</v>
      </c>
      <c r="Z987" s="38">
        <v>1</v>
      </c>
      <c r="AI987" s="38">
        <v>1</v>
      </c>
      <c r="AJ987" s="38">
        <v>3</v>
      </c>
      <c r="AK987" s="14">
        <f t="shared" si="3"/>
        <v>0.33333333333333331</v>
      </c>
      <c r="AO987" s="28"/>
    </row>
    <row r="988" spans="1:41" ht="12.5" hidden="1">
      <c r="A988" s="28" t="s">
        <v>3714</v>
      </c>
      <c r="B988" s="37">
        <v>45763</v>
      </c>
      <c r="C988" s="29">
        <v>45774</v>
      </c>
      <c r="D988" s="38" t="s">
        <v>41</v>
      </c>
      <c r="E988" s="38" t="s">
        <v>3715</v>
      </c>
      <c r="G988" s="38" t="s">
        <v>43</v>
      </c>
      <c r="H988" s="38">
        <v>7.14</v>
      </c>
      <c r="I988" s="38" t="s">
        <v>44</v>
      </c>
      <c r="J988" s="38" t="s">
        <v>45</v>
      </c>
      <c r="K988" s="38" t="s">
        <v>3716</v>
      </c>
      <c r="L988" s="30" t="s">
        <v>58</v>
      </c>
      <c r="M988" s="38" t="s">
        <v>48</v>
      </c>
      <c r="N988" s="38" t="s">
        <v>48</v>
      </c>
      <c r="O988" s="31" t="s">
        <v>2230</v>
      </c>
      <c r="P988" s="28" t="s">
        <v>2231</v>
      </c>
      <c r="Q988" s="38" t="s">
        <v>3003</v>
      </c>
      <c r="R988" s="38">
        <v>1</v>
      </c>
      <c r="S988" s="38" t="s">
        <v>75</v>
      </c>
      <c r="T988" s="38" t="s">
        <v>53</v>
      </c>
      <c r="U988" s="38" t="s">
        <v>54</v>
      </c>
      <c r="V988" s="38" t="s">
        <v>55</v>
      </c>
      <c r="Y988" s="38">
        <v>82.9</v>
      </c>
      <c r="Z988" s="38">
        <v>1</v>
      </c>
      <c r="AF988" s="38">
        <v>75.760000000000005</v>
      </c>
      <c r="AI988" s="38">
        <v>1</v>
      </c>
      <c r="AJ988" s="38">
        <v>5</v>
      </c>
      <c r="AK988" s="14">
        <f t="shared" si="3"/>
        <v>0.2</v>
      </c>
      <c r="AO988" s="28"/>
    </row>
    <row r="989" spans="1:41" ht="12.5" hidden="1">
      <c r="A989" s="28" t="s">
        <v>3717</v>
      </c>
      <c r="B989" s="37">
        <v>45766</v>
      </c>
      <c r="C989" s="29">
        <v>45773</v>
      </c>
      <c r="D989" s="38" t="s">
        <v>41</v>
      </c>
      <c r="E989" s="38" t="s">
        <v>3718</v>
      </c>
      <c r="G989" s="38" t="s">
        <v>43</v>
      </c>
      <c r="H989" s="38">
        <v>7.14</v>
      </c>
      <c r="I989" s="38" t="s">
        <v>44</v>
      </c>
      <c r="J989" s="38" t="s">
        <v>45</v>
      </c>
      <c r="K989" s="38" t="s">
        <v>3719</v>
      </c>
      <c r="L989" s="30" t="s">
        <v>58</v>
      </c>
      <c r="M989" s="38" t="s">
        <v>48</v>
      </c>
      <c r="N989" s="38" t="s">
        <v>48</v>
      </c>
      <c r="O989" s="31" t="s">
        <v>1202</v>
      </c>
      <c r="P989" s="28" t="s">
        <v>1203</v>
      </c>
      <c r="Q989" s="38" t="s">
        <v>1204</v>
      </c>
      <c r="R989" s="38">
        <v>1</v>
      </c>
      <c r="S989" s="38" t="s">
        <v>75</v>
      </c>
      <c r="T989" s="38" t="s">
        <v>53</v>
      </c>
      <c r="U989" s="38" t="s">
        <v>54</v>
      </c>
      <c r="V989" s="38" t="s">
        <v>55</v>
      </c>
      <c r="Y989" s="38">
        <v>72.400000000000006</v>
      </c>
      <c r="Z989" s="38">
        <v>1</v>
      </c>
      <c r="AF989" s="38">
        <v>65.260000000000005</v>
      </c>
      <c r="AI989" s="38">
        <v>1</v>
      </c>
      <c r="AJ989" s="38">
        <v>3</v>
      </c>
      <c r="AK989" s="14">
        <f t="shared" si="3"/>
        <v>0.33333333333333331</v>
      </c>
      <c r="AO989" s="28"/>
    </row>
    <row r="990" spans="1:41" ht="12.5" hidden="1">
      <c r="A990" s="28" t="s">
        <v>3720</v>
      </c>
      <c r="B990" s="37">
        <v>45763</v>
      </c>
      <c r="C990" s="29">
        <v>45768</v>
      </c>
      <c r="D990" s="38" t="s">
        <v>41</v>
      </c>
      <c r="E990" s="38" t="s">
        <v>3721</v>
      </c>
      <c r="G990" s="38" t="s">
        <v>43</v>
      </c>
      <c r="H990" s="38">
        <v>9.6999999999999993</v>
      </c>
      <c r="I990" s="38" t="s">
        <v>44</v>
      </c>
      <c r="J990" s="38" t="s">
        <v>45</v>
      </c>
      <c r="K990" s="38" t="s">
        <v>3722</v>
      </c>
      <c r="L990" s="30" t="s">
        <v>58</v>
      </c>
      <c r="M990" s="38" t="s">
        <v>48</v>
      </c>
      <c r="N990" s="38" t="s">
        <v>48</v>
      </c>
      <c r="O990" s="31" t="s">
        <v>2554</v>
      </c>
      <c r="P990" s="28" t="s">
        <v>2555</v>
      </c>
      <c r="Q990" s="38" t="s">
        <v>2556</v>
      </c>
      <c r="R990" s="38">
        <v>1</v>
      </c>
      <c r="S990" s="38" t="s">
        <v>68</v>
      </c>
      <c r="T990" s="38" t="s">
        <v>53</v>
      </c>
      <c r="U990" s="38" t="s">
        <v>54</v>
      </c>
      <c r="V990" s="38" t="s">
        <v>61</v>
      </c>
      <c r="Y990" s="38">
        <v>76.38</v>
      </c>
      <c r="Z990" s="38">
        <v>1</v>
      </c>
      <c r="AI990" s="38">
        <v>1</v>
      </c>
      <c r="AJ990" s="38">
        <v>7</v>
      </c>
      <c r="AK990" s="14">
        <f t="shared" si="3"/>
        <v>0.14285714285714285</v>
      </c>
      <c r="AO990" s="28"/>
    </row>
    <row r="991" spans="1:41" ht="12.5" hidden="1">
      <c r="A991" s="28" t="s">
        <v>3723</v>
      </c>
      <c r="B991" s="37">
        <v>45767</v>
      </c>
      <c r="C991" s="29">
        <v>45776</v>
      </c>
      <c r="D991" s="38" t="s">
        <v>41</v>
      </c>
      <c r="E991" s="38" t="s">
        <v>3724</v>
      </c>
      <c r="G991" s="38" t="s">
        <v>43</v>
      </c>
      <c r="H991" s="38">
        <v>14.14</v>
      </c>
      <c r="I991" s="38" t="s">
        <v>44</v>
      </c>
      <c r="J991" s="38" t="s">
        <v>45</v>
      </c>
      <c r="K991" s="38" t="s">
        <v>3725</v>
      </c>
      <c r="L991" s="30" t="s">
        <v>58</v>
      </c>
      <c r="M991" s="38" t="s">
        <v>48</v>
      </c>
      <c r="N991" s="38" t="s">
        <v>48</v>
      </c>
      <c r="O991" s="31" t="s">
        <v>425</v>
      </c>
      <c r="P991" s="28" t="s">
        <v>2560</v>
      </c>
      <c r="Q991" s="38" t="s">
        <v>427</v>
      </c>
      <c r="R991" s="38">
        <v>1</v>
      </c>
      <c r="S991" s="38" t="s">
        <v>75</v>
      </c>
      <c r="T991" s="38" t="s">
        <v>53</v>
      </c>
      <c r="U991" s="38" t="s">
        <v>54</v>
      </c>
      <c r="V991" s="38" t="s">
        <v>61</v>
      </c>
      <c r="Y991" s="38">
        <v>137.57</v>
      </c>
      <c r="Z991" s="38">
        <v>1</v>
      </c>
      <c r="AI991" s="38">
        <v>1</v>
      </c>
      <c r="AJ991" s="38">
        <v>6</v>
      </c>
      <c r="AK991" s="14">
        <f t="shared" si="3"/>
        <v>0.16666666666666666</v>
      </c>
      <c r="AO991" s="28"/>
    </row>
    <row r="992" spans="1:41" ht="12.5" hidden="1">
      <c r="A992" s="28" t="s">
        <v>3726</v>
      </c>
      <c r="B992" s="37">
        <v>45757</v>
      </c>
      <c r="C992" s="29">
        <v>45764</v>
      </c>
      <c r="D992" s="38" t="s">
        <v>41</v>
      </c>
      <c r="E992" s="38" t="s">
        <v>3727</v>
      </c>
      <c r="G992" s="38" t="s">
        <v>43</v>
      </c>
      <c r="H992" s="38">
        <v>17.59</v>
      </c>
      <c r="I992" s="38" t="s">
        <v>44</v>
      </c>
      <c r="J992" s="38" t="s">
        <v>45</v>
      </c>
      <c r="K992" s="38" t="s">
        <v>3728</v>
      </c>
      <c r="L992" s="30" t="s">
        <v>58</v>
      </c>
      <c r="M992" s="38" t="s">
        <v>48</v>
      </c>
      <c r="N992" s="38" t="s">
        <v>48</v>
      </c>
      <c r="O992" s="31" t="s">
        <v>431</v>
      </c>
      <c r="P992" s="28" t="s">
        <v>432</v>
      </c>
      <c r="Q992" s="38" t="s">
        <v>2242</v>
      </c>
      <c r="R992" s="38">
        <v>1</v>
      </c>
      <c r="S992" s="38" t="s">
        <v>75</v>
      </c>
      <c r="T992" s="38" t="s">
        <v>53</v>
      </c>
      <c r="U992" s="38" t="s">
        <v>54</v>
      </c>
      <c r="V992" s="38" t="s">
        <v>55</v>
      </c>
      <c r="Y992" s="38">
        <v>117.56</v>
      </c>
      <c r="Z992" s="38">
        <v>1</v>
      </c>
      <c r="AF992" s="38">
        <v>99.97</v>
      </c>
      <c r="AI992" s="38">
        <v>1</v>
      </c>
      <c r="AJ992" s="38">
        <v>0</v>
      </c>
      <c r="AK992" s="14" t="e">
        <f t="shared" si="3"/>
        <v>#DIV/0!</v>
      </c>
      <c r="AO992" s="28"/>
    </row>
    <row r="993" spans="1:41" ht="12.5" hidden="1">
      <c r="A993" s="28" t="s">
        <v>3729</v>
      </c>
      <c r="B993" s="37">
        <v>45649</v>
      </c>
      <c r="C993" s="29">
        <v>45776</v>
      </c>
      <c r="D993" s="38" t="s">
        <v>57</v>
      </c>
      <c r="L993" s="30" t="s">
        <v>58</v>
      </c>
      <c r="M993" s="38" t="s">
        <v>48</v>
      </c>
      <c r="N993" s="38" t="s">
        <v>48</v>
      </c>
      <c r="O993" s="31" t="s">
        <v>1223</v>
      </c>
      <c r="P993" s="28" t="s">
        <v>1224</v>
      </c>
      <c r="Q993" s="38" t="s">
        <v>1225</v>
      </c>
      <c r="R993" s="38">
        <v>1</v>
      </c>
      <c r="S993" s="38" t="s">
        <v>59</v>
      </c>
      <c r="T993" s="38" t="s">
        <v>48</v>
      </c>
      <c r="U993" s="38" t="s">
        <v>60</v>
      </c>
      <c r="V993" s="38" t="s">
        <v>61</v>
      </c>
      <c r="Y993" s="38">
        <v>103.39</v>
      </c>
      <c r="Z993" s="38">
        <v>1</v>
      </c>
      <c r="AI993" s="38">
        <v>2</v>
      </c>
      <c r="AJ993" s="38">
        <v>1</v>
      </c>
      <c r="AK993" s="14">
        <f t="shared" si="3"/>
        <v>2</v>
      </c>
      <c r="AO993" s="28"/>
    </row>
    <row r="994" spans="1:41" ht="12.5" hidden="1">
      <c r="A994" s="28" t="s">
        <v>3729</v>
      </c>
      <c r="B994" s="37">
        <v>45649</v>
      </c>
      <c r="C994" s="29">
        <v>45771</v>
      </c>
      <c r="D994" s="38" t="s">
        <v>57</v>
      </c>
      <c r="L994" s="30" t="s">
        <v>47</v>
      </c>
      <c r="M994" s="38" t="s">
        <v>48</v>
      </c>
      <c r="N994" s="38" t="s">
        <v>48</v>
      </c>
      <c r="O994" s="31" t="s">
        <v>1223</v>
      </c>
      <c r="P994" s="28" t="s">
        <v>1224</v>
      </c>
      <c r="Q994" s="38" t="s">
        <v>1225</v>
      </c>
      <c r="R994" s="38">
        <v>1</v>
      </c>
      <c r="S994" s="38" t="s">
        <v>99</v>
      </c>
      <c r="T994" s="38" t="s">
        <v>48</v>
      </c>
      <c r="U994" s="38" t="s">
        <v>60</v>
      </c>
      <c r="V994" s="38" t="s">
        <v>61</v>
      </c>
      <c r="Y994" s="38">
        <v>103.39</v>
      </c>
      <c r="Z994" s="38">
        <v>1</v>
      </c>
      <c r="AK994" s="14" t="e">
        <f t="shared" si="3"/>
        <v>#DIV/0!</v>
      </c>
      <c r="AO994" s="28"/>
    </row>
    <row r="995" spans="1:41" ht="12.5" hidden="1">
      <c r="A995" s="28" t="s">
        <v>3730</v>
      </c>
      <c r="B995" s="37">
        <v>45767</v>
      </c>
      <c r="C995" s="29">
        <v>45771</v>
      </c>
      <c r="D995" s="38" t="s">
        <v>41</v>
      </c>
      <c r="E995" s="38" t="s">
        <v>3731</v>
      </c>
      <c r="G995" s="38" t="s">
        <v>43</v>
      </c>
      <c r="H995" s="38">
        <v>12.3</v>
      </c>
      <c r="I995" s="38" t="s">
        <v>44</v>
      </c>
      <c r="J995" s="38" t="s">
        <v>45</v>
      </c>
      <c r="K995" s="38" t="s">
        <v>3732</v>
      </c>
      <c r="L995" s="30" t="s">
        <v>47</v>
      </c>
      <c r="M995" s="38" t="s">
        <v>48</v>
      </c>
      <c r="N995" s="38" t="s">
        <v>48</v>
      </c>
      <c r="O995" s="31" t="s">
        <v>1223</v>
      </c>
      <c r="P995" s="28" t="s">
        <v>1224</v>
      </c>
      <c r="Q995" s="38" t="s">
        <v>1225</v>
      </c>
      <c r="R995" s="38">
        <v>1</v>
      </c>
      <c r="S995" s="38" t="s">
        <v>52</v>
      </c>
      <c r="T995" s="38" t="s">
        <v>53</v>
      </c>
      <c r="U995" s="38" t="s">
        <v>54</v>
      </c>
      <c r="V995" s="38" t="s">
        <v>55</v>
      </c>
      <c r="Y995" s="38">
        <v>106.62</v>
      </c>
      <c r="Z995" s="38">
        <v>1</v>
      </c>
      <c r="AF995" s="38">
        <v>106.62</v>
      </c>
      <c r="AK995" s="14" t="e">
        <f t="shared" si="3"/>
        <v>#DIV/0!</v>
      </c>
      <c r="AO995" s="28"/>
    </row>
    <row r="996" spans="1:41" ht="12.5" hidden="1">
      <c r="A996" s="28" t="s">
        <v>3733</v>
      </c>
      <c r="B996" s="37">
        <v>45770</v>
      </c>
      <c r="C996" s="29">
        <v>45772</v>
      </c>
      <c r="D996" s="38" t="s">
        <v>41</v>
      </c>
      <c r="E996" s="38" t="s">
        <v>3734</v>
      </c>
      <c r="G996" s="38" t="s">
        <v>43</v>
      </c>
      <c r="H996" s="38">
        <v>17.59</v>
      </c>
      <c r="I996" s="38" t="s">
        <v>44</v>
      </c>
      <c r="J996" s="38" t="s">
        <v>45</v>
      </c>
      <c r="K996" s="38" t="s">
        <v>3735</v>
      </c>
      <c r="L996" s="30" t="s">
        <v>47</v>
      </c>
      <c r="M996" s="38" t="s">
        <v>48</v>
      </c>
      <c r="N996" s="38" t="s">
        <v>48</v>
      </c>
      <c r="O996" s="31" t="s">
        <v>437</v>
      </c>
      <c r="P996" s="28" t="s">
        <v>438</v>
      </c>
      <c r="Q996" s="38" t="s">
        <v>2246</v>
      </c>
      <c r="R996" s="38">
        <v>1</v>
      </c>
      <c r="S996" s="38" t="s">
        <v>92</v>
      </c>
      <c r="T996" s="38" t="s">
        <v>53</v>
      </c>
      <c r="U996" s="38" t="s">
        <v>54</v>
      </c>
      <c r="V996" s="38" t="s">
        <v>61</v>
      </c>
      <c r="Y996" s="38">
        <v>122.86</v>
      </c>
      <c r="Z996" s="38">
        <v>1</v>
      </c>
      <c r="AI996" s="38">
        <v>2</v>
      </c>
      <c r="AJ996" s="38">
        <v>8</v>
      </c>
      <c r="AK996" s="14">
        <f t="shared" si="3"/>
        <v>0.25</v>
      </c>
      <c r="AO996" s="28"/>
    </row>
    <row r="997" spans="1:41" ht="12.5" hidden="1">
      <c r="A997" s="28" t="s">
        <v>3736</v>
      </c>
      <c r="B997" s="39">
        <v>45751</v>
      </c>
      <c r="C997" s="29">
        <v>45764</v>
      </c>
      <c r="D997" s="38" t="s">
        <v>41</v>
      </c>
      <c r="E997" s="38" t="s">
        <v>3737</v>
      </c>
      <c r="G997" s="38" t="s">
        <v>43</v>
      </c>
      <c r="H997" s="38">
        <v>17.59</v>
      </c>
      <c r="I997" s="38" t="s">
        <v>44</v>
      </c>
      <c r="J997" s="38" t="s">
        <v>45</v>
      </c>
      <c r="K997" s="38" t="s">
        <v>3738</v>
      </c>
      <c r="L997" s="30" t="s">
        <v>58</v>
      </c>
      <c r="M997" s="38" t="s">
        <v>48</v>
      </c>
      <c r="N997" s="38" t="s">
        <v>48</v>
      </c>
      <c r="O997" s="31" t="s">
        <v>437</v>
      </c>
      <c r="P997" s="28" t="s">
        <v>438</v>
      </c>
      <c r="Q997" s="38" t="s">
        <v>2246</v>
      </c>
      <c r="R997" s="38">
        <v>1</v>
      </c>
      <c r="S997" s="38" t="s">
        <v>2990</v>
      </c>
      <c r="T997" s="38" t="s">
        <v>53</v>
      </c>
      <c r="U997" s="38" t="s">
        <v>54</v>
      </c>
      <c r="V997" s="38" t="s">
        <v>61</v>
      </c>
      <c r="Y997" s="38">
        <v>125.9</v>
      </c>
      <c r="Z997" s="38">
        <v>1</v>
      </c>
      <c r="AK997" s="14" t="e">
        <f t="shared" si="3"/>
        <v>#DIV/0!</v>
      </c>
      <c r="AO997" s="28"/>
    </row>
    <row r="998" spans="1:41" ht="12.5" hidden="1">
      <c r="A998" s="28" t="s">
        <v>3739</v>
      </c>
      <c r="B998" s="39">
        <v>45754</v>
      </c>
      <c r="C998" s="29">
        <v>45768</v>
      </c>
      <c r="D998" s="38" t="s">
        <v>41</v>
      </c>
      <c r="E998" s="38" t="s">
        <v>3740</v>
      </c>
      <c r="G998" s="38" t="s">
        <v>43</v>
      </c>
      <c r="H998" s="38">
        <v>11.59</v>
      </c>
      <c r="I998" s="38" t="s">
        <v>44</v>
      </c>
      <c r="J998" s="38" t="s">
        <v>45</v>
      </c>
      <c r="K998" s="38" t="s">
        <v>3741</v>
      </c>
      <c r="L998" s="30" t="s">
        <v>47</v>
      </c>
      <c r="M998" s="38" t="s">
        <v>48</v>
      </c>
      <c r="N998" s="38" t="s">
        <v>48</v>
      </c>
      <c r="O998" s="31" t="s">
        <v>443</v>
      </c>
      <c r="P998" s="28" t="s">
        <v>444</v>
      </c>
      <c r="Q998" s="38" t="s">
        <v>445</v>
      </c>
      <c r="R998" s="38">
        <v>1</v>
      </c>
      <c r="S998" s="38" t="s">
        <v>99</v>
      </c>
      <c r="T998" s="38" t="s">
        <v>53</v>
      </c>
      <c r="U998" s="38" t="s">
        <v>54</v>
      </c>
      <c r="V998" s="38" t="s">
        <v>55</v>
      </c>
      <c r="Y998" s="38">
        <v>124.1</v>
      </c>
      <c r="Z998" s="38">
        <v>1</v>
      </c>
      <c r="AF998" s="38">
        <v>124.1</v>
      </c>
      <c r="AI998" s="38">
        <v>1</v>
      </c>
      <c r="AJ998" s="38">
        <v>7</v>
      </c>
      <c r="AK998" s="14">
        <f t="shared" si="3"/>
        <v>0.14285714285714285</v>
      </c>
      <c r="AO998" s="28"/>
    </row>
    <row r="999" spans="1:41" ht="12.5" hidden="1">
      <c r="A999" s="28" t="s">
        <v>3742</v>
      </c>
      <c r="B999" s="39">
        <v>45751</v>
      </c>
      <c r="C999" s="29">
        <v>45768</v>
      </c>
      <c r="D999" s="38" t="s">
        <v>41</v>
      </c>
      <c r="E999" s="38" t="s">
        <v>3743</v>
      </c>
      <c r="G999" s="38" t="s">
        <v>43</v>
      </c>
      <c r="H999" s="38">
        <v>10.75</v>
      </c>
      <c r="I999" s="38" t="s">
        <v>44</v>
      </c>
      <c r="J999" s="38" t="s">
        <v>45</v>
      </c>
      <c r="K999" s="38" t="s">
        <v>3744</v>
      </c>
      <c r="L999" s="30" t="s">
        <v>58</v>
      </c>
      <c r="M999" s="38" t="s">
        <v>48</v>
      </c>
      <c r="N999" s="38" t="s">
        <v>48</v>
      </c>
      <c r="O999" s="31" t="s">
        <v>3745</v>
      </c>
      <c r="P999" s="28" t="s">
        <v>3746</v>
      </c>
      <c r="Q999" s="38" t="s">
        <v>3747</v>
      </c>
      <c r="R999" s="38">
        <v>1</v>
      </c>
      <c r="S999" s="38" t="s">
        <v>75</v>
      </c>
      <c r="T999" s="38" t="s">
        <v>53</v>
      </c>
      <c r="U999" s="38" t="s">
        <v>54</v>
      </c>
      <c r="V999" s="38" t="s">
        <v>55</v>
      </c>
      <c r="Y999" s="38">
        <v>88.29</v>
      </c>
      <c r="Z999" s="38">
        <v>1</v>
      </c>
      <c r="AF999" s="38">
        <v>77.540000000000006</v>
      </c>
      <c r="AI999" s="38">
        <v>1</v>
      </c>
      <c r="AJ999" s="38">
        <v>6</v>
      </c>
      <c r="AK999" s="14">
        <f t="shared" si="3"/>
        <v>0.16666666666666666</v>
      </c>
      <c r="AO999" s="28"/>
    </row>
    <row r="1000" spans="1:41" ht="12.5" hidden="1">
      <c r="A1000" s="28" t="s">
        <v>3748</v>
      </c>
      <c r="B1000" s="37">
        <v>45759</v>
      </c>
      <c r="C1000" s="29">
        <v>45770</v>
      </c>
      <c r="D1000" s="38" t="s">
        <v>41</v>
      </c>
      <c r="E1000" s="38" t="s">
        <v>3749</v>
      </c>
      <c r="G1000" s="38" t="s">
        <v>137</v>
      </c>
      <c r="H1000" s="38">
        <v>0</v>
      </c>
      <c r="L1000" s="30" t="s">
        <v>58</v>
      </c>
      <c r="M1000" s="38" t="s">
        <v>48</v>
      </c>
      <c r="N1000" s="38" t="s">
        <v>48</v>
      </c>
      <c r="O1000" s="31" t="s">
        <v>455</v>
      </c>
      <c r="P1000" s="28" t="s">
        <v>456</v>
      </c>
      <c r="Q1000" s="38" t="s">
        <v>2575</v>
      </c>
      <c r="R1000" s="38">
        <v>1</v>
      </c>
      <c r="S1000" s="38" t="s">
        <v>2716</v>
      </c>
      <c r="T1000" s="38" t="s">
        <v>53</v>
      </c>
      <c r="U1000" s="38" t="s">
        <v>54</v>
      </c>
      <c r="V1000" s="38" t="s">
        <v>61</v>
      </c>
      <c r="Y1000" s="38">
        <v>72.400000000000006</v>
      </c>
      <c r="Z1000" s="38">
        <v>1</v>
      </c>
      <c r="AI1000" s="38">
        <v>1</v>
      </c>
      <c r="AJ1000" s="38">
        <v>15</v>
      </c>
      <c r="AK1000" s="14">
        <f t="shared" si="3"/>
        <v>6.6666666666666666E-2</v>
      </c>
      <c r="AO1000" s="28"/>
    </row>
    <row r="1001" spans="1:41" ht="12.5" hidden="1">
      <c r="A1001" s="28" t="s">
        <v>3750</v>
      </c>
      <c r="B1001" s="37">
        <v>45774</v>
      </c>
      <c r="C1001" s="29">
        <v>45777</v>
      </c>
      <c r="D1001" s="38" t="s">
        <v>41</v>
      </c>
      <c r="E1001" s="38" t="s">
        <v>3751</v>
      </c>
      <c r="G1001" s="38" t="s">
        <v>43</v>
      </c>
      <c r="H1001" s="38">
        <v>17.23</v>
      </c>
      <c r="I1001" s="38" t="s">
        <v>44</v>
      </c>
      <c r="J1001" s="38" t="s">
        <v>45</v>
      </c>
      <c r="K1001" s="38" t="s">
        <v>3752</v>
      </c>
      <c r="L1001" s="30" t="s">
        <v>47</v>
      </c>
      <c r="M1001" s="38" t="s">
        <v>48</v>
      </c>
      <c r="N1001" s="38" t="s">
        <v>48</v>
      </c>
      <c r="O1001" s="31" t="s">
        <v>469</v>
      </c>
      <c r="P1001" s="28" t="s">
        <v>470</v>
      </c>
      <c r="Q1001" s="38" t="s">
        <v>471</v>
      </c>
      <c r="R1001" s="38">
        <v>1</v>
      </c>
      <c r="S1001" s="38" t="s">
        <v>52</v>
      </c>
      <c r="T1001" s="38" t="s">
        <v>53</v>
      </c>
      <c r="U1001" s="38" t="s">
        <v>54</v>
      </c>
      <c r="V1001" s="38" t="s">
        <v>55</v>
      </c>
      <c r="Y1001" s="38">
        <v>111.91</v>
      </c>
      <c r="Z1001" s="38">
        <v>1</v>
      </c>
      <c r="AF1001" s="38">
        <v>111.91</v>
      </c>
      <c r="AI1001" s="38">
        <v>2</v>
      </c>
      <c r="AJ1001" s="38">
        <v>8</v>
      </c>
      <c r="AK1001" s="14">
        <f t="shared" si="3"/>
        <v>0.25</v>
      </c>
      <c r="AO1001" s="28"/>
    </row>
    <row r="1002" spans="1:41" ht="12.5" hidden="1">
      <c r="A1002" s="28" t="s">
        <v>3753</v>
      </c>
      <c r="B1002" s="39">
        <v>45756</v>
      </c>
      <c r="C1002" s="29">
        <v>45766</v>
      </c>
      <c r="D1002" s="38" t="s">
        <v>41</v>
      </c>
      <c r="E1002" s="38" t="s">
        <v>3754</v>
      </c>
      <c r="G1002" s="38" t="s">
        <v>43</v>
      </c>
      <c r="H1002" s="38">
        <v>17.23</v>
      </c>
      <c r="I1002" s="38" t="s">
        <v>44</v>
      </c>
      <c r="J1002" s="38" t="s">
        <v>45</v>
      </c>
      <c r="K1002" s="38" t="s">
        <v>3755</v>
      </c>
      <c r="L1002" s="30" t="s">
        <v>47</v>
      </c>
      <c r="M1002" s="38" t="s">
        <v>48</v>
      </c>
      <c r="N1002" s="38" t="s">
        <v>48</v>
      </c>
      <c r="O1002" s="31" t="s">
        <v>469</v>
      </c>
      <c r="P1002" s="28" t="s">
        <v>470</v>
      </c>
      <c r="Q1002" s="38" t="s">
        <v>471</v>
      </c>
      <c r="R1002" s="38">
        <v>1</v>
      </c>
      <c r="S1002" s="38" t="s">
        <v>99</v>
      </c>
      <c r="T1002" s="38" t="s">
        <v>53</v>
      </c>
      <c r="U1002" s="38" t="s">
        <v>54</v>
      </c>
      <c r="V1002" s="38" t="s">
        <v>55</v>
      </c>
      <c r="Y1002" s="38">
        <v>112.94</v>
      </c>
      <c r="Z1002" s="38">
        <v>1</v>
      </c>
      <c r="AF1002" s="38">
        <v>112.94</v>
      </c>
      <c r="AK1002" s="14" t="e">
        <f t="shared" si="3"/>
        <v>#DIV/0!</v>
      </c>
      <c r="AO1002" s="28"/>
    </row>
    <row r="1003" spans="1:41" ht="12.5" hidden="1">
      <c r="A1003" s="28" t="s">
        <v>3756</v>
      </c>
      <c r="B1003" s="37">
        <v>45746</v>
      </c>
      <c r="C1003" s="29">
        <v>45771</v>
      </c>
      <c r="D1003" s="38" t="s">
        <v>41</v>
      </c>
      <c r="E1003" s="38" t="s">
        <v>3757</v>
      </c>
      <c r="G1003" s="38" t="s">
        <v>43</v>
      </c>
      <c r="H1003" s="38">
        <v>11.19</v>
      </c>
      <c r="I1003" s="38" t="s">
        <v>44</v>
      </c>
      <c r="J1003" s="38" t="s">
        <v>45</v>
      </c>
      <c r="K1003" s="38" t="s">
        <v>3758</v>
      </c>
      <c r="L1003" s="30" t="s">
        <v>47</v>
      </c>
      <c r="M1003" s="38" t="s">
        <v>48</v>
      </c>
      <c r="N1003" s="38" t="s">
        <v>48</v>
      </c>
      <c r="O1003" s="31" t="s">
        <v>511</v>
      </c>
      <c r="P1003" s="28" t="s">
        <v>512</v>
      </c>
      <c r="Q1003" s="38" t="s">
        <v>513</v>
      </c>
      <c r="R1003" s="38">
        <v>1</v>
      </c>
      <c r="S1003" s="38" t="s">
        <v>52</v>
      </c>
      <c r="T1003" s="38" t="s">
        <v>53</v>
      </c>
      <c r="U1003" s="38" t="s">
        <v>54</v>
      </c>
      <c r="V1003" s="38" t="s">
        <v>55</v>
      </c>
      <c r="Y1003" s="38">
        <v>74.819999999999993</v>
      </c>
      <c r="Z1003" s="38">
        <v>1</v>
      </c>
      <c r="AF1003" s="38">
        <v>74.819999999999993</v>
      </c>
      <c r="AI1003" s="38">
        <v>1</v>
      </c>
      <c r="AJ1003" s="38">
        <v>12</v>
      </c>
      <c r="AK1003" s="14">
        <f t="shared" si="3"/>
        <v>8.3333333333333329E-2</v>
      </c>
      <c r="AO1003" s="28"/>
    </row>
    <row r="1004" spans="1:41" ht="12.5" hidden="1">
      <c r="A1004" s="28" t="s">
        <v>3759</v>
      </c>
      <c r="B1004" s="37">
        <v>45768</v>
      </c>
      <c r="C1004" s="29">
        <v>45771</v>
      </c>
      <c r="D1004" s="38" t="s">
        <v>41</v>
      </c>
      <c r="E1004" s="38" t="s">
        <v>3760</v>
      </c>
      <c r="G1004" s="38" t="s">
        <v>43</v>
      </c>
      <c r="H1004" s="38">
        <v>7.14</v>
      </c>
      <c r="I1004" s="38" t="s">
        <v>44</v>
      </c>
      <c r="J1004" s="38" t="s">
        <v>45</v>
      </c>
      <c r="K1004" s="38" t="s">
        <v>3761</v>
      </c>
      <c r="L1004" s="30" t="s">
        <v>47</v>
      </c>
      <c r="M1004" s="38" t="s">
        <v>48</v>
      </c>
      <c r="N1004" s="38" t="s">
        <v>48</v>
      </c>
      <c r="O1004" s="31" t="s">
        <v>1292</v>
      </c>
      <c r="P1004" s="28" t="s">
        <v>1293</v>
      </c>
      <c r="Q1004" s="38" t="s">
        <v>1294</v>
      </c>
      <c r="R1004" s="38">
        <v>1</v>
      </c>
      <c r="S1004" s="38" t="s">
        <v>99</v>
      </c>
      <c r="T1004" s="38" t="s">
        <v>53</v>
      </c>
      <c r="U1004" s="38" t="s">
        <v>54</v>
      </c>
      <c r="V1004" s="38" t="s">
        <v>61</v>
      </c>
      <c r="Y1004" s="38">
        <v>76.040000000000006</v>
      </c>
      <c r="Z1004" s="38">
        <v>1</v>
      </c>
      <c r="AI1004" s="38">
        <v>1</v>
      </c>
      <c r="AJ1004" s="38">
        <v>3</v>
      </c>
      <c r="AK1004" s="14">
        <f t="shared" si="3"/>
        <v>0.33333333333333331</v>
      </c>
      <c r="AO1004" s="28"/>
    </row>
    <row r="1005" spans="1:41" ht="12.5" hidden="1">
      <c r="A1005" s="28" t="s">
        <v>3762</v>
      </c>
      <c r="B1005" s="39">
        <v>45755</v>
      </c>
      <c r="C1005" s="29">
        <v>45767</v>
      </c>
      <c r="D1005" s="38" t="s">
        <v>41</v>
      </c>
      <c r="E1005" s="38" t="s">
        <v>3763</v>
      </c>
      <c r="G1005" s="38" t="s">
        <v>43</v>
      </c>
      <c r="H1005" s="38">
        <v>11.19</v>
      </c>
      <c r="I1005" s="38" t="s">
        <v>44</v>
      </c>
      <c r="J1005" s="38" t="s">
        <v>45</v>
      </c>
      <c r="K1005" s="38" t="s">
        <v>3764</v>
      </c>
      <c r="L1005" s="30" t="s">
        <v>47</v>
      </c>
      <c r="M1005" s="38" t="s">
        <v>48</v>
      </c>
      <c r="N1005" s="38" t="s">
        <v>48</v>
      </c>
      <c r="O1005" s="31" t="s">
        <v>517</v>
      </c>
      <c r="P1005" s="28" t="s">
        <v>518</v>
      </c>
      <c r="Q1005" s="38" t="s">
        <v>519</v>
      </c>
      <c r="R1005" s="38">
        <v>1</v>
      </c>
      <c r="S1005" s="38" t="s">
        <v>99</v>
      </c>
      <c r="T1005" s="38" t="s">
        <v>53</v>
      </c>
      <c r="U1005" s="38" t="s">
        <v>54</v>
      </c>
      <c r="V1005" s="38" t="s">
        <v>61</v>
      </c>
      <c r="Y1005" s="38">
        <v>71.98</v>
      </c>
      <c r="Z1005" s="38">
        <v>1</v>
      </c>
      <c r="AI1005" s="38">
        <v>1</v>
      </c>
      <c r="AJ1005" s="38">
        <v>2</v>
      </c>
      <c r="AK1005" s="14">
        <f t="shared" si="3"/>
        <v>0.5</v>
      </c>
      <c r="AO1005" s="28"/>
    </row>
    <row r="1006" spans="1:41" ht="12.5" hidden="1">
      <c r="A1006" s="28" t="s">
        <v>3765</v>
      </c>
      <c r="B1006" s="37">
        <v>45767</v>
      </c>
      <c r="C1006" s="29">
        <v>45771</v>
      </c>
      <c r="D1006" s="38" t="s">
        <v>41</v>
      </c>
      <c r="E1006" s="38" t="s">
        <v>3766</v>
      </c>
      <c r="G1006" s="38" t="s">
        <v>43</v>
      </c>
      <c r="H1006" s="38">
        <v>11.19</v>
      </c>
      <c r="I1006" s="38" t="s">
        <v>44</v>
      </c>
      <c r="J1006" s="38" t="s">
        <v>45</v>
      </c>
      <c r="K1006" s="38" t="s">
        <v>3767</v>
      </c>
      <c r="L1006" s="30" t="s">
        <v>58</v>
      </c>
      <c r="M1006" s="38" t="s">
        <v>48</v>
      </c>
      <c r="N1006" s="38" t="s">
        <v>48</v>
      </c>
      <c r="O1006" s="31" t="s">
        <v>536</v>
      </c>
      <c r="P1006" s="28" t="s">
        <v>537</v>
      </c>
      <c r="Q1006" s="38" t="s">
        <v>538</v>
      </c>
      <c r="R1006" s="38">
        <v>1</v>
      </c>
      <c r="S1006" s="38" t="s">
        <v>68</v>
      </c>
      <c r="T1006" s="38" t="s">
        <v>53</v>
      </c>
      <c r="U1006" s="38" t="s">
        <v>54</v>
      </c>
      <c r="V1006" s="38" t="s">
        <v>61</v>
      </c>
      <c r="Y1006" s="38">
        <v>85.41</v>
      </c>
      <c r="Z1006" s="38">
        <v>1</v>
      </c>
      <c r="AI1006" s="38">
        <v>1</v>
      </c>
      <c r="AJ1006" s="38">
        <v>9</v>
      </c>
      <c r="AK1006" s="14">
        <f t="shared" si="3"/>
        <v>0.1111111111111111</v>
      </c>
      <c r="AO1006" s="28"/>
    </row>
    <row r="1007" spans="1:41" ht="12.5" hidden="1">
      <c r="A1007" s="28" t="s">
        <v>3768</v>
      </c>
      <c r="B1007" s="37">
        <v>45764</v>
      </c>
      <c r="C1007" s="29">
        <v>45777</v>
      </c>
      <c r="D1007" s="38" t="s">
        <v>41</v>
      </c>
      <c r="E1007" s="38" t="s">
        <v>3769</v>
      </c>
      <c r="G1007" s="38" t="s">
        <v>43</v>
      </c>
      <c r="H1007" s="38">
        <v>13.67</v>
      </c>
      <c r="I1007" s="38" t="s">
        <v>44</v>
      </c>
      <c r="J1007" s="38" t="s">
        <v>45</v>
      </c>
      <c r="K1007" s="38" t="s">
        <v>3770</v>
      </c>
      <c r="L1007" s="30" t="s">
        <v>47</v>
      </c>
      <c r="M1007" s="38" t="s">
        <v>48</v>
      </c>
      <c r="N1007" s="38" t="s">
        <v>48</v>
      </c>
      <c r="O1007" s="31" t="s">
        <v>1319</v>
      </c>
      <c r="P1007" s="28" t="s">
        <v>1320</v>
      </c>
      <c r="Q1007" s="38" t="s">
        <v>1321</v>
      </c>
      <c r="R1007" s="38">
        <v>1</v>
      </c>
      <c r="S1007" s="38" t="s">
        <v>92</v>
      </c>
      <c r="T1007" s="38" t="s">
        <v>53</v>
      </c>
      <c r="U1007" s="38" t="s">
        <v>54</v>
      </c>
      <c r="V1007" s="38" t="s">
        <v>55</v>
      </c>
      <c r="Y1007" s="38">
        <v>95.35</v>
      </c>
      <c r="Z1007" s="38">
        <v>1</v>
      </c>
      <c r="AF1007" s="38">
        <v>95.35</v>
      </c>
      <c r="AI1007" s="38">
        <v>1</v>
      </c>
      <c r="AJ1007" s="38">
        <v>4</v>
      </c>
      <c r="AK1007" s="14">
        <f t="shared" si="3"/>
        <v>0.25</v>
      </c>
      <c r="AO1007" s="28"/>
    </row>
    <row r="1008" spans="1:41" ht="12.5" hidden="1">
      <c r="A1008" s="28" t="s">
        <v>3771</v>
      </c>
      <c r="B1008" s="37">
        <v>45764</v>
      </c>
      <c r="C1008" s="29">
        <v>45767</v>
      </c>
      <c r="D1008" s="38" t="s">
        <v>41</v>
      </c>
      <c r="E1008" s="38" t="s">
        <v>3772</v>
      </c>
      <c r="G1008" s="38" t="s">
        <v>43</v>
      </c>
      <c r="H1008" s="38">
        <v>7.76</v>
      </c>
      <c r="I1008" s="38" t="s">
        <v>44</v>
      </c>
      <c r="J1008" s="38" t="s">
        <v>45</v>
      </c>
      <c r="K1008" s="38" t="s">
        <v>3773</v>
      </c>
      <c r="L1008" s="30" t="s">
        <v>47</v>
      </c>
      <c r="M1008" s="38" t="s">
        <v>48</v>
      </c>
      <c r="N1008" s="38" t="s">
        <v>48</v>
      </c>
      <c r="O1008" s="31" t="s">
        <v>3774</v>
      </c>
      <c r="P1008" s="28" t="s">
        <v>3775</v>
      </c>
      <c r="Q1008" s="38" t="s">
        <v>3776</v>
      </c>
      <c r="R1008" s="38">
        <v>1</v>
      </c>
      <c r="S1008" s="38" t="s">
        <v>99</v>
      </c>
      <c r="T1008" s="38" t="s">
        <v>53</v>
      </c>
      <c r="U1008" s="38" t="s">
        <v>54</v>
      </c>
      <c r="V1008" s="38" t="s">
        <v>55</v>
      </c>
      <c r="Y1008" s="38">
        <v>41.85</v>
      </c>
      <c r="Z1008" s="38">
        <v>1</v>
      </c>
      <c r="AF1008" s="38">
        <v>41.85</v>
      </c>
      <c r="AI1008" s="38">
        <v>1</v>
      </c>
      <c r="AJ1008" s="38">
        <v>1</v>
      </c>
      <c r="AK1008" s="14">
        <f t="shared" si="3"/>
        <v>1</v>
      </c>
      <c r="AO1008" s="28"/>
    </row>
    <row r="1009" spans="1:41" ht="12.5" hidden="1">
      <c r="A1009" s="28" t="s">
        <v>3777</v>
      </c>
      <c r="B1009" s="37">
        <v>45769</v>
      </c>
      <c r="C1009" s="29">
        <v>45776</v>
      </c>
      <c r="D1009" s="38" t="s">
        <v>41</v>
      </c>
      <c r="E1009" s="38" t="s">
        <v>3778</v>
      </c>
      <c r="G1009" s="38" t="s">
        <v>43</v>
      </c>
      <c r="H1009" s="38">
        <v>20.69</v>
      </c>
      <c r="I1009" s="38" t="s">
        <v>44</v>
      </c>
      <c r="J1009" s="38" t="s">
        <v>45</v>
      </c>
      <c r="K1009" s="38" t="s">
        <v>3779</v>
      </c>
      <c r="L1009" s="30" t="s">
        <v>58</v>
      </c>
      <c r="M1009" s="38" t="s">
        <v>48</v>
      </c>
      <c r="N1009" s="38" t="s">
        <v>48</v>
      </c>
      <c r="O1009" s="31" t="s">
        <v>551</v>
      </c>
      <c r="P1009" s="28" t="s">
        <v>552</v>
      </c>
      <c r="Q1009" s="38" t="s">
        <v>553</v>
      </c>
      <c r="R1009" s="38">
        <v>1</v>
      </c>
      <c r="S1009" s="38" t="s">
        <v>75</v>
      </c>
      <c r="T1009" s="38" t="s">
        <v>53</v>
      </c>
      <c r="U1009" s="38" t="s">
        <v>54</v>
      </c>
      <c r="V1009" s="38" t="s">
        <v>55</v>
      </c>
      <c r="Y1009" s="38">
        <v>102.12</v>
      </c>
      <c r="Z1009" s="38">
        <v>1</v>
      </c>
      <c r="AF1009" s="38">
        <v>81.430000000000007</v>
      </c>
      <c r="AI1009" s="38">
        <v>1</v>
      </c>
      <c r="AJ1009" s="38">
        <v>2</v>
      </c>
      <c r="AK1009" s="14">
        <f t="shared" si="3"/>
        <v>0.5</v>
      </c>
      <c r="AO1009" s="28"/>
    </row>
    <row r="1010" spans="1:41" ht="12.5" hidden="1">
      <c r="A1010" s="28" t="s">
        <v>3780</v>
      </c>
      <c r="B1010" s="37">
        <v>45769</v>
      </c>
      <c r="C1010" s="29">
        <v>45774</v>
      </c>
      <c r="D1010" s="38" t="s">
        <v>41</v>
      </c>
      <c r="E1010" s="38" t="s">
        <v>3781</v>
      </c>
      <c r="G1010" s="38" t="s">
        <v>43</v>
      </c>
      <c r="H1010" s="38">
        <v>18.98</v>
      </c>
      <c r="I1010" s="38" t="s">
        <v>44</v>
      </c>
      <c r="J1010" s="38" t="s">
        <v>45</v>
      </c>
      <c r="K1010" s="38" t="s">
        <v>3782</v>
      </c>
      <c r="L1010" s="30" t="s">
        <v>47</v>
      </c>
      <c r="M1010" s="38" t="s">
        <v>48</v>
      </c>
      <c r="N1010" s="38" t="s">
        <v>48</v>
      </c>
      <c r="O1010" s="31" t="s">
        <v>1343</v>
      </c>
      <c r="P1010" s="28" t="s">
        <v>1344</v>
      </c>
      <c r="Q1010" s="38" t="s">
        <v>1345</v>
      </c>
      <c r="R1010" s="38">
        <v>1</v>
      </c>
      <c r="S1010" s="38" t="s">
        <v>52</v>
      </c>
      <c r="T1010" s="38" t="s">
        <v>53</v>
      </c>
      <c r="U1010" s="38" t="s">
        <v>54</v>
      </c>
      <c r="V1010" s="38" t="s">
        <v>61</v>
      </c>
      <c r="Y1010" s="38">
        <v>126.04</v>
      </c>
      <c r="Z1010" s="38">
        <v>1</v>
      </c>
      <c r="AI1010" s="38">
        <v>1</v>
      </c>
      <c r="AJ1010" s="38">
        <v>4</v>
      </c>
      <c r="AK1010" s="14">
        <f t="shared" si="3"/>
        <v>0.25</v>
      </c>
      <c r="AO1010" s="28"/>
    </row>
    <row r="1011" spans="1:41" ht="12.5" hidden="1">
      <c r="A1011" s="28" t="s">
        <v>3783</v>
      </c>
      <c r="B1011" s="37">
        <v>45771</v>
      </c>
      <c r="C1011" s="29">
        <v>45772</v>
      </c>
      <c r="D1011" s="38" t="s">
        <v>41</v>
      </c>
      <c r="E1011" s="38" t="s">
        <v>3784</v>
      </c>
      <c r="G1011" s="38" t="s">
        <v>43</v>
      </c>
      <c r="H1011" s="38">
        <v>17.59</v>
      </c>
      <c r="I1011" s="38" t="s">
        <v>44</v>
      </c>
      <c r="J1011" s="38" t="s">
        <v>45</v>
      </c>
      <c r="K1011" s="38" t="s">
        <v>3785</v>
      </c>
      <c r="L1011" s="30" t="s">
        <v>47</v>
      </c>
      <c r="M1011" s="38" t="s">
        <v>48</v>
      </c>
      <c r="N1011" s="38" t="s">
        <v>48</v>
      </c>
      <c r="O1011" s="31" t="s">
        <v>2617</v>
      </c>
      <c r="P1011" s="28" t="s">
        <v>2618</v>
      </c>
      <c r="Q1011" s="38" t="s">
        <v>2619</v>
      </c>
      <c r="R1011" s="38">
        <v>1</v>
      </c>
      <c r="S1011" s="38" t="s">
        <v>52</v>
      </c>
      <c r="T1011" s="38" t="s">
        <v>53</v>
      </c>
      <c r="U1011" s="38" t="s">
        <v>54</v>
      </c>
      <c r="V1011" s="38" t="s">
        <v>55</v>
      </c>
      <c r="Y1011" s="38">
        <v>100.12</v>
      </c>
      <c r="Z1011" s="38">
        <v>1</v>
      </c>
      <c r="AF1011" s="38">
        <v>100.12</v>
      </c>
      <c r="AI1011" s="38">
        <v>1</v>
      </c>
      <c r="AJ1011" s="38">
        <v>3</v>
      </c>
      <c r="AK1011" s="14">
        <f t="shared" si="3"/>
        <v>0.33333333333333331</v>
      </c>
      <c r="AO1011" s="28"/>
    </row>
    <row r="1012" spans="1:41" ht="12.5" hidden="1">
      <c r="A1012" s="28" t="s">
        <v>3786</v>
      </c>
      <c r="B1012" s="39">
        <v>45754</v>
      </c>
      <c r="C1012" s="29">
        <v>45767</v>
      </c>
      <c r="D1012" s="38" t="s">
        <v>41</v>
      </c>
      <c r="E1012" s="38" t="s">
        <v>3787</v>
      </c>
      <c r="G1012" s="38" t="s">
        <v>43</v>
      </c>
      <c r="H1012" s="38">
        <v>11.59</v>
      </c>
      <c r="I1012" s="38" t="s">
        <v>44</v>
      </c>
      <c r="J1012" s="38" t="s">
        <v>45</v>
      </c>
      <c r="K1012" s="38" t="s">
        <v>3788</v>
      </c>
      <c r="L1012" s="30" t="s">
        <v>47</v>
      </c>
      <c r="M1012" s="38" t="s">
        <v>48</v>
      </c>
      <c r="N1012" s="38" t="s">
        <v>48</v>
      </c>
      <c r="O1012" s="40" t="s">
        <v>3789</v>
      </c>
      <c r="P1012" s="28" t="s">
        <v>3790</v>
      </c>
      <c r="Q1012" s="38" t="s">
        <v>3791</v>
      </c>
      <c r="R1012" s="38">
        <v>1</v>
      </c>
      <c r="S1012" s="38" t="s">
        <v>52</v>
      </c>
      <c r="T1012" s="38" t="s">
        <v>53</v>
      </c>
      <c r="U1012" s="38" t="s">
        <v>54</v>
      </c>
      <c r="V1012" s="38" t="s">
        <v>55</v>
      </c>
      <c r="Y1012" s="38">
        <v>105.38</v>
      </c>
      <c r="Z1012" s="38">
        <v>1</v>
      </c>
      <c r="AF1012" s="38">
        <v>105.38</v>
      </c>
      <c r="AI1012" s="38">
        <v>1</v>
      </c>
      <c r="AJ1012" s="38">
        <v>1</v>
      </c>
      <c r="AK1012" s="14">
        <f t="shared" si="3"/>
        <v>1</v>
      </c>
      <c r="AO1012" s="28"/>
    </row>
    <row r="1013" spans="1:41" ht="12.5" hidden="1">
      <c r="A1013" s="28" t="s">
        <v>3792</v>
      </c>
      <c r="B1013" s="37">
        <v>45761</v>
      </c>
      <c r="C1013" s="29">
        <v>45768</v>
      </c>
      <c r="D1013" s="38" t="s">
        <v>41</v>
      </c>
      <c r="E1013" s="38" t="s">
        <v>3793</v>
      </c>
      <c r="G1013" s="38" t="s">
        <v>43</v>
      </c>
      <c r="H1013" s="38">
        <v>13.67</v>
      </c>
      <c r="I1013" s="38" t="s">
        <v>44</v>
      </c>
      <c r="J1013" s="38" t="s">
        <v>45</v>
      </c>
      <c r="K1013" s="38" t="s">
        <v>3794</v>
      </c>
      <c r="L1013" s="30" t="s">
        <v>58</v>
      </c>
      <c r="M1013" s="38" t="s">
        <v>48</v>
      </c>
      <c r="N1013" s="38" t="s">
        <v>48</v>
      </c>
      <c r="O1013" s="31" t="s">
        <v>1349</v>
      </c>
      <c r="P1013" s="28" t="s">
        <v>1350</v>
      </c>
      <c r="Q1013" s="38" t="s">
        <v>1351</v>
      </c>
      <c r="R1013" s="38">
        <v>1</v>
      </c>
      <c r="S1013" s="38" t="s">
        <v>75</v>
      </c>
      <c r="T1013" s="38" t="s">
        <v>53</v>
      </c>
      <c r="U1013" s="38" t="s">
        <v>54</v>
      </c>
      <c r="V1013" s="38" t="s">
        <v>61</v>
      </c>
      <c r="Y1013" s="38">
        <v>124.68</v>
      </c>
      <c r="Z1013" s="38">
        <v>1</v>
      </c>
      <c r="AI1013" s="38">
        <v>1</v>
      </c>
      <c r="AJ1013" s="38">
        <v>1</v>
      </c>
      <c r="AK1013" s="14">
        <f t="shared" si="3"/>
        <v>1</v>
      </c>
      <c r="AO1013" s="28"/>
    </row>
    <row r="1014" spans="1:41" ht="12.5" hidden="1">
      <c r="A1014" s="28" t="s">
        <v>3795</v>
      </c>
      <c r="B1014" s="39">
        <v>45749</v>
      </c>
      <c r="C1014" s="29">
        <v>45765</v>
      </c>
      <c r="D1014" s="38" t="s">
        <v>41</v>
      </c>
      <c r="E1014" s="38" t="s">
        <v>3796</v>
      </c>
      <c r="G1014" s="38" t="s">
        <v>43</v>
      </c>
      <c r="H1014" s="38">
        <v>13.67</v>
      </c>
      <c r="I1014" s="38" t="s">
        <v>44</v>
      </c>
      <c r="J1014" s="38" t="s">
        <v>45</v>
      </c>
      <c r="K1014" s="38" t="s">
        <v>3797</v>
      </c>
      <c r="L1014" s="30" t="s">
        <v>58</v>
      </c>
      <c r="M1014" s="38" t="s">
        <v>48</v>
      </c>
      <c r="N1014" s="38" t="s">
        <v>48</v>
      </c>
      <c r="O1014" s="31" t="s">
        <v>3493</v>
      </c>
      <c r="P1014" s="28" t="s">
        <v>3494</v>
      </c>
      <c r="Q1014" s="38" t="s">
        <v>3495</v>
      </c>
      <c r="R1014" s="38">
        <v>1</v>
      </c>
      <c r="S1014" s="38" t="s">
        <v>68</v>
      </c>
      <c r="T1014" s="38" t="s">
        <v>53</v>
      </c>
      <c r="U1014" s="38" t="s">
        <v>54</v>
      </c>
      <c r="V1014" s="38" t="s">
        <v>55</v>
      </c>
      <c r="Y1014" s="38">
        <v>113.55</v>
      </c>
      <c r="Z1014" s="38">
        <v>1</v>
      </c>
      <c r="AF1014" s="38">
        <v>99.88</v>
      </c>
      <c r="AI1014" s="38">
        <v>1</v>
      </c>
      <c r="AJ1014" s="38">
        <v>8</v>
      </c>
      <c r="AK1014" s="14">
        <f t="shared" si="3"/>
        <v>0.125</v>
      </c>
      <c r="AO1014" s="28"/>
    </row>
    <row r="1015" spans="1:41" ht="12.5" hidden="1">
      <c r="A1015" s="28" t="s">
        <v>3798</v>
      </c>
      <c r="B1015" s="37">
        <v>45763</v>
      </c>
      <c r="C1015" s="29">
        <v>45768</v>
      </c>
      <c r="D1015" s="38" t="s">
        <v>41</v>
      </c>
      <c r="E1015" s="38" t="s">
        <v>3799</v>
      </c>
      <c r="G1015" s="38" t="s">
        <v>43</v>
      </c>
      <c r="H1015" s="38">
        <v>11.59</v>
      </c>
      <c r="I1015" s="38" t="s">
        <v>44</v>
      </c>
      <c r="J1015" s="38" t="s">
        <v>45</v>
      </c>
      <c r="K1015" s="38" t="s">
        <v>3800</v>
      </c>
      <c r="L1015" s="30" t="s">
        <v>47</v>
      </c>
      <c r="M1015" s="38" t="s">
        <v>48</v>
      </c>
      <c r="N1015" s="38" t="s">
        <v>48</v>
      </c>
      <c r="O1015" s="31" t="s">
        <v>1384</v>
      </c>
      <c r="P1015" s="28" t="s">
        <v>1385</v>
      </c>
      <c r="Q1015" s="38" t="s">
        <v>1386</v>
      </c>
      <c r="R1015" s="38">
        <v>1</v>
      </c>
      <c r="S1015" s="38" t="s">
        <v>92</v>
      </c>
      <c r="T1015" s="38" t="s">
        <v>53</v>
      </c>
      <c r="U1015" s="38" t="s">
        <v>54</v>
      </c>
      <c r="V1015" s="38" t="s">
        <v>55</v>
      </c>
      <c r="Y1015" s="38">
        <v>96.36</v>
      </c>
      <c r="Z1015" s="38">
        <v>1</v>
      </c>
      <c r="AF1015" s="38">
        <v>96.36</v>
      </c>
      <c r="AI1015" s="38">
        <v>1</v>
      </c>
      <c r="AJ1015" s="38">
        <v>5</v>
      </c>
      <c r="AK1015" s="14">
        <f t="shared" si="3"/>
        <v>0.2</v>
      </c>
      <c r="AO1015" s="28"/>
    </row>
    <row r="1016" spans="1:41" ht="12.5" hidden="1">
      <c r="A1016" s="28" t="s">
        <v>3801</v>
      </c>
      <c r="B1016" s="37">
        <v>45771</v>
      </c>
      <c r="C1016" s="29">
        <v>45775</v>
      </c>
      <c r="D1016" s="38" t="s">
        <v>41</v>
      </c>
      <c r="E1016" s="38" t="s">
        <v>3802</v>
      </c>
      <c r="G1016" s="38" t="s">
        <v>43</v>
      </c>
      <c r="H1016" s="38">
        <v>7.37</v>
      </c>
      <c r="I1016" s="38" t="s">
        <v>44</v>
      </c>
      <c r="J1016" s="38" t="s">
        <v>45</v>
      </c>
      <c r="K1016" s="38" t="s">
        <v>3803</v>
      </c>
      <c r="L1016" s="30" t="s">
        <v>47</v>
      </c>
      <c r="M1016" s="38" t="s">
        <v>48</v>
      </c>
      <c r="N1016" s="38" t="s">
        <v>48</v>
      </c>
      <c r="O1016" s="31" t="s">
        <v>1943</v>
      </c>
      <c r="P1016" s="28" t="s">
        <v>1944</v>
      </c>
      <c r="Q1016" s="38" t="s">
        <v>1945</v>
      </c>
      <c r="R1016" s="38">
        <v>1</v>
      </c>
      <c r="S1016" s="38" t="s">
        <v>99</v>
      </c>
      <c r="T1016" s="38" t="s">
        <v>53</v>
      </c>
      <c r="U1016" s="38" t="s">
        <v>54</v>
      </c>
      <c r="V1016" s="38" t="s">
        <v>61</v>
      </c>
      <c r="Y1016" s="38">
        <v>86.51</v>
      </c>
      <c r="Z1016" s="38">
        <v>1</v>
      </c>
      <c r="AI1016" s="38">
        <v>1</v>
      </c>
      <c r="AJ1016" s="38">
        <v>3</v>
      </c>
      <c r="AK1016" s="14">
        <f t="shared" si="3"/>
        <v>0.33333333333333331</v>
      </c>
      <c r="AO1016" s="28"/>
    </row>
    <row r="1017" spans="1:41" ht="12.5" hidden="1">
      <c r="A1017" s="28" t="s">
        <v>3804</v>
      </c>
      <c r="B1017" s="37">
        <v>45773</v>
      </c>
      <c r="C1017" s="29">
        <v>45777</v>
      </c>
      <c r="D1017" s="38" t="s">
        <v>41</v>
      </c>
      <c r="E1017" s="38" t="s">
        <v>3805</v>
      </c>
      <c r="G1017" s="38" t="s">
        <v>43</v>
      </c>
      <c r="H1017" s="38">
        <v>10.1</v>
      </c>
      <c r="I1017" s="38" t="s">
        <v>44</v>
      </c>
      <c r="J1017" s="38" t="s">
        <v>45</v>
      </c>
      <c r="K1017" s="38" t="s">
        <v>3806</v>
      </c>
      <c r="L1017" s="30" t="s">
        <v>47</v>
      </c>
      <c r="M1017" s="38" t="s">
        <v>48</v>
      </c>
      <c r="N1017" s="38" t="s">
        <v>48</v>
      </c>
      <c r="O1017" s="31" t="s">
        <v>3807</v>
      </c>
      <c r="P1017" s="28" t="s">
        <v>3808</v>
      </c>
      <c r="Q1017" s="38" t="s">
        <v>3809</v>
      </c>
      <c r="R1017" s="38">
        <v>1</v>
      </c>
      <c r="S1017" s="38" t="s">
        <v>52</v>
      </c>
      <c r="T1017" s="38" t="s">
        <v>53</v>
      </c>
      <c r="U1017" s="38" t="s">
        <v>54</v>
      </c>
      <c r="V1017" s="38" t="s">
        <v>61</v>
      </c>
      <c r="Y1017" s="38">
        <v>177.46</v>
      </c>
      <c r="Z1017" s="38">
        <v>1</v>
      </c>
      <c r="AI1017" s="38">
        <v>1</v>
      </c>
      <c r="AJ1017" s="38">
        <v>3</v>
      </c>
      <c r="AK1017" s="14">
        <f t="shared" si="3"/>
        <v>0.33333333333333331</v>
      </c>
      <c r="AO1017" s="28"/>
    </row>
    <row r="1018" spans="1:41" ht="12.5" hidden="1">
      <c r="A1018" s="28" t="s">
        <v>3810</v>
      </c>
      <c r="B1018" s="37">
        <v>45761</v>
      </c>
      <c r="C1018" s="29">
        <v>45768</v>
      </c>
      <c r="D1018" s="38" t="s">
        <v>41</v>
      </c>
      <c r="E1018" s="38" t="s">
        <v>3811</v>
      </c>
      <c r="G1018" s="38" t="s">
        <v>43</v>
      </c>
      <c r="H1018" s="38">
        <v>7.76</v>
      </c>
      <c r="I1018" s="38" t="s">
        <v>44</v>
      </c>
      <c r="J1018" s="38" t="s">
        <v>45</v>
      </c>
      <c r="K1018" s="38" t="s">
        <v>3812</v>
      </c>
      <c r="L1018" s="30" t="s">
        <v>58</v>
      </c>
      <c r="M1018" s="38" t="s">
        <v>48</v>
      </c>
      <c r="N1018" s="38" t="s">
        <v>48</v>
      </c>
      <c r="O1018" s="31" t="s">
        <v>2647</v>
      </c>
      <c r="P1018" s="28" t="s">
        <v>2648</v>
      </c>
      <c r="Q1018" s="38" t="s">
        <v>2649</v>
      </c>
      <c r="R1018" s="38">
        <v>1</v>
      </c>
      <c r="S1018" s="38" t="s">
        <v>68</v>
      </c>
      <c r="T1018" s="38" t="s">
        <v>53</v>
      </c>
      <c r="U1018" s="38" t="s">
        <v>54</v>
      </c>
      <c r="V1018" s="38" t="s">
        <v>61</v>
      </c>
      <c r="Y1018" s="38">
        <v>169.78</v>
      </c>
      <c r="Z1018" s="38">
        <v>1</v>
      </c>
      <c r="AI1018" s="38">
        <v>1</v>
      </c>
      <c r="AJ1018" s="38">
        <v>0</v>
      </c>
      <c r="AK1018" s="14" t="e">
        <f t="shared" si="3"/>
        <v>#DIV/0!</v>
      </c>
      <c r="AO1018" s="28"/>
    </row>
    <row r="1019" spans="1:41" ht="12.5" hidden="1">
      <c r="A1019" s="28" t="s">
        <v>3813</v>
      </c>
      <c r="B1019" s="37">
        <v>45766</v>
      </c>
      <c r="C1019" s="29">
        <v>45771</v>
      </c>
      <c r="D1019" s="38" t="s">
        <v>41</v>
      </c>
      <c r="E1019" s="38" t="s">
        <v>3814</v>
      </c>
      <c r="G1019" s="38" t="s">
        <v>43</v>
      </c>
      <c r="H1019" s="38">
        <v>7.76</v>
      </c>
      <c r="I1019" s="38" t="s">
        <v>44</v>
      </c>
      <c r="J1019" s="38" t="s">
        <v>45</v>
      </c>
      <c r="K1019" s="38" t="s">
        <v>3815</v>
      </c>
      <c r="L1019" s="30" t="s">
        <v>47</v>
      </c>
      <c r="M1019" s="38" t="s">
        <v>48</v>
      </c>
      <c r="N1019" s="38" t="s">
        <v>48</v>
      </c>
      <c r="O1019" s="31" t="s">
        <v>3816</v>
      </c>
      <c r="P1019" s="28" t="s">
        <v>3817</v>
      </c>
      <c r="Q1019" s="38" t="s">
        <v>3818</v>
      </c>
      <c r="R1019" s="38">
        <v>1</v>
      </c>
      <c r="S1019" s="38" t="s">
        <v>99</v>
      </c>
      <c r="T1019" s="38" t="s">
        <v>53</v>
      </c>
      <c r="U1019" s="38" t="s">
        <v>54</v>
      </c>
      <c r="V1019" s="38" t="s">
        <v>61</v>
      </c>
      <c r="Y1019" s="38">
        <v>97.83</v>
      </c>
      <c r="Z1019" s="38">
        <v>1</v>
      </c>
      <c r="AI1019" s="38">
        <v>1</v>
      </c>
      <c r="AJ1019" s="38">
        <v>1</v>
      </c>
      <c r="AK1019" s="14">
        <f t="shared" si="3"/>
        <v>1</v>
      </c>
      <c r="AO1019" s="28"/>
    </row>
    <row r="1020" spans="1:41" ht="12.5" hidden="1">
      <c r="A1020" s="28" t="s">
        <v>3819</v>
      </c>
      <c r="B1020" s="37">
        <v>45760</v>
      </c>
      <c r="C1020" s="29">
        <v>45763</v>
      </c>
      <c r="D1020" s="38" t="s">
        <v>41</v>
      </c>
      <c r="E1020" s="38" t="s">
        <v>3820</v>
      </c>
      <c r="G1020" s="38" t="s">
        <v>137</v>
      </c>
      <c r="H1020" s="38">
        <v>0</v>
      </c>
      <c r="L1020" s="30" t="s">
        <v>47</v>
      </c>
      <c r="M1020" s="38" t="s">
        <v>48</v>
      </c>
      <c r="N1020" s="38" t="s">
        <v>48</v>
      </c>
      <c r="O1020" s="31" t="s">
        <v>2352</v>
      </c>
      <c r="P1020" s="28" t="s">
        <v>2353</v>
      </c>
      <c r="Q1020" s="38" t="s">
        <v>2354</v>
      </c>
      <c r="R1020" s="38">
        <v>1</v>
      </c>
      <c r="S1020" s="38" t="s">
        <v>92</v>
      </c>
      <c r="T1020" s="38" t="s">
        <v>53</v>
      </c>
      <c r="U1020" s="38" t="s">
        <v>54</v>
      </c>
      <c r="V1020" s="38" t="s">
        <v>61</v>
      </c>
      <c r="Y1020" s="38">
        <v>130.26</v>
      </c>
      <c r="Z1020" s="38">
        <v>1</v>
      </c>
      <c r="AI1020" s="38">
        <v>1</v>
      </c>
      <c r="AJ1020" s="38">
        <v>0</v>
      </c>
      <c r="AK1020" s="14" t="e">
        <f t="shared" si="3"/>
        <v>#DIV/0!</v>
      </c>
      <c r="AO1020" s="28"/>
    </row>
    <row r="1021" spans="1:41" ht="12.5" hidden="1">
      <c r="A1021" s="28" t="s">
        <v>3821</v>
      </c>
      <c r="B1021" s="37">
        <v>45771</v>
      </c>
      <c r="C1021" s="29">
        <v>45773</v>
      </c>
      <c r="D1021" s="38" t="s">
        <v>41</v>
      </c>
      <c r="E1021" s="38" t="s">
        <v>3822</v>
      </c>
      <c r="G1021" s="38" t="s">
        <v>43</v>
      </c>
      <c r="H1021" s="38">
        <v>11.19</v>
      </c>
      <c r="I1021" s="38" t="s">
        <v>44</v>
      </c>
      <c r="J1021" s="38" t="s">
        <v>45</v>
      </c>
      <c r="K1021" s="38" t="s">
        <v>3823</v>
      </c>
      <c r="L1021" s="30" t="s">
        <v>47</v>
      </c>
      <c r="M1021" s="38" t="s">
        <v>48</v>
      </c>
      <c r="N1021" s="38" t="s">
        <v>48</v>
      </c>
      <c r="O1021" s="31" t="s">
        <v>836</v>
      </c>
      <c r="P1021" s="28" t="s">
        <v>837</v>
      </c>
      <c r="Q1021" s="38" t="s">
        <v>838</v>
      </c>
      <c r="R1021" s="38">
        <v>1</v>
      </c>
      <c r="S1021" s="38" t="s">
        <v>99</v>
      </c>
      <c r="T1021" s="38" t="s">
        <v>53</v>
      </c>
      <c r="U1021" s="38" t="s">
        <v>54</v>
      </c>
      <c r="V1021" s="38" t="s">
        <v>55</v>
      </c>
      <c r="Y1021" s="38">
        <v>94.74</v>
      </c>
      <c r="Z1021" s="38">
        <v>1</v>
      </c>
      <c r="AF1021" s="38">
        <v>94.74</v>
      </c>
      <c r="AI1021" s="38">
        <v>1</v>
      </c>
      <c r="AJ1021" s="38">
        <v>0</v>
      </c>
      <c r="AK1021" s="14" t="e">
        <f t="shared" si="3"/>
        <v>#DIV/0!</v>
      </c>
      <c r="AO1021" s="28"/>
    </row>
    <row r="1022" spans="1:41" ht="12.5" hidden="1">
      <c r="A1022" s="28" t="s">
        <v>3824</v>
      </c>
      <c r="B1022" s="37">
        <v>45742</v>
      </c>
      <c r="C1022" s="29">
        <v>45774</v>
      </c>
      <c r="D1022" s="38" t="s">
        <v>41</v>
      </c>
      <c r="E1022" s="38" t="s">
        <v>3825</v>
      </c>
      <c r="G1022" s="38" t="s">
        <v>137</v>
      </c>
      <c r="H1022" s="38">
        <v>0</v>
      </c>
      <c r="L1022" s="30" t="s">
        <v>58</v>
      </c>
      <c r="M1022" s="38" t="s">
        <v>48</v>
      </c>
      <c r="N1022" s="38" t="s">
        <v>48</v>
      </c>
      <c r="O1022" s="31" t="s">
        <v>1659</v>
      </c>
      <c r="P1022" s="28" t="s">
        <v>1660</v>
      </c>
      <c r="Q1022" s="38" t="s">
        <v>3533</v>
      </c>
      <c r="R1022" s="38">
        <v>4</v>
      </c>
      <c r="S1022" s="38" t="s">
        <v>68</v>
      </c>
      <c r="T1022" s="38" t="s">
        <v>53</v>
      </c>
      <c r="U1022" s="38" t="s">
        <v>54</v>
      </c>
      <c r="V1022" s="38" t="s">
        <v>61</v>
      </c>
      <c r="Y1022" s="38">
        <v>287.08</v>
      </c>
      <c r="Z1022" s="38">
        <v>4</v>
      </c>
      <c r="AI1022" s="38">
        <v>3</v>
      </c>
      <c r="AJ1022" s="38">
        <v>19</v>
      </c>
      <c r="AK1022" s="14">
        <f t="shared" ref="AK1022:AK1039" si="4">AI1022/AJ1022*1</f>
        <v>0.15789473684210525</v>
      </c>
      <c r="AO1022" s="28"/>
    </row>
    <row r="1023" spans="1:41" ht="12.5" hidden="1">
      <c r="A1023" s="28" t="s">
        <v>3826</v>
      </c>
      <c r="B1023" s="37">
        <v>45770</v>
      </c>
      <c r="C1023" s="29">
        <v>45773</v>
      </c>
      <c r="D1023" s="38" t="s">
        <v>41</v>
      </c>
      <c r="E1023" s="38" t="s">
        <v>3827</v>
      </c>
      <c r="G1023" s="38" t="s">
        <v>43</v>
      </c>
      <c r="H1023" s="38">
        <v>10.46</v>
      </c>
      <c r="I1023" s="38" t="s">
        <v>44</v>
      </c>
      <c r="J1023" s="38" t="s">
        <v>45</v>
      </c>
      <c r="K1023" s="38" t="s">
        <v>3828</v>
      </c>
      <c r="L1023" s="30" t="s">
        <v>47</v>
      </c>
      <c r="M1023" s="38" t="s">
        <v>48</v>
      </c>
      <c r="N1023" s="38" t="s">
        <v>48</v>
      </c>
      <c r="O1023" s="31" t="s">
        <v>1659</v>
      </c>
      <c r="P1023" s="28" t="s">
        <v>1660</v>
      </c>
      <c r="Q1023" s="38" t="s">
        <v>3533</v>
      </c>
      <c r="R1023" s="38">
        <v>1</v>
      </c>
      <c r="S1023" s="38" t="s">
        <v>421</v>
      </c>
      <c r="T1023" s="38" t="s">
        <v>53</v>
      </c>
      <c r="U1023" s="38" t="s">
        <v>54</v>
      </c>
      <c r="V1023" s="38" t="s">
        <v>61</v>
      </c>
      <c r="Y1023" s="38">
        <v>69.02</v>
      </c>
      <c r="Z1023" s="38">
        <v>1</v>
      </c>
      <c r="AK1023" s="14" t="e">
        <f t="shared" si="4"/>
        <v>#DIV/0!</v>
      </c>
      <c r="AO1023" s="28"/>
    </row>
    <row r="1024" spans="1:41" ht="12.5" hidden="1">
      <c r="A1024" s="28" t="s">
        <v>3829</v>
      </c>
      <c r="B1024" s="37">
        <v>45762</v>
      </c>
      <c r="C1024" s="29">
        <v>45765</v>
      </c>
      <c r="D1024" s="38" t="s">
        <v>41</v>
      </c>
      <c r="E1024" s="38" t="s">
        <v>3830</v>
      </c>
      <c r="G1024" s="38" t="s">
        <v>43</v>
      </c>
      <c r="H1024" s="38">
        <v>16.579999999999998</v>
      </c>
      <c r="I1024" s="38" t="s">
        <v>44</v>
      </c>
      <c r="J1024" s="38" t="s">
        <v>45</v>
      </c>
      <c r="K1024" s="38" t="s">
        <v>3831</v>
      </c>
      <c r="L1024" s="30" t="s">
        <v>58</v>
      </c>
      <c r="M1024" s="38" t="s">
        <v>48</v>
      </c>
      <c r="N1024" s="38" t="s">
        <v>48</v>
      </c>
      <c r="O1024" s="31" t="s">
        <v>1659</v>
      </c>
      <c r="P1024" s="28" t="s">
        <v>1660</v>
      </c>
      <c r="Q1024" s="38" t="s">
        <v>3533</v>
      </c>
      <c r="R1024" s="38">
        <v>2</v>
      </c>
      <c r="S1024" s="38" t="s">
        <v>68</v>
      </c>
      <c r="T1024" s="38" t="s">
        <v>53</v>
      </c>
      <c r="U1024" s="38" t="s">
        <v>54</v>
      </c>
      <c r="V1024" s="38" t="s">
        <v>55</v>
      </c>
      <c r="Y1024" s="38">
        <v>140.5</v>
      </c>
      <c r="Z1024" s="38">
        <v>2</v>
      </c>
      <c r="AF1024" s="38">
        <v>123.92</v>
      </c>
      <c r="AK1024" s="14" t="e">
        <f t="shared" si="4"/>
        <v>#DIV/0!</v>
      </c>
      <c r="AO1024" s="28"/>
    </row>
    <row r="1025" spans="1:60" ht="12.5" hidden="1">
      <c r="A1025" s="32"/>
      <c r="B1025" s="48"/>
      <c r="C1025" s="34"/>
      <c r="D1025" s="33"/>
      <c r="E1025" s="33"/>
      <c r="F1025" s="33"/>
      <c r="G1025" s="33"/>
      <c r="H1025" s="33"/>
      <c r="I1025" s="33"/>
      <c r="J1025" s="33"/>
      <c r="K1025" s="33"/>
      <c r="L1025" s="35"/>
      <c r="M1025" s="33"/>
      <c r="N1025" s="33"/>
      <c r="O1025" s="35"/>
      <c r="P1025" s="32"/>
      <c r="Q1025" s="33"/>
      <c r="R1025" s="33"/>
      <c r="S1025" s="33"/>
      <c r="T1025" s="33"/>
      <c r="U1025" s="33"/>
      <c r="V1025" s="33"/>
      <c r="W1025" s="33"/>
      <c r="X1025" s="33"/>
      <c r="Y1025" s="33"/>
      <c r="Z1025" s="33"/>
      <c r="AA1025" s="33"/>
      <c r="AB1025" s="33"/>
      <c r="AC1025" s="33"/>
      <c r="AD1025" s="33"/>
      <c r="AE1025" s="33"/>
      <c r="AF1025" s="33"/>
      <c r="AG1025" s="33"/>
      <c r="AH1025" s="33"/>
      <c r="AI1025" s="33"/>
      <c r="AJ1025" s="33"/>
      <c r="AK1025" s="14" t="e">
        <f t="shared" si="4"/>
        <v>#DIV/0!</v>
      </c>
      <c r="AL1025" s="33"/>
      <c r="AM1025" s="33"/>
      <c r="AN1025" s="33"/>
      <c r="AO1025" s="32"/>
      <c r="AP1025" s="33"/>
      <c r="AQ1025" s="33"/>
      <c r="AR1025" s="33"/>
      <c r="AS1025" s="33"/>
      <c r="AT1025" s="33"/>
      <c r="AU1025" s="33"/>
      <c r="AV1025" s="33"/>
      <c r="AW1025" s="33"/>
      <c r="AX1025" s="33"/>
      <c r="AY1025" s="33"/>
      <c r="AZ1025" s="33"/>
      <c r="BA1025" s="33"/>
      <c r="BB1025" s="33"/>
      <c r="BC1025" s="33"/>
      <c r="BD1025" s="33"/>
      <c r="BE1025" s="33"/>
      <c r="BF1025" s="33"/>
      <c r="BG1025" s="33"/>
      <c r="BH1025" s="33"/>
    </row>
    <row r="1026" spans="1:60" ht="12.5">
      <c r="A1026" s="28" t="s">
        <v>3832</v>
      </c>
      <c r="B1026" s="37">
        <v>45756</v>
      </c>
      <c r="C1026" s="29">
        <v>45782</v>
      </c>
      <c r="D1026" s="38" t="s">
        <v>41</v>
      </c>
      <c r="E1026" s="38" t="s">
        <v>3833</v>
      </c>
      <c r="G1026" s="38" t="s">
        <v>43</v>
      </c>
      <c r="H1026" s="38">
        <v>14.12</v>
      </c>
      <c r="I1026" s="38" t="s">
        <v>44</v>
      </c>
      <c r="J1026" s="38" t="s">
        <v>45</v>
      </c>
      <c r="K1026" s="38" t="s">
        <v>3834</v>
      </c>
      <c r="L1026" s="30" t="s">
        <v>58</v>
      </c>
      <c r="M1026" s="38" t="s">
        <v>48</v>
      </c>
      <c r="N1026" s="38" t="s">
        <v>48</v>
      </c>
      <c r="O1026" s="31" t="s">
        <v>49</v>
      </c>
      <c r="P1026" s="28" t="s">
        <v>50</v>
      </c>
      <c r="Q1026" s="38" t="s">
        <v>51</v>
      </c>
      <c r="R1026" s="38">
        <v>1</v>
      </c>
      <c r="S1026" s="38" t="s">
        <v>68</v>
      </c>
      <c r="T1026" s="38" t="s">
        <v>53</v>
      </c>
      <c r="U1026" s="38" t="s">
        <v>54</v>
      </c>
      <c r="V1026" s="38" t="s">
        <v>61</v>
      </c>
      <c r="Y1026" s="38">
        <v>90.42</v>
      </c>
      <c r="Z1026" s="38">
        <v>1</v>
      </c>
      <c r="AF1026" s="38">
        <v>75.47</v>
      </c>
      <c r="AI1026" s="38">
        <v>1</v>
      </c>
      <c r="AJ1026" s="38">
        <v>9</v>
      </c>
      <c r="AK1026" s="14">
        <f t="shared" si="4"/>
        <v>0.1111111111111111</v>
      </c>
      <c r="AM1026" s="38"/>
      <c r="AO1026" s="28"/>
    </row>
    <row r="1027" spans="1:60" ht="12.5">
      <c r="A1027" s="28" t="s">
        <v>3832</v>
      </c>
      <c r="B1027" s="37">
        <v>45756</v>
      </c>
      <c r="C1027" s="29">
        <v>45782</v>
      </c>
      <c r="D1027" s="38" t="s">
        <v>41</v>
      </c>
      <c r="E1027" s="38" t="s">
        <v>3835</v>
      </c>
      <c r="G1027" s="38" t="s">
        <v>43</v>
      </c>
      <c r="H1027" s="38">
        <v>14.12</v>
      </c>
      <c r="I1027" s="38" t="s">
        <v>44</v>
      </c>
      <c r="J1027" s="38" t="s">
        <v>45</v>
      </c>
      <c r="K1027" s="38" t="s">
        <v>3836</v>
      </c>
      <c r="L1027" s="30" t="s">
        <v>58</v>
      </c>
      <c r="M1027" s="38" t="s">
        <v>48</v>
      </c>
      <c r="N1027" s="38" t="s">
        <v>48</v>
      </c>
      <c r="O1027" s="31" t="s">
        <v>49</v>
      </c>
      <c r="P1027" s="28" t="s">
        <v>50</v>
      </c>
      <c r="Q1027" s="38" t="s">
        <v>51</v>
      </c>
      <c r="R1027" s="38">
        <v>1</v>
      </c>
      <c r="S1027" s="38" t="s">
        <v>68</v>
      </c>
      <c r="T1027" s="38" t="s">
        <v>53</v>
      </c>
      <c r="U1027" s="38" t="s">
        <v>54</v>
      </c>
      <c r="V1027" s="38" t="s">
        <v>61</v>
      </c>
      <c r="Y1027" s="38">
        <v>90.42</v>
      </c>
      <c r="Z1027" s="38">
        <v>1</v>
      </c>
      <c r="AF1027" s="38"/>
      <c r="AK1027" s="14" t="e">
        <f t="shared" si="4"/>
        <v>#DIV/0!</v>
      </c>
      <c r="AM1027" s="38"/>
      <c r="AO1027" s="28"/>
    </row>
    <row r="1028" spans="1:60" ht="12.5">
      <c r="A1028" s="28" t="s">
        <v>3837</v>
      </c>
      <c r="B1028" s="37">
        <v>45754</v>
      </c>
      <c r="C1028" s="29">
        <v>45783</v>
      </c>
      <c r="D1028" s="38" t="s">
        <v>41</v>
      </c>
      <c r="E1028" s="38" t="s">
        <v>3838</v>
      </c>
      <c r="G1028" s="38" t="s">
        <v>43</v>
      </c>
      <c r="H1028" s="38">
        <v>7.53</v>
      </c>
      <c r="I1028" s="38" t="s">
        <v>44</v>
      </c>
      <c r="J1028" s="38" t="s">
        <v>45</v>
      </c>
      <c r="K1028" s="38" t="s">
        <v>3839</v>
      </c>
      <c r="L1028" s="30" t="s">
        <v>58</v>
      </c>
      <c r="M1028" s="38" t="s">
        <v>48</v>
      </c>
      <c r="N1028" s="38" t="s">
        <v>48</v>
      </c>
      <c r="O1028" s="31" t="s">
        <v>3840</v>
      </c>
      <c r="P1028" s="28" t="s">
        <v>3841</v>
      </c>
      <c r="Q1028" s="38" t="s">
        <v>3842</v>
      </c>
      <c r="R1028" s="38">
        <v>1</v>
      </c>
      <c r="S1028" s="38" t="s">
        <v>68</v>
      </c>
      <c r="T1028" s="38" t="s">
        <v>53</v>
      </c>
      <c r="U1028" s="38" t="s">
        <v>54</v>
      </c>
      <c r="V1028" s="38" t="s">
        <v>55</v>
      </c>
      <c r="Y1028" s="38">
        <v>114.51</v>
      </c>
      <c r="Z1028" s="38">
        <v>1</v>
      </c>
      <c r="AF1028" s="38">
        <v>106.98</v>
      </c>
      <c r="AI1028" s="38">
        <v>1</v>
      </c>
      <c r="AJ1028" s="38">
        <v>4</v>
      </c>
      <c r="AK1028" s="14">
        <f t="shared" si="4"/>
        <v>0.25</v>
      </c>
      <c r="AM1028" s="38"/>
      <c r="AO1028" s="28"/>
    </row>
    <row r="1029" spans="1:60" ht="12.5">
      <c r="A1029" s="28" t="s">
        <v>3843</v>
      </c>
      <c r="B1029" s="37">
        <v>45774</v>
      </c>
      <c r="C1029" s="29">
        <v>45778</v>
      </c>
      <c r="D1029" s="38" t="s">
        <v>41</v>
      </c>
      <c r="E1029" s="38" t="s">
        <v>3844</v>
      </c>
      <c r="G1029" s="38" t="s">
        <v>43</v>
      </c>
      <c r="H1029" s="38">
        <v>11.19</v>
      </c>
      <c r="I1029" s="38" t="s">
        <v>44</v>
      </c>
      <c r="J1029" s="38" t="s">
        <v>45</v>
      </c>
      <c r="K1029" s="38" t="s">
        <v>3845</v>
      </c>
      <c r="L1029" s="30" t="s">
        <v>47</v>
      </c>
      <c r="M1029" s="38" t="s">
        <v>48</v>
      </c>
      <c r="N1029" s="38" t="s">
        <v>48</v>
      </c>
      <c r="O1029" s="31" t="s">
        <v>72</v>
      </c>
      <c r="P1029" s="28" t="s">
        <v>73</v>
      </c>
      <c r="Q1029" s="38" t="s">
        <v>74</v>
      </c>
      <c r="R1029" s="38">
        <v>1</v>
      </c>
      <c r="S1029" s="38" t="s">
        <v>99</v>
      </c>
      <c r="T1029" s="38" t="s">
        <v>53</v>
      </c>
      <c r="U1029" s="38" t="s">
        <v>60</v>
      </c>
      <c r="V1029" s="38" t="s">
        <v>55</v>
      </c>
      <c r="Y1029" s="38">
        <v>53.42</v>
      </c>
      <c r="Z1029" s="38">
        <v>1</v>
      </c>
      <c r="AF1029" s="38">
        <v>183.78</v>
      </c>
      <c r="AI1029" s="38">
        <v>1</v>
      </c>
      <c r="AJ1029" s="38">
        <v>6</v>
      </c>
      <c r="AK1029" s="14">
        <f t="shared" si="4"/>
        <v>0.16666666666666666</v>
      </c>
      <c r="AM1029" s="38"/>
      <c r="AO1029" s="28"/>
    </row>
    <row r="1030" spans="1:60" ht="12.5">
      <c r="A1030" s="28" t="s">
        <v>3846</v>
      </c>
      <c r="B1030" s="37">
        <v>45783</v>
      </c>
      <c r="C1030" s="29">
        <v>45789</v>
      </c>
      <c r="D1030" s="38" t="s">
        <v>41</v>
      </c>
      <c r="E1030" s="38" t="s">
        <v>3847</v>
      </c>
      <c r="G1030" s="38" t="s">
        <v>43</v>
      </c>
      <c r="H1030" s="38">
        <v>11.17</v>
      </c>
      <c r="I1030" s="38" t="s">
        <v>44</v>
      </c>
      <c r="J1030" s="38" t="s">
        <v>45</v>
      </c>
      <c r="K1030" s="38" t="s">
        <v>3848</v>
      </c>
      <c r="L1030" s="30" t="s">
        <v>47</v>
      </c>
      <c r="M1030" s="38" t="s">
        <v>48</v>
      </c>
      <c r="N1030" s="38" t="s">
        <v>48</v>
      </c>
      <c r="O1030" s="31" t="s">
        <v>79</v>
      </c>
      <c r="P1030" s="28" t="s">
        <v>80</v>
      </c>
      <c r="Q1030" s="38" t="s">
        <v>81</v>
      </c>
      <c r="R1030" s="38">
        <v>1</v>
      </c>
      <c r="S1030" s="38" t="s">
        <v>52</v>
      </c>
      <c r="T1030" s="38" t="s">
        <v>53</v>
      </c>
      <c r="U1030" s="38" t="s">
        <v>54</v>
      </c>
      <c r="V1030" s="38" t="s">
        <v>55</v>
      </c>
      <c r="Y1030" s="38">
        <v>53.24</v>
      </c>
      <c r="Z1030" s="38">
        <v>1</v>
      </c>
      <c r="AF1030" s="38">
        <v>53.24</v>
      </c>
      <c r="AI1030" s="38">
        <v>4</v>
      </c>
      <c r="AJ1030" s="38">
        <v>39</v>
      </c>
      <c r="AK1030" s="14">
        <f t="shared" si="4"/>
        <v>0.10256410256410256</v>
      </c>
      <c r="AM1030" s="38"/>
      <c r="AO1030" s="28"/>
    </row>
    <row r="1031" spans="1:60" ht="12.5">
      <c r="A1031" s="28" t="s">
        <v>3849</v>
      </c>
      <c r="B1031" s="37">
        <v>45781</v>
      </c>
      <c r="C1031" s="29">
        <v>45787</v>
      </c>
      <c r="D1031" s="38" t="s">
        <v>41</v>
      </c>
      <c r="E1031" s="38" t="s">
        <v>3850</v>
      </c>
      <c r="G1031" s="38" t="s">
        <v>43</v>
      </c>
      <c r="H1031" s="38">
        <v>11.17</v>
      </c>
      <c r="I1031" s="38" t="s">
        <v>44</v>
      </c>
      <c r="J1031" s="38" t="s">
        <v>45</v>
      </c>
      <c r="K1031" s="38" t="s">
        <v>3851</v>
      </c>
      <c r="L1031" s="30" t="s">
        <v>47</v>
      </c>
      <c r="M1031" s="38" t="s">
        <v>48</v>
      </c>
      <c r="N1031" s="38" t="s">
        <v>48</v>
      </c>
      <c r="O1031" s="31" t="s">
        <v>79</v>
      </c>
      <c r="P1031" s="28" t="s">
        <v>80</v>
      </c>
      <c r="Q1031" s="38" t="s">
        <v>81</v>
      </c>
      <c r="R1031" s="38">
        <v>1</v>
      </c>
      <c r="S1031" s="38" t="s">
        <v>92</v>
      </c>
      <c r="T1031" s="38" t="s">
        <v>53</v>
      </c>
      <c r="U1031" s="38" t="s">
        <v>54</v>
      </c>
      <c r="V1031" s="38" t="s">
        <v>55</v>
      </c>
      <c r="Y1031" s="38">
        <v>54.13</v>
      </c>
      <c r="Z1031" s="38">
        <v>1</v>
      </c>
      <c r="AF1031" s="38">
        <v>54.13</v>
      </c>
      <c r="AK1031" s="14" t="e">
        <f t="shared" si="4"/>
        <v>#DIV/0!</v>
      </c>
      <c r="AM1031" s="38"/>
      <c r="AO1031" s="28"/>
    </row>
    <row r="1032" spans="1:60" ht="12.5">
      <c r="A1032" s="28" t="s">
        <v>3852</v>
      </c>
      <c r="B1032" s="37">
        <v>45780</v>
      </c>
      <c r="C1032" s="29">
        <v>45784</v>
      </c>
      <c r="D1032" s="38" t="s">
        <v>41</v>
      </c>
      <c r="E1032" s="38" t="s">
        <v>3853</v>
      </c>
      <c r="G1032" s="38" t="s">
        <v>43</v>
      </c>
      <c r="H1032" s="38">
        <v>11.17</v>
      </c>
      <c r="I1032" s="38" t="s">
        <v>44</v>
      </c>
      <c r="J1032" s="38" t="s">
        <v>45</v>
      </c>
      <c r="K1032" s="38" t="s">
        <v>3854</v>
      </c>
      <c r="L1032" s="30" t="s">
        <v>47</v>
      </c>
      <c r="M1032" s="38" t="s">
        <v>48</v>
      </c>
      <c r="N1032" s="38" t="s">
        <v>48</v>
      </c>
      <c r="O1032" s="31" t="s">
        <v>79</v>
      </c>
      <c r="P1032" s="28" t="s">
        <v>80</v>
      </c>
      <c r="Q1032" s="38" t="s">
        <v>81</v>
      </c>
      <c r="R1032" s="38">
        <v>1</v>
      </c>
      <c r="S1032" s="38" t="s">
        <v>99</v>
      </c>
      <c r="T1032" s="38" t="s">
        <v>53</v>
      </c>
      <c r="U1032" s="38" t="s">
        <v>54</v>
      </c>
      <c r="V1032" s="38" t="s">
        <v>560</v>
      </c>
      <c r="Y1032" s="38">
        <v>53.7</v>
      </c>
      <c r="Z1032" s="38">
        <v>1</v>
      </c>
      <c r="AF1032" s="38"/>
      <c r="AK1032" s="14" t="e">
        <f t="shared" si="4"/>
        <v>#DIV/0!</v>
      </c>
      <c r="AM1032" s="38" t="s">
        <v>953</v>
      </c>
      <c r="AO1032" s="49" t="s">
        <v>3855</v>
      </c>
    </row>
    <row r="1033" spans="1:60" ht="12.5">
      <c r="A1033" s="28" t="s">
        <v>3856</v>
      </c>
      <c r="B1033" s="37">
        <v>45775</v>
      </c>
      <c r="C1033" s="29">
        <v>45780</v>
      </c>
      <c r="D1033" s="38" t="s">
        <v>41</v>
      </c>
      <c r="E1033" s="38" t="s">
        <v>3857</v>
      </c>
      <c r="G1033" s="38" t="s">
        <v>43</v>
      </c>
      <c r="H1033" s="38">
        <v>11.19</v>
      </c>
      <c r="I1033" s="38" t="s">
        <v>44</v>
      </c>
      <c r="J1033" s="38" t="s">
        <v>45</v>
      </c>
      <c r="K1033" s="38" t="s">
        <v>3858</v>
      </c>
      <c r="L1033" s="30" t="s">
        <v>47</v>
      </c>
      <c r="M1033" s="38" t="s">
        <v>48</v>
      </c>
      <c r="N1033" s="38" t="s">
        <v>48</v>
      </c>
      <c r="O1033" s="31" t="s">
        <v>79</v>
      </c>
      <c r="P1033" s="28" t="s">
        <v>80</v>
      </c>
      <c r="Q1033" s="38" t="s">
        <v>81</v>
      </c>
      <c r="R1033" s="38">
        <v>1</v>
      </c>
      <c r="S1033" s="38" t="s">
        <v>421</v>
      </c>
      <c r="T1033" s="38" t="s">
        <v>53</v>
      </c>
      <c r="U1033" s="38" t="s">
        <v>54</v>
      </c>
      <c r="V1033" s="38" t="s">
        <v>61</v>
      </c>
      <c r="Y1033" s="38">
        <v>55.61</v>
      </c>
      <c r="Z1033" s="38">
        <v>1</v>
      </c>
      <c r="AF1033" s="38">
        <v>55.61</v>
      </c>
      <c r="AK1033" s="14" t="e">
        <f t="shared" si="4"/>
        <v>#DIV/0!</v>
      </c>
      <c r="AM1033" s="38"/>
      <c r="AO1033" s="28"/>
    </row>
    <row r="1034" spans="1:60" ht="12.5">
      <c r="A1034" s="28" t="s">
        <v>3859</v>
      </c>
      <c r="B1034" s="37">
        <v>45777</v>
      </c>
      <c r="C1034" s="29">
        <v>45789</v>
      </c>
      <c r="D1034" s="38" t="s">
        <v>41</v>
      </c>
      <c r="E1034" s="38" t="s">
        <v>3860</v>
      </c>
      <c r="G1034" s="38" t="s">
        <v>43</v>
      </c>
      <c r="H1034" s="38">
        <v>12.27</v>
      </c>
      <c r="I1034" s="38" t="s">
        <v>44</v>
      </c>
      <c r="J1034" s="38" t="s">
        <v>45</v>
      </c>
      <c r="K1034" s="38" t="s">
        <v>3861</v>
      </c>
      <c r="L1034" s="30" t="s">
        <v>58</v>
      </c>
      <c r="M1034" s="38" t="s">
        <v>48</v>
      </c>
      <c r="N1034" s="38" t="s">
        <v>48</v>
      </c>
      <c r="O1034" s="31" t="s">
        <v>96</v>
      </c>
      <c r="P1034" s="28" t="s">
        <v>97</v>
      </c>
      <c r="Q1034" s="38" t="s">
        <v>98</v>
      </c>
      <c r="R1034" s="38">
        <v>1</v>
      </c>
      <c r="S1034" s="38" t="s">
        <v>75</v>
      </c>
      <c r="T1034" s="38" t="s">
        <v>53</v>
      </c>
      <c r="U1034" s="38" t="s">
        <v>54</v>
      </c>
      <c r="V1034" s="38" t="s">
        <v>61</v>
      </c>
      <c r="Y1034" s="38">
        <v>74.75</v>
      </c>
      <c r="Z1034" s="38">
        <v>1</v>
      </c>
      <c r="AF1034" s="38">
        <v>59.8</v>
      </c>
      <c r="AI1034" s="38">
        <v>5</v>
      </c>
      <c r="AJ1034" s="38">
        <v>20</v>
      </c>
      <c r="AK1034" s="14">
        <f t="shared" si="4"/>
        <v>0.25</v>
      </c>
      <c r="AM1034" s="38"/>
      <c r="AO1034" s="28"/>
    </row>
    <row r="1035" spans="1:60" ht="12.5">
      <c r="A1035" s="28" t="s">
        <v>3862</v>
      </c>
      <c r="B1035" s="37">
        <v>45780</v>
      </c>
      <c r="C1035" s="29">
        <v>45788</v>
      </c>
      <c r="D1035" s="38" t="s">
        <v>41</v>
      </c>
      <c r="E1035" s="38" t="s">
        <v>3863</v>
      </c>
      <c r="G1035" s="38" t="s">
        <v>43</v>
      </c>
      <c r="H1035" s="38">
        <v>12.27</v>
      </c>
      <c r="I1035" s="38" t="s">
        <v>44</v>
      </c>
      <c r="J1035" s="38" t="s">
        <v>45</v>
      </c>
      <c r="K1035" s="38" t="s">
        <v>3864</v>
      </c>
      <c r="L1035" s="30"/>
      <c r="M1035" s="38" t="s">
        <v>48</v>
      </c>
      <c r="N1035" s="38" t="s">
        <v>48</v>
      </c>
      <c r="O1035" s="31" t="s">
        <v>96</v>
      </c>
      <c r="P1035" s="28" t="s">
        <v>97</v>
      </c>
      <c r="Q1035" s="38" t="s">
        <v>98</v>
      </c>
      <c r="R1035" s="38">
        <v>1</v>
      </c>
      <c r="S1035" s="38" t="s">
        <v>59</v>
      </c>
      <c r="T1035" s="38" t="s">
        <v>53</v>
      </c>
      <c r="U1035" s="38" t="s">
        <v>54</v>
      </c>
      <c r="V1035" s="38" t="s">
        <v>61</v>
      </c>
      <c r="Y1035" s="38">
        <v>81.99</v>
      </c>
      <c r="Z1035" s="38">
        <v>1</v>
      </c>
      <c r="AF1035" s="38"/>
      <c r="AK1035" s="14" t="e">
        <f t="shared" si="4"/>
        <v>#DIV/0!</v>
      </c>
      <c r="AM1035" s="38"/>
      <c r="AO1035" s="28"/>
    </row>
    <row r="1036" spans="1:60" ht="12.5">
      <c r="A1036" s="28" t="s">
        <v>3865</v>
      </c>
      <c r="B1036" s="37">
        <v>45784</v>
      </c>
      <c r="C1036" s="29">
        <v>45786</v>
      </c>
      <c r="D1036" s="38" t="s">
        <v>41</v>
      </c>
      <c r="E1036" s="38" t="s">
        <v>3866</v>
      </c>
      <c r="G1036" s="38" t="s">
        <v>43</v>
      </c>
      <c r="H1036" s="38">
        <v>12.27</v>
      </c>
      <c r="I1036" s="38" t="s">
        <v>44</v>
      </c>
      <c r="J1036" s="38" t="s">
        <v>45</v>
      </c>
      <c r="K1036" s="38" t="s">
        <v>3867</v>
      </c>
      <c r="L1036" s="30" t="s">
        <v>58</v>
      </c>
      <c r="M1036" s="38" t="s">
        <v>48</v>
      </c>
      <c r="N1036" s="38" t="s">
        <v>48</v>
      </c>
      <c r="O1036" s="31" t="s">
        <v>96</v>
      </c>
      <c r="P1036" s="28" t="s">
        <v>97</v>
      </c>
      <c r="Q1036" s="38" t="s">
        <v>98</v>
      </c>
      <c r="R1036" s="38">
        <v>1</v>
      </c>
      <c r="S1036" s="38" t="s">
        <v>3868</v>
      </c>
      <c r="T1036" s="38" t="s">
        <v>53</v>
      </c>
      <c r="U1036" s="38" t="s">
        <v>54</v>
      </c>
      <c r="V1036" s="38" t="s">
        <v>55</v>
      </c>
      <c r="Y1036" s="38">
        <v>82.58</v>
      </c>
      <c r="Z1036" s="38">
        <v>1</v>
      </c>
      <c r="AF1036" s="38">
        <v>70.31</v>
      </c>
      <c r="AK1036" s="14" t="e">
        <f t="shared" si="4"/>
        <v>#DIV/0!</v>
      </c>
      <c r="AM1036" s="38"/>
      <c r="AO1036" s="28"/>
    </row>
    <row r="1037" spans="1:60" ht="12.5">
      <c r="A1037" s="28" t="s">
        <v>3869</v>
      </c>
      <c r="B1037" s="37">
        <v>45782</v>
      </c>
      <c r="C1037" s="29">
        <v>45784</v>
      </c>
      <c r="D1037" s="38" t="s">
        <v>41</v>
      </c>
      <c r="E1037" s="38" t="s">
        <v>3870</v>
      </c>
      <c r="G1037" s="38" t="s">
        <v>43</v>
      </c>
      <c r="H1037" s="38">
        <v>12.27</v>
      </c>
      <c r="I1037" s="38" t="s">
        <v>44</v>
      </c>
      <c r="J1037" s="38" t="s">
        <v>45</v>
      </c>
      <c r="K1037" s="38" t="s">
        <v>3871</v>
      </c>
      <c r="L1037" s="30" t="s">
        <v>58</v>
      </c>
      <c r="M1037" s="38" t="s">
        <v>48</v>
      </c>
      <c r="N1037" s="38" t="s">
        <v>48</v>
      </c>
      <c r="O1037" s="31" t="s">
        <v>96</v>
      </c>
      <c r="P1037" s="28" t="s">
        <v>97</v>
      </c>
      <c r="Q1037" s="38" t="s">
        <v>98</v>
      </c>
      <c r="R1037" s="38">
        <v>1</v>
      </c>
      <c r="S1037" s="38" t="s">
        <v>2716</v>
      </c>
      <c r="T1037" s="38" t="s">
        <v>53</v>
      </c>
      <c r="U1037" s="38" t="s">
        <v>54</v>
      </c>
      <c r="V1037" s="38" t="s">
        <v>55</v>
      </c>
      <c r="Y1037" s="38">
        <v>82.81</v>
      </c>
      <c r="Z1037" s="38">
        <v>1</v>
      </c>
      <c r="AF1037" s="38">
        <v>69.77</v>
      </c>
      <c r="AK1037" s="14" t="e">
        <f t="shared" si="4"/>
        <v>#DIV/0!</v>
      </c>
      <c r="AM1037" s="38"/>
      <c r="AO1037" s="28"/>
    </row>
    <row r="1038" spans="1:60" ht="12.5">
      <c r="A1038" s="28" t="s">
        <v>3872</v>
      </c>
      <c r="B1038" s="37">
        <v>45767</v>
      </c>
      <c r="C1038" s="29">
        <v>45780</v>
      </c>
      <c r="D1038" s="38" t="s">
        <v>41</v>
      </c>
      <c r="E1038" s="38" t="s">
        <v>3873</v>
      </c>
      <c r="G1038" s="38" t="s">
        <v>43</v>
      </c>
      <c r="H1038" s="38">
        <v>12.3</v>
      </c>
      <c r="I1038" s="38" t="s">
        <v>44</v>
      </c>
      <c r="J1038" s="38" t="s">
        <v>45</v>
      </c>
      <c r="K1038" s="38" t="s">
        <v>3874</v>
      </c>
      <c r="L1038" s="30" t="s">
        <v>58</v>
      </c>
      <c r="M1038" s="38" t="s">
        <v>48</v>
      </c>
      <c r="N1038" s="38" t="s">
        <v>48</v>
      </c>
      <c r="O1038" s="31" t="s">
        <v>96</v>
      </c>
      <c r="P1038" s="28" t="s">
        <v>97</v>
      </c>
      <c r="Q1038" s="38" t="s">
        <v>98</v>
      </c>
      <c r="R1038" s="38">
        <v>1</v>
      </c>
      <c r="S1038" s="38" t="s">
        <v>75</v>
      </c>
      <c r="T1038" s="38" t="s">
        <v>53</v>
      </c>
      <c r="U1038" s="38" t="s">
        <v>54</v>
      </c>
      <c r="V1038" s="38" t="s">
        <v>55</v>
      </c>
      <c r="Y1038" s="38">
        <v>82.58</v>
      </c>
      <c r="Z1038" s="38">
        <v>1</v>
      </c>
      <c r="AF1038" s="38">
        <v>70.28</v>
      </c>
      <c r="AK1038" s="14" t="e">
        <f t="shared" si="4"/>
        <v>#DIV/0!</v>
      </c>
      <c r="AM1038" s="38"/>
      <c r="AO1038" s="28"/>
    </row>
    <row r="1039" spans="1:60" ht="12.5">
      <c r="A1039" s="28" t="s">
        <v>3875</v>
      </c>
      <c r="B1039" s="37">
        <v>45788</v>
      </c>
      <c r="C1039" s="29">
        <v>45791</v>
      </c>
      <c r="D1039" s="38" t="s">
        <v>41</v>
      </c>
      <c r="E1039" s="38" t="s">
        <v>3876</v>
      </c>
      <c r="G1039" s="38" t="s">
        <v>43</v>
      </c>
      <c r="H1039" s="38">
        <v>10.72</v>
      </c>
      <c r="I1039" s="38" t="s">
        <v>44</v>
      </c>
      <c r="J1039" s="38" t="s">
        <v>45</v>
      </c>
      <c r="K1039" s="38" t="s">
        <v>3877</v>
      </c>
      <c r="L1039" s="30" t="s">
        <v>58</v>
      </c>
      <c r="M1039" s="38" t="s">
        <v>48</v>
      </c>
      <c r="N1039" s="38" t="s">
        <v>48</v>
      </c>
      <c r="O1039" s="31" t="s">
        <v>972</v>
      </c>
      <c r="P1039" s="28" t="s">
        <v>973</v>
      </c>
      <c r="Q1039" s="38" t="s">
        <v>2772</v>
      </c>
      <c r="R1039" s="38">
        <v>1</v>
      </c>
      <c r="S1039" s="38" t="s">
        <v>3878</v>
      </c>
      <c r="T1039" s="38" t="s">
        <v>53</v>
      </c>
      <c r="U1039" s="38" t="s">
        <v>54</v>
      </c>
      <c r="V1039" s="38" t="s">
        <v>61</v>
      </c>
      <c r="Y1039" s="38">
        <v>57.61</v>
      </c>
      <c r="Z1039" s="38">
        <v>1</v>
      </c>
      <c r="AF1039" s="38"/>
      <c r="AI1039" s="38">
        <v>1</v>
      </c>
      <c r="AJ1039" s="38">
        <v>21</v>
      </c>
      <c r="AK1039" s="14">
        <f t="shared" si="4"/>
        <v>4.7619047619047616E-2</v>
      </c>
      <c r="AM1039" s="38"/>
      <c r="AO1039" s="28"/>
    </row>
    <row r="1040" spans="1:60" ht="12.5">
      <c r="A1040" s="28" t="s">
        <v>3875</v>
      </c>
      <c r="B1040" s="37">
        <v>45788</v>
      </c>
      <c r="C1040" s="29">
        <v>45791</v>
      </c>
      <c r="D1040" s="38" t="s">
        <v>41</v>
      </c>
      <c r="E1040" s="38" t="s">
        <v>3879</v>
      </c>
      <c r="G1040" s="38" t="s">
        <v>43</v>
      </c>
      <c r="H1040" s="38">
        <v>10.72</v>
      </c>
      <c r="I1040" s="38" t="s">
        <v>44</v>
      </c>
      <c r="J1040" s="38" t="s">
        <v>45</v>
      </c>
      <c r="K1040" s="38" t="s">
        <v>3880</v>
      </c>
      <c r="L1040" s="30" t="s">
        <v>58</v>
      </c>
      <c r="M1040" s="38" t="s">
        <v>48</v>
      </c>
      <c r="N1040" s="38" t="s">
        <v>48</v>
      </c>
      <c r="O1040" s="31" t="s">
        <v>972</v>
      </c>
      <c r="P1040" s="28" t="s">
        <v>973</v>
      </c>
      <c r="Q1040" s="38" t="s">
        <v>2772</v>
      </c>
      <c r="R1040" s="38">
        <v>1</v>
      </c>
      <c r="S1040" s="38" t="s">
        <v>3878</v>
      </c>
      <c r="T1040" s="38" t="s">
        <v>53</v>
      </c>
      <c r="U1040" s="38" t="s">
        <v>54</v>
      </c>
      <c r="V1040" s="38" t="s">
        <v>61</v>
      </c>
      <c r="Y1040" s="38">
        <v>57.61</v>
      </c>
      <c r="Z1040" s="38">
        <v>1</v>
      </c>
      <c r="AF1040" s="38"/>
      <c r="AK1040" s="14">
        <f>AI1041/AJ1041*1</f>
        <v>0.5</v>
      </c>
      <c r="AM1040" s="38"/>
      <c r="AO1040" s="28"/>
    </row>
    <row r="1041" spans="1:41" ht="12.5">
      <c r="A1041" s="28" t="s">
        <v>3881</v>
      </c>
      <c r="B1041" s="37">
        <v>45789</v>
      </c>
      <c r="C1041" s="29">
        <v>45791</v>
      </c>
      <c r="D1041" s="38" t="s">
        <v>41</v>
      </c>
      <c r="E1041" s="38" t="s">
        <v>3882</v>
      </c>
      <c r="G1041" s="38" t="s">
        <v>43</v>
      </c>
      <c r="H1041" s="38">
        <v>14.53</v>
      </c>
      <c r="I1041" s="38" t="s">
        <v>44</v>
      </c>
      <c r="J1041" s="38" t="s">
        <v>45</v>
      </c>
      <c r="K1041" s="38" t="s">
        <v>3883</v>
      </c>
      <c r="L1041" s="30" t="s">
        <v>58</v>
      </c>
      <c r="M1041" s="38" t="s">
        <v>48</v>
      </c>
      <c r="N1041" s="38" t="s">
        <v>48</v>
      </c>
      <c r="O1041" s="31" t="s">
        <v>109</v>
      </c>
      <c r="P1041" s="28" t="s">
        <v>110</v>
      </c>
      <c r="Q1041" s="38" t="s">
        <v>111</v>
      </c>
      <c r="R1041" s="38">
        <v>1</v>
      </c>
      <c r="S1041" s="38" t="s">
        <v>3884</v>
      </c>
      <c r="T1041" s="38" t="s">
        <v>53</v>
      </c>
      <c r="U1041" s="38" t="s">
        <v>54</v>
      </c>
      <c r="V1041" s="38" t="s">
        <v>61</v>
      </c>
      <c r="Y1041" s="38">
        <v>111.14</v>
      </c>
      <c r="Z1041" s="38">
        <v>1</v>
      </c>
      <c r="AF1041" s="38"/>
      <c r="AI1041" s="38">
        <v>2</v>
      </c>
      <c r="AJ1041" s="38">
        <v>4</v>
      </c>
      <c r="AK1041" s="14" t="e">
        <f>#REF!/#REF!*1</f>
        <v>#REF!</v>
      </c>
      <c r="AM1041" s="38"/>
      <c r="AO1041" s="28"/>
    </row>
    <row r="1042" spans="1:41" ht="12.5">
      <c r="A1042" s="28" t="s">
        <v>3885</v>
      </c>
      <c r="B1042" s="37">
        <v>45765</v>
      </c>
      <c r="C1042" s="29">
        <v>45782</v>
      </c>
      <c r="D1042" s="38" t="s">
        <v>41</v>
      </c>
      <c r="E1042" s="38" t="s">
        <v>3886</v>
      </c>
      <c r="G1042" s="38" t="s">
        <v>43</v>
      </c>
      <c r="H1042" s="38">
        <v>14.53</v>
      </c>
      <c r="I1042" s="38" t="s">
        <v>44</v>
      </c>
      <c r="J1042" s="38" t="s">
        <v>45</v>
      </c>
      <c r="K1042" s="38" t="s">
        <v>3887</v>
      </c>
      <c r="L1042" s="30" t="s">
        <v>58</v>
      </c>
      <c r="M1042" s="38" t="s">
        <v>48</v>
      </c>
      <c r="N1042" s="38" t="s">
        <v>48</v>
      </c>
      <c r="O1042" s="31" t="s">
        <v>109</v>
      </c>
      <c r="P1042" s="28" t="s">
        <v>110</v>
      </c>
      <c r="Q1042" s="38" t="s">
        <v>111</v>
      </c>
      <c r="R1042" s="38">
        <v>1</v>
      </c>
      <c r="S1042" s="38" t="s">
        <v>68</v>
      </c>
      <c r="T1042" s="38" t="s">
        <v>53</v>
      </c>
      <c r="U1042" s="38" t="s">
        <v>54</v>
      </c>
      <c r="V1042" s="38" t="s">
        <v>55</v>
      </c>
      <c r="Y1042" s="38">
        <v>113.44</v>
      </c>
      <c r="Z1042" s="38">
        <v>1</v>
      </c>
      <c r="AF1042" s="38">
        <v>98.91</v>
      </c>
      <c r="AK1042" s="14">
        <f>AI1043/AJ1043*1</f>
        <v>1</v>
      </c>
      <c r="AM1042" s="38"/>
      <c r="AO1042" s="28"/>
    </row>
    <row r="1043" spans="1:41" ht="12.5">
      <c r="A1043" s="28" t="s">
        <v>3888</v>
      </c>
      <c r="B1043" s="37">
        <v>45776</v>
      </c>
      <c r="C1043" s="29">
        <v>45785</v>
      </c>
      <c r="D1043" s="38" t="s">
        <v>41</v>
      </c>
      <c r="E1043" s="38" t="s">
        <v>3889</v>
      </c>
      <c r="G1043" s="38" t="s">
        <v>43</v>
      </c>
      <c r="H1043" s="38">
        <v>10.08</v>
      </c>
      <c r="I1043" s="38" t="s">
        <v>44</v>
      </c>
      <c r="J1043" s="38" t="s">
        <v>45</v>
      </c>
      <c r="K1043" s="38" t="s">
        <v>3890</v>
      </c>
      <c r="L1043" s="30" t="s">
        <v>58</v>
      </c>
      <c r="M1043" s="38" t="s">
        <v>48</v>
      </c>
      <c r="N1043" s="38" t="s">
        <v>48</v>
      </c>
      <c r="O1043" s="31" t="s">
        <v>115</v>
      </c>
      <c r="P1043" s="28" t="s">
        <v>116</v>
      </c>
      <c r="Q1043" s="38" t="s">
        <v>117</v>
      </c>
      <c r="R1043" s="38">
        <v>1</v>
      </c>
      <c r="S1043" s="38" t="s">
        <v>3868</v>
      </c>
      <c r="T1043" s="38" t="s">
        <v>53</v>
      </c>
      <c r="U1043" s="38" t="s">
        <v>54</v>
      </c>
      <c r="V1043" s="38" t="s">
        <v>55</v>
      </c>
      <c r="Y1043" s="38">
        <v>55.16</v>
      </c>
      <c r="Z1043" s="38">
        <v>1</v>
      </c>
      <c r="AF1043" s="38">
        <v>45.08</v>
      </c>
      <c r="AI1043" s="38">
        <v>1</v>
      </c>
      <c r="AJ1043" s="38">
        <v>1</v>
      </c>
      <c r="AK1043" s="14" t="e">
        <f>#REF!/#REF!*1</f>
        <v>#REF!</v>
      </c>
      <c r="AM1043" s="38"/>
      <c r="AO1043" s="28"/>
    </row>
    <row r="1044" spans="1:41" ht="12.5">
      <c r="A1044" s="28" t="s">
        <v>3891</v>
      </c>
      <c r="B1044" s="37">
        <v>45779</v>
      </c>
      <c r="C1044" s="29">
        <v>45781</v>
      </c>
      <c r="D1044" s="38" t="s">
        <v>41</v>
      </c>
      <c r="E1044" s="38" t="s">
        <v>3892</v>
      </c>
      <c r="G1044" s="38" t="s">
        <v>43</v>
      </c>
      <c r="H1044" s="38">
        <v>10.1</v>
      </c>
      <c r="I1044" s="38" t="s">
        <v>44</v>
      </c>
      <c r="J1044" s="38" t="s">
        <v>45</v>
      </c>
      <c r="K1044" s="38" t="s">
        <v>3893</v>
      </c>
      <c r="L1044" s="30" t="s">
        <v>58</v>
      </c>
      <c r="M1044" s="38" t="s">
        <v>48</v>
      </c>
      <c r="N1044" s="38" t="s">
        <v>48</v>
      </c>
      <c r="O1044" s="31" t="s">
        <v>127</v>
      </c>
      <c r="P1044" s="28" t="s">
        <v>128</v>
      </c>
      <c r="Q1044" s="38" t="s">
        <v>1749</v>
      </c>
      <c r="R1044" s="38">
        <v>1</v>
      </c>
      <c r="S1044" s="38" t="s">
        <v>68</v>
      </c>
      <c r="T1044" s="38" t="s">
        <v>53</v>
      </c>
      <c r="U1044" s="38" t="s">
        <v>54</v>
      </c>
      <c r="V1044" s="38" t="s">
        <v>61</v>
      </c>
      <c r="Y1044" s="38">
        <v>71.33</v>
      </c>
      <c r="Z1044" s="38">
        <v>1</v>
      </c>
      <c r="AF1044" s="38"/>
      <c r="AI1044" s="38">
        <v>1</v>
      </c>
      <c r="AJ1044" s="38">
        <v>6</v>
      </c>
      <c r="AK1044" s="14">
        <f t="shared" ref="AK1044:AK1298" si="5">AI1044/AJ1044*1</f>
        <v>0.16666666666666666</v>
      </c>
      <c r="AM1044" s="38"/>
      <c r="AO1044" s="28"/>
    </row>
    <row r="1045" spans="1:41" ht="12.5">
      <c r="A1045" s="28" t="s">
        <v>3894</v>
      </c>
      <c r="B1045" s="37">
        <v>45780</v>
      </c>
      <c r="C1045" s="29">
        <v>45783</v>
      </c>
      <c r="D1045" s="38" t="s">
        <v>41</v>
      </c>
      <c r="E1045" s="38" t="s">
        <v>3895</v>
      </c>
      <c r="G1045" s="38" t="s">
        <v>43</v>
      </c>
      <c r="H1045" s="38">
        <v>11.17</v>
      </c>
      <c r="I1045" s="38" t="s">
        <v>44</v>
      </c>
      <c r="J1045" s="38" t="s">
        <v>45</v>
      </c>
      <c r="K1045" s="38" t="s">
        <v>3896</v>
      </c>
      <c r="L1045" s="30" t="s">
        <v>47</v>
      </c>
      <c r="M1045" s="38" t="s">
        <v>48</v>
      </c>
      <c r="N1045" s="38" t="s">
        <v>48</v>
      </c>
      <c r="O1045" s="31" t="s">
        <v>1003</v>
      </c>
      <c r="P1045" s="28" t="s">
        <v>1004</v>
      </c>
      <c r="Q1045" s="38" t="s">
        <v>1005</v>
      </c>
      <c r="R1045" s="38">
        <v>1</v>
      </c>
      <c r="S1045" s="38" t="s">
        <v>99</v>
      </c>
      <c r="T1045" s="38" t="s">
        <v>53</v>
      </c>
      <c r="U1045" s="38" t="s">
        <v>54</v>
      </c>
      <c r="V1045" s="38" t="s">
        <v>55</v>
      </c>
      <c r="Y1045" s="38">
        <v>95.46</v>
      </c>
      <c r="Z1045" s="38">
        <v>1</v>
      </c>
      <c r="AF1045" s="38">
        <v>95.46</v>
      </c>
      <c r="AI1045" s="38">
        <v>1</v>
      </c>
      <c r="AJ1045" s="38">
        <v>5</v>
      </c>
      <c r="AK1045" s="14">
        <f t="shared" si="5"/>
        <v>0.2</v>
      </c>
      <c r="AM1045" s="38"/>
      <c r="AO1045" s="28"/>
    </row>
    <row r="1046" spans="1:41" ht="12.5">
      <c r="A1046" s="28" t="s">
        <v>3897</v>
      </c>
      <c r="B1046" s="37">
        <v>45771</v>
      </c>
      <c r="C1046" s="29">
        <v>45792</v>
      </c>
      <c r="D1046" s="38" t="s">
        <v>41</v>
      </c>
      <c r="E1046" s="38" t="s">
        <v>3898</v>
      </c>
      <c r="G1046" s="38" t="s">
        <v>137</v>
      </c>
      <c r="H1046" s="38">
        <v>0</v>
      </c>
      <c r="I1046" s="38"/>
      <c r="J1046" s="38"/>
      <c r="K1046" s="38"/>
      <c r="L1046" s="30" t="s">
        <v>58</v>
      </c>
      <c r="M1046" s="38" t="s">
        <v>48</v>
      </c>
      <c r="N1046" s="38" t="s">
        <v>48</v>
      </c>
      <c r="O1046" s="31" t="s">
        <v>147</v>
      </c>
      <c r="P1046" s="28" t="s">
        <v>148</v>
      </c>
      <c r="Q1046" s="38" t="s">
        <v>149</v>
      </c>
      <c r="R1046" s="38">
        <v>1</v>
      </c>
      <c r="S1046" s="38" t="s">
        <v>75</v>
      </c>
      <c r="T1046" s="38" t="s">
        <v>53</v>
      </c>
      <c r="U1046" s="38" t="s">
        <v>54</v>
      </c>
      <c r="V1046" s="38" t="s">
        <v>61</v>
      </c>
      <c r="Y1046" s="38">
        <v>388.97</v>
      </c>
      <c r="Z1046" s="38">
        <v>1</v>
      </c>
      <c r="AF1046" s="38"/>
      <c r="AI1046" s="38">
        <v>1</v>
      </c>
      <c r="AJ1046" s="38">
        <v>2</v>
      </c>
      <c r="AK1046" s="14">
        <f t="shared" si="5"/>
        <v>0.5</v>
      </c>
      <c r="AM1046" s="38"/>
      <c r="AO1046" s="28"/>
    </row>
    <row r="1047" spans="1:41" ht="12.5">
      <c r="A1047" s="28" t="s">
        <v>3899</v>
      </c>
      <c r="B1047" s="37">
        <v>45783</v>
      </c>
      <c r="C1047" s="29">
        <v>45789</v>
      </c>
      <c r="D1047" s="38" t="s">
        <v>41</v>
      </c>
      <c r="E1047" s="38" t="s">
        <v>3900</v>
      </c>
      <c r="G1047" s="38" t="s">
        <v>43</v>
      </c>
      <c r="H1047" s="38">
        <v>11.82</v>
      </c>
      <c r="I1047" s="38" t="s">
        <v>44</v>
      </c>
      <c r="J1047" s="38" t="s">
        <v>45</v>
      </c>
      <c r="K1047" s="38" t="s">
        <v>3901</v>
      </c>
      <c r="L1047" s="30" t="s">
        <v>58</v>
      </c>
      <c r="M1047" s="38" t="s">
        <v>48</v>
      </c>
      <c r="N1047" s="38" t="s">
        <v>48</v>
      </c>
      <c r="O1047" s="31" t="s">
        <v>160</v>
      </c>
      <c r="P1047" s="28" t="s">
        <v>161</v>
      </c>
      <c r="Q1047" s="38" t="s">
        <v>2143</v>
      </c>
      <c r="R1047" s="38">
        <v>1</v>
      </c>
      <c r="S1047" s="38" t="s">
        <v>75</v>
      </c>
      <c r="T1047" s="38" t="s">
        <v>53</v>
      </c>
      <c r="U1047" s="38" t="s">
        <v>54</v>
      </c>
      <c r="V1047" s="38" t="s">
        <v>61</v>
      </c>
      <c r="Y1047" s="38">
        <v>54.1</v>
      </c>
      <c r="Z1047" s="38">
        <v>1</v>
      </c>
      <c r="AF1047" s="38"/>
      <c r="AI1047" s="38">
        <v>2</v>
      </c>
      <c r="AJ1047" s="38">
        <v>13</v>
      </c>
      <c r="AK1047" s="14">
        <f t="shared" si="5"/>
        <v>0.15384615384615385</v>
      </c>
      <c r="AM1047" s="38"/>
      <c r="AO1047" s="28"/>
    </row>
    <row r="1048" spans="1:41" ht="12.5">
      <c r="A1048" s="28" t="s">
        <v>3902</v>
      </c>
      <c r="B1048" s="37">
        <v>45778</v>
      </c>
      <c r="C1048" s="29">
        <v>45788</v>
      </c>
      <c r="D1048" s="38" t="s">
        <v>41</v>
      </c>
      <c r="E1048" s="38" t="s">
        <v>3903</v>
      </c>
      <c r="G1048" s="38" t="s">
        <v>43</v>
      </c>
      <c r="H1048" s="38">
        <v>11.82</v>
      </c>
      <c r="I1048" s="38" t="s">
        <v>44</v>
      </c>
      <c r="J1048" s="38" t="s">
        <v>45</v>
      </c>
      <c r="K1048" s="38" t="s">
        <v>3904</v>
      </c>
      <c r="L1048" s="30" t="s">
        <v>58</v>
      </c>
      <c r="M1048" s="38" t="s">
        <v>48</v>
      </c>
      <c r="N1048" s="38" t="s">
        <v>48</v>
      </c>
      <c r="O1048" s="31" t="s">
        <v>160</v>
      </c>
      <c r="P1048" s="28" t="s">
        <v>161</v>
      </c>
      <c r="Q1048" s="38" t="s">
        <v>2143</v>
      </c>
      <c r="R1048" s="38">
        <v>1</v>
      </c>
      <c r="S1048" s="38" t="s">
        <v>75</v>
      </c>
      <c r="T1048" s="38" t="s">
        <v>53</v>
      </c>
      <c r="U1048" s="38" t="s">
        <v>54</v>
      </c>
      <c r="V1048" s="38" t="s">
        <v>61</v>
      </c>
      <c r="Y1048" s="38">
        <v>55.93</v>
      </c>
      <c r="Z1048" s="38">
        <v>1</v>
      </c>
      <c r="AF1048" s="38"/>
      <c r="AK1048" s="14" t="e">
        <f t="shared" si="5"/>
        <v>#DIV/0!</v>
      </c>
      <c r="AM1048" s="38"/>
      <c r="AO1048" s="28"/>
    </row>
    <row r="1049" spans="1:41" ht="12.5">
      <c r="A1049" s="28" t="s">
        <v>3905</v>
      </c>
      <c r="B1049" s="37">
        <v>45783</v>
      </c>
      <c r="C1049" s="29">
        <v>45786</v>
      </c>
      <c r="D1049" s="38" t="s">
        <v>41</v>
      </c>
      <c r="E1049" s="38" t="s">
        <v>3906</v>
      </c>
      <c r="G1049" s="38" t="s">
        <v>43</v>
      </c>
      <c r="H1049" s="38">
        <v>10.44</v>
      </c>
      <c r="I1049" s="38" t="s">
        <v>44</v>
      </c>
      <c r="J1049" s="38" t="s">
        <v>45</v>
      </c>
      <c r="K1049" s="38" t="s">
        <v>3907</v>
      </c>
      <c r="L1049" s="30" t="s">
        <v>58</v>
      </c>
      <c r="M1049" s="38" t="s">
        <v>48</v>
      </c>
      <c r="N1049" s="38" t="s">
        <v>48</v>
      </c>
      <c r="O1049" s="31" t="s">
        <v>2806</v>
      </c>
      <c r="P1049" s="28" t="s">
        <v>2807</v>
      </c>
      <c r="Q1049" s="38" t="s">
        <v>2808</v>
      </c>
      <c r="R1049" s="38">
        <v>1</v>
      </c>
      <c r="S1049" s="38" t="s">
        <v>3868</v>
      </c>
      <c r="T1049" s="38" t="s">
        <v>53</v>
      </c>
      <c r="U1049" s="38" t="s">
        <v>54</v>
      </c>
      <c r="V1049" s="38" t="s">
        <v>55</v>
      </c>
      <c r="Y1049" s="38">
        <v>82.16</v>
      </c>
      <c r="Z1049" s="38">
        <v>1</v>
      </c>
      <c r="AF1049" s="38">
        <v>71.72</v>
      </c>
      <c r="AI1049" s="38">
        <v>1</v>
      </c>
      <c r="AJ1049" s="38">
        <v>14</v>
      </c>
      <c r="AK1049" s="14">
        <f t="shared" si="5"/>
        <v>7.1428571428571425E-2</v>
      </c>
      <c r="AM1049" s="38"/>
      <c r="AO1049" s="28"/>
    </row>
    <row r="1050" spans="1:41" ht="12.5">
      <c r="A1050" s="28" t="s">
        <v>3908</v>
      </c>
      <c r="B1050" s="37">
        <v>45783</v>
      </c>
      <c r="C1050" s="29">
        <v>45788</v>
      </c>
      <c r="D1050" s="38" t="s">
        <v>41</v>
      </c>
      <c r="E1050" s="38" t="s">
        <v>3909</v>
      </c>
      <c r="G1050" s="38" t="s">
        <v>43</v>
      </c>
      <c r="H1050" s="38">
        <v>13.65</v>
      </c>
      <c r="I1050" s="38" t="s">
        <v>44</v>
      </c>
      <c r="J1050" s="38" t="s">
        <v>45</v>
      </c>
      <c r="K1050" s="38" t="s">
        <v>3910</v>
      </c>
      <c r="L1050" s="30" t="s">
        <v>58</v>
      </c>
      <c r="M1050" s="38" t="s">
        <v>48</v>
      </c>
      <c r="N1050" s="38" t="s">
        <v>48</v>
      </c>
      <c r="O1050" s="31" t="s">
        <v>219</v>
      </c>
      <c r="P1050" s="28" t="s">
        <v>220</v>
      </c>
      <c r="Q1050" s="38" t="s">
        <v>221</v>
      </c>
      <c r="R1050" s="38">
        <v>1</v>
      </c>
      <c r="S1050" s="38" t="s">
        <v>3868</v>
      </c>
      <c r="T1050" s="38" t="s">
        <v>53</v>
      </c>
      <c r="U1050" s="38" t="s">
        <v>54</v>
      </c>
      <c r="V1050" s="38" t="s">
        <v>55</v>
      </c>
      <c r="Y1050" s="38">
        <v>81.239999999999995</v>
      </c>
      <c r="Z1050" s="38">
        <v>1</v>
      </c>
      <c r="AF1050" s="38">
        <v>67.59</v>
      </c>
      <c r="AI1050" s="38">
        <v>8</v>
      </c>
      <c r="AJ1050" s="38">
        <v>26</v>
      </c>
      <c r="AK1050" s="14">
        <f t="shared" si="5"/>
        <v>0.30769230769230771</v>
      </c>
      <c r="AM1050" s="38"/>
      <c r="AO1050" s="28"/>
    </row>
    <row r="1051" spans="1:41" ht="12.5">
      <c r="A1051" s="28" t="s">
        <v>3911</v>
      </c>
      <c r="B1051" s="37">
        <v>45784</v>
      </c>
      <c r="C1051" s="29">
        <v>45788</v>
      </c>
      <c r="D1051" s="38" t="s">
        <v>41</v>
      </c>
      <c r="E1051" s="38" t="s">
        <v>3912</v>
      </c>
      <c r="G1051" s="38" t="s">
        <v>43</v>
      </c>
      <c r="H1051" s="38">
        <v>13.65</v>
      </c>
      <c r="I1051" s="38" t="s">
        <v>44</v>
      </c>
      <c r="J1051" s="38" t="s">
        <v>45</v>
      </c>
      <c r="K1051" s="38" t="s">
        <v>3913</v>
      </c>
      <c r="L1051" s="30" t="s">
        <v>58</v>
      </c>
      <c r="M1051" s="38" t="s">
        <v>48</v>
      </c>
      <c r="N1051" s="38" t="s">
        <v>48</v>
      </c>
      <c r="O1051" s="31" t="s">
        <v>219</v>
      </c>
      <c r="P1051" s="28" t="s">
        <v>220</v>
      </c>
      <c r="Q1051" s="38" t="s">
        <v>221</v>
      </c>
      <c r="R1051" s="38">
        <v>1</v>
      </c>
      <c r="S1051" s="38" t="s">
        <v>3878</v>
      </c>
      <c r="T1051" s="38" t="s">
        <v>53</v>
      </c>
      <c r="U1051" s="38" t="s">
        <v>54</v>
      </c>
      <c r="V1051" s="38" t="s">
        <v>55</v>
      </c>
      <c r="Y1051" s="38">
        <v>81.99</v>
      </c>
      <c r="Z1051" s="38">
        <v>1</v>
      </c>
      <c r="AF1051" s="38">
        <v>68.34</v>
      </c>
      <c r="AK1051" s="14" t="e">
        <f t="shared" si="5"/>
        <v>#DIV/0!</v>
      </c>
      <c r="AM1051" s="38"/>
      <c r="AO1051" s="28"/>
    </row>
    <row r="1052" spans="1:41" ht="12.5">
      <c r="A1052" s="28" t="s">
        <v>3914</v>
      </c>
      <c r="B1052" s="37">
        <v>45776</v>
      </c>
      <c r="C1052" s="29">
        <v>45786</v>
      </c>
      <c r="D1052" s="38" t="s">
        <v>41</v>
      </c>
      <c r="E1052" s="38" t="s">
        <v>3915</v>
      </c>
      <c r="G1052" s="38" t="s">
        <v>43</v>
      </c>
      <c r="H1052" s="38">
        <v>13.65</v>
      </c>
      <c r="I1052" s="38" t="s">
        <v>44</v>
      </c>
      <c r="J1052" s="38" t="s">
        <v>45</v>
      </c>
      <c r="K1052" s="38" t="s">
        <v>3916</v>
      </c>
      <c r="L1052" s="30" t="s">
        <v>58</v>
      </c>
      <c r="M1052" s="38" t="s">
        <v>48</v>
      </c>
      <c r="N1052" s="38" t="s">
        <v>48</v>
      </c>
      <c r="O1052" s="31" t="s">
        <v>219</v>
      </c>
      <c r="P1052" s="28" t="s">
        <v>220</v>
      </c>
      <c r="Q1052" s="38" t="s">
        <v>221</v>
      </c>
      <c r="R1052" s="38">
        <v>1</v>
      </c>
      <c r="S1052" s="38" t="s">
        <v>3878</v>
      </c>
      <c r="T1052" s="38" t="s">
        <v>53</v>
      </c>
      <c r="U1052" s="38" t="s">
        <v>54</v>
      </c>
      <c r="V1052" s="38" t="s">
        <v>55</v>
      </c>
      <c r="Y1052" s="38">
        <v>81.52</v>
      </c>
      <c r="Z1052" s="38">
        <v>1</v>
      </c>
      <c r="AF1052" s="38">
        <v>67.87</v>
      </c>
      <c r="AK1052" s="14" t="e">
        <f t="shared" si="5"/>
        <v>#DIV/0!</v>
      </c>
      <c r="AM1052" s="38"/>
      <c r="AO1052" s="28"/>
    </row>
    <row r="1053" spans="1:41" ht="12.5">
      <c r="A1053" s="28" t="s">
        <v>3917</v>
      </c>
      <c r="B1053" s="37">
        <v>45773</v>
      </c>
      <c r="C1053" s="29">
        <v>45786</v>
      </c>
      <c r="D1053" s="38" t="s">
        <v>41</v>
      </c>
      <c r="E1053" s="38" t="s">
        <v>3918</v>
      </c>
      <c r="G1053" s="38" t="s">
        <v>43</v>
      </c>
      <c r="H1053" s="38">
        <v>13.65</v>
      </c>
      <c r="I1053" s="38" t="s">
        <v>44</v>
      </c>
      <c r="J1053" s="38" t="s">
        <v>45</v>
      </c>
      <c r="K1053" s="38" t="s">
        <v>3919</v>
      </c>
      <c r="L1053" s="30" t="s">
        <v>47</v>
      </c>
      <c r="M1053" s="38" t="s">
        <v>48</v>
      </c>
      <c r="N1053" s="38" t="s">
        <v>48</v>
      </c>
      <c r="O1053" s="31" t="s">
        <v>219</v>
      </c>
      <c r="P1053" s="28" t="s">
        <v>220</v>
      </c>
      <c r="Q1053" s="38" t="s">
        <v>221</v>
      </c>
      <c r="R1053" s="38">
        <v>1</v>
      </c>
      <c r="S1053" s="38" t="s">
        <v>92</v>
      </c>
      <c r="T1053" s="38" t="s">
        <v>53</v>
      </c>
      <c r="U1053" s="38" t="s">
        <v>54</v>
      </c>
      <c r="V1053" s="38" t="s">
        <v>55</v>
      </c>
      <c r="Y1053" s="38">
        <v>80.62</v>
      </c>
      <c r="Z1053" s="38">
        <v>1</v>
      </c>
      <c r="AF1053" s="38">
        <v>80.62</v>
      </c>
      <c r="AK1053" s="14" t="e">
        <f t="shared" si="5"/>
        <v>#DIV/0!</v>
      </c>
      <c r="AM1053" s="38"/>
      <c r="AO1053" s="28"/>
    </row>
    <row r="1054" spans="1:41" ht="12.5">
      <c r="A1054" s="28" t="s">
        <v>3920</v>
      </c>
      <c r="B1054" s="37">
        <v>45777</v>
      </c>
      <c r="C1054" s="29">
        <v>45786</v>
      </c>
      <c r="D1054" s="38" t="s">
        <v>41</v>
      </c>
      <c r="E1054" s="38" t="s">
        <v>3921</v>
      </c>
      <c r="G1054" s="38" t="s">
        <v>43</v>
      </c>
      <c r="H1054" s="38">
        <v>13.65</v>
      </c>
      <c r="I1054" s="38" t="s">
        <v>44</v>
      </c>
      <c r="J1054" s="38" t="s">
        <v>45</v>
      </c>
      <c r="K1054" s="38" t="s">
        <v>3922</v>
      </c>
      <c r="L1054" s="30" t="s">
        <v>58</v>
      </c>
      <c r="M1054" s="38" t="s">
        <v>48</v>
      </c>
      <c r="N1054" s="38" t="s">
        <v>48</v>
      </c>
      <c r="O1054" s="31" t="s">
        <v>219</v>
      </c>
      <c r="P1054" s="28" t="s">
        <v>220</v>
      </c>
      <c r="Q1054" s="38" t="s">
        <v>221</v>
      </c>
      <c r="R1054" s="38">
        <v>1</v>
      </c>
      <c r="S1054" s="38" t="s">
        <v>3878</v>
      </c>
      <c r="T1054" s="38" t="s">
        <v>53</v>
      </c>
      <c r="U1054" s="38" t="s">
        <v>54</v>
      </c>
      <c r="V1054" s="38" t="s">
        <v>61</v>
      </c>
      <c r="Y1054" s="38">
        <v>83.06</v>
      </c>
      <c r="Z1054" s="38">
        <v>1</v>
      </c>
      <c r="AF1054" s="38"/>
      <c r="AK1054" s="14" t="e">
        <f t="shared" si="5"/>
        <v>#DIV/0!</v>
      </c>
      <c r="AM1054" s="38"/>
      <c r="AO1054" s="28"/>
    </row>
    <row r="1055" spans="1:41" ht="12.5">
      <c r="A1055" s="28" t="s">
        <v>3923</v>
      </c>
      <c r="B1055" s="37">
        <v>45778</v>
      </c>
      <c r="C1055" s="29">
        <v>45785</v>
      </c>
      <c r="D1055" s="38" t="s">
        <v>41</v>
      </c>
      <c r="E1055" s="38" t="s">
        <v>3924</v>
      </c>
      <c r="G1055" s="38" t="s">
        <v>43</v>
      </c>
      <c r="H1055" s="38">
        <v>13.65</v>
      </c>
      <c r="I1055" s="38" t="s">
        <v>44</v>
      </c>
      <c r="J1055" s="38" t="s">
        <v>45</v>
      </c>
      <c r="K1055" s="38" t="s">
        <v>3925</v>
      </c>
      <c r="L1055" s="30" t="s">
        <v>47</v>
      </c>
      <c r="M1055" s="38" t="s">
        <v>48</v>
      </c>
      <c r="N1055" s="38" t="s">
        <v>48</v>
      </c>
      <c r="O1055" s="31" t="s">
        <v>219</v>
      </c>
      <c r="P1055" s="28" t="s">
        <v>220</v>
      </c>
      <c r="Q1055" s="38" t="s">
        <v>221</v>
      </c>
      <c r="R1055" s="38">
        <v>1</v>
      </c>
      <c r="S1055" s="38" t="s">
        <v>52</v>
      </c>
      <c r="T1055" s="38" t="s">
        <v>53</v>
      </c>
      <c r="U1055" s="38" t="s">
        <v>54</v>
      </c>
      <c r="V1055" s="38" t="s">
        <v>55</v>
      </c>
      <c r="Y1055" s="38">
        <v>82.62</v>
      </c>
      <c r="Z1055" s="38">
        <v>1</v>
      </c>
      <c r="AF1055" s="38">
        <v>82.62</v>
      </c>
      <c r="AK1055" s="14" t="e">
        <f t="shared" si="5"/>
        <v>#DIV/0!</v>
      </c>
      <c r="AM1055" s="38"/>
      <c r="AO1055" s="28"/>
    </row>
    <row r="1056" spans="1:41" ht="12.5">
      <c r="A1056" s="28" t="s">
        <v>3926</v>
      </c>
      <c r="B1056" s="37">
        <v>45772</v>
      </c>
      <c r="C1056" s="29">
        <v>45784</v>
      </c>
      <c r="D1056" s="38" t="s">
        <v>41</v>
      </c>
      <c r="E1056" s="38" t="s">
        <v>3927</v>
      </c>
      <c r="G1056" s="38" t="s">
        <v>43</v>
      </c>
      <c r="H1056" s="38">
        <v>13.65</v>
      </c>
      <c r="I1056" s="38" t="s">
        <v>44</v>
      </c>
      <c r="J1056" s="38" t="s">
        <v>45</v>
      </c>
      <c r="K1056" s="38" t="s">
        <v>3928</v>
      </c>
      <c r="L1056" s="30" t="s">
        <v>47</v>
      </c>
      <c r="M1056" s="38" t="s">
        <v>48</v>
      </c>
      <c r="N1056" s="38" t="s">
        <v>48</v>
      </c>
      <c r="O1056" s="31" t="s">
        <v>219</v>
      </c>
      <c r="P1056" s="28" t="s">
        <v>220</v>
      </c>
      <c r="Q1056" s="38" t="s">
        <v>221</v>
      </c>
      <c r="R1056" s="38">
        <v>1</v>
      </c>
      <c r="S1056" s="38" t="s">
        <v>99</v>
      </c>
      <c r="T1056" s="38" t="s">
        <v>53</v>
      </c>
      <c r="U1056" s="38" t="s">
        <v>54</v>
      </c>
      <c r="V1056" s="38" t="s">
        <v>55</v>
      </c>
      <c r="Y1056" s="38">
        <v>83.59</v>
      </c>
      <c r="Z1056" s="38">
        <v>1</v>
      </c>
      <c r="AF1056" s="38">
        <v>83.59</v>
      </c>
      <c r="AK1056" s="14" t="e">
        <f t="shared" si="5"/>
        <v>#DIV/0!</v>
      </c>
      <c r="AM1056" s="38"/>
      <c r="AO1056" s="28"/>
    </row>
    <row r="1057" spans="1:41" ht="12.5">
      <c r="A1057" s="28" t="s">
        <v>3929</v>
      </c>
      <c r="B1057" s="37">
        <v>45774</v>
      </c>
      <c r="C1057" s="29">
        <v>45781</v>
      </c>
      <c r="D1057" s="38" t="s">
        <v>41</v>
      </c>
      <c r="E1057" s="38" t="s">
        <v>3930</v>
      </c>
      <c r="G1057" s="38" t="s">
        <v>43</v>
      </c>
      <c r="H1057" s="38">
        <v>13.67</v>
      </c>
      <c r="I1057" s="38" t="s">
        <v>44</v>
      </c>
      <c r="J1057" s="38" t="s">
        <v>45</v>
      </c>
      <c r="K1057" s="38" t="s">
        <v>3931</v>
      </c>
      <c r="L1057" s="30" t="s">
        <v>47</v>
      </c>
      <c r="M1057" s="38" t="s">
        <v>48</v>
      </c>
      <c r="N1057" s="38" t="s">
        <v>48</v>
      </c>
      <c r="O1057" s="31" t="s">
        <v>219</v>
      </c>
      <c r="P1057" s="28" t="s">
        <v>220</v>
      </c>
      <c r="Q1057" s="38" t="s">
        <v>221</v>
      </c>
      <c r="R1057" s="38">
        <v>1</v>
      </c>
      <c r="S1057" s="38" t="s">
        <v>52</v>
      </c>
      <c r="T1057" s="38" t="s">
        <v>53</v>
      </c>
      <c r="U1057" s="38" t="s">
        <v>54</v>
      </c>
      <c r="V1057" s="38" t="s">
        <v>61</v>
      </c>
      <c r="Y1057" s="38">
        <v>81.52</v>
      </c>
      <c r="Z1057" s="38">
        <v>1</v>
      </c>
      <c r="AF1057" s="38">
        <v>65.67</v>
      </c>
      <c r="AK1057" s="14" t="e">
        <f t="shared" si="5"/>
        <v>#DIV/0!</v>
      </c>
      <c r="AM1057" s="38"/>
      <c r="AO1057" s="28"/>
    </row>
    <row r="1058" spans="1:41" ht="12.5">
      <c r="A1058" s="28" t="s">
        <v>3932</v>
      </c>
      <c r="B1058" s="37">
        <v>45785</v>
      </c>
      <c r="C1058" s="29">
        <v>45792</v>
      </c>
      <c r="D1058" s="38" t="s">
        <v>41</v>
      </c>
      <c r="E1058" s="38" t="s">
        <v>3933</v>
      </c>
      <c r="G1058" s="38" t="s">
        <v>43</v>
      </c>
      <c r="H1058" s="38">
        <v>10.72</v>
      </c>
      <c r="I1058" s="38" t="s">
        <v>44</v>
      </c>
      <c r="J1058" s="38" t="s">
        <v>45</v>
      </c>
      <c r="K1058" s="38" t="s">
        <v>3934</v>
      </c>
      <c r="L1058" s="30" t="s">
        <v>58</v>
      </c>
      <c r="M1058" s="38" t="s">
        <v>48</v>
      </c>
      <c r="N1058" s="38" t="s">
        <v>48</v>
      </c>
      <c r="O1058" s="31" t="s">
        <v>1066</v>
      </c>
      <c r="P1058" s="28" t="s">
        <v>1067</v>
      </c>
      <c r="Q1058" s="38" t="s">
        <v>1068</v>
      </c>
      <c r="R1058" s="38">
        <v>1</v>
      </c>
      <c r="S1058" s="38" t="s">
        <v>3868</v>
      </c>
      <c r="T1058" s="38" t="s">
        <v>53</v>
      </c>
      <c r="U1058" s="38" t="s">
        <v>54</v>
      </c>
      <c r="V1058" s="38" t="s">
        <v>55</v>
      </c>
      <c r="Y1058" s="38">
        <v>73.34</v>
      </c>
      <c r="Z1058" s="38">
        <v>1</v>
      </c>
      <c r="AF1058" s="38">
        <v>62.62</v>
      </c>
      <c r="AI1058" s="38">
        <v>1</v>
      </c>
      <c r="AJ1058" s="38">
        <v>13</v>
      </c>
      <c r="AK1058" s="14">
        <f t="shared" si="5"/>
        <v>7.6923076923076927E-2</v>
      </c>
      <c r="AM1058" s="38"/>
      <c r="AO1058" s="28"/>
    </row>
    <row r="1059" spans="1:41" ht="12.5">
      <c r="A1059" s="28" t="s">
        <v>3935</v>
      </c>
      <c r="B1059" s="37">
        <v>45776</v>
      </c>
      <c r="C1059" s="29">
        <v>45790</v>
      </c>
      <c r="D1059" s="38" t="s">
        <v>41</v>
      </c>
      <c r="E1059" s="38"/>
      <c r="G1059" s="38" t="s">
        <v>137</v>
      </c>
      <c r="H1059" s="38">
        <v>0</v>
      </c>
      <c r="I1059" s="38"/>
      <c r="J1059" s="38"/>
      <c r="K1059" s="38"/>
      <c r="L1059" s="30" t="s">
        <v>58</v>
      </c>
      <c r="M1059" s="38" t="s">
        <v>48</v>
      </c>
      <c r="N1059" s="38" t="s">
        <v>48</v>
      </c>
      <c r="O1059" s="31" t="s">
        <v>2175</v>
      </c>
      <c r="P1059" s="28" t="s">
        <v>2176</v>
      </c>
      <c r="Q1059" s="38" t="s">
        <v>2177</v>
      </c>
      <c r="R1059" s="38">
        <v>1</v>
      </c>
      <c r="S1059" s="38" t="s">
        <v>75</v>
      </c>
      <c r="T1059" s="38" t="s">
        <v>53</v>
      </c>
      <c r="U1059" s="38" t="s">
        <v>54</v>
      </c>
      <c r="V1059" s="38" t="s">
        <v>141</v>
      </c>
      <c r="Y1059" s="38">
        <v>82.96</v>
      </c>
      <c r="Z1059" s="38">
        <v>1</v>
      </c>
      <c r="AF1059" s="38">
        <v>82.96</v>
      </c>
      <c r="AI1059" s="38">
        <v>1</v>
      </c>
      <c r="AJ1059" s="38">
        <v>0</v>
      </c>
      <c r="AK1059" s="14" t="e">
        <f t="shared" si="5"/>
        <v>#DIV/0!</v>
      </c>
      <c r="AM1059" s="38"/>
      <c r="AO1059" s="28"/>
    </row>
    <row r="1060" spans="1:41" ht="12.5">
      <c r="A1060" s="28" t="s">
        <v>3936</v>
      </c>
      <c r="B1060" s="37">
        <v>45779</v>
      </c>
      <c r="C1060" s="29">
        <v>45786</v>
      </c>
      <c r="D1060" s="38" t="s">
        <v>41</v>
      </c>
      <c r="E1060" s="38" t="s">
        <v>3937</v>
      </c>
      <c r="G1060" s="38" t="s">
        <v>43</v>
      </c>
      <c r="H1060" s="38">
        <v>65.180000000000007</v>
      </c>
      <c r="I1060" s="38" t="s">
        <v>44</v>
      </c>
      <c r="J1060" s="38" t="s">
        <v>45</v>
      </c>
      <c r="K1060" s="38" t="s">
        <v>3938</v>
      </c>
      <c r="L1060" s="30" t="s">
        <v>58</v>
      </c>
      <c r="M1060" s="38" t="s">
        <v>48</v>
      </c>
      <c r="N1060" s="38" t="s">
        <v>48</v>
      </c>
      <c r="O1060" s="31" t="s">
        <v>283</v>
      </c>
      <c r="P1060" s="28" t="s">
        <v>284</v>
      </c>
      <c r="Q1060" s="38" t="s">
        <v>285</v>
      </c>
      <c r="R1060" s="38">
        <v>1</v>
      </c>
      <c r="S1060" s="38" t="s">
        <v>3868</v>
      </c>
      <c r="T1060" s="38" t="s">
        <v>53</v>
      </c>
      <c r="U1060" s="38" t="s">
        <v>54</v>
      </c>
      <c r="V1060" s="38" t="s">
        <v>61</v>
      </c>
      <c r="Y1060" s="38">
        <v>197.85</v>
      </c>
      <c r="Z1060" s="38">
        <v>1</v>
      </c>
      <c r="AF1060" s="38"/>
      <c r="AI1060" s="38">
        <v>1</v>
      </c>
      <c r="AJ1060" s="38">
        <v>6</v>
      </c>
      <c r="AK1060" s="14">
        <f t="shared" si="5"/>
        <v>0.16666666666666666</v>
      </c>
      <c r="AM1060" s="38"/>
      <c r="AO1060" s="28"/>
    </row>
    <row r="1061" spans="1:41" ht="12.5">
      <c r="A1061" s="28" t="s">
        <v>3939</v>
      </c>
      <c r="B1061" s="37">
        <v>45775</v>
      </c>
      <c r="C1061" s="29">
        <v>45780</v>
      </c>
      <c r="D1061" s="38" t="s">
        <v>41</v>
      </c>
      <c r="E1061" s="38" t="s">
        <v>3940</v>
      </c>
      <c r="G1061" s="38" t="s">
        <v>43</v>
      </c>
      <c r="H1061" s="38">
        <v>14.14</v>
      </c>
      <c r="I1061" s="38" t="s">
        <v>44</v>
      </c>
      <c r="J1061" s="38" t="s">
        <v>45</v>
      </c>
      <c r="K1061" s="38" t="s">
        <v>3941</v>
      </c>
      <c r="L1061" s="30" t="s">
        <v>58</v>
      </c>
      <c r="M1061" s="38" t="s">
        <v>48</v>
      </c>
      <c r="N1061" s="38" t="s">
        <v>48</v>
      </c>
      <c r="O1061" s="31" t="s">
        <v>2873</v>
      </c>
      <c r="P1061" s="28" t="s">
        <v>2874</v>
      </c>
      <c r="Q1061" s="38" t="s">
        <v>2875</v>
      </c>
      <c r="R1061" s="38">
        <v>1</v>
      </c>
      <c r="S1061" s="38" t="s">
        <v>68</v>
      </c>
      <c r="T1061" s="38" t="s">
        <v>53</v>
      </c>
      <c r="U1061" s="38" t="s">
        <v>54</v>
      </c>
      <c r="V1061" s="38" t="s">
        <v>55</v>
      </c>
      <c r="Y1061" s="38">
        <v>103.94</v>
      </c>
      <c r="Z1061" s="38">
        <v>1</v>
      </c>
      <c r="AF1061" s="38">
        <v>89.8</v>
      </c>
      <c r="AI1061" s="38">
        <v>1</v>
      </c>
      <c r="AJ1061" s="38">
        <v>2</v>
      </c>
      <c r="AK1061" s="14">
        <f t="shared" si="5"/>
        <v>0.5</v>
      </c>
      <c r="AM1061" s="38"/>
      <c r="AO1061" s="28"/>
    </row>
    <row r="1062" spans="1:41" ht="12.5">
      <c r="A1062" s="28" t="s">
        <v>3942</v>
      </c>
      <c r="B1062" s="37">
        <v>45778</v>
      </c>
      <c r="C1062" s="29">
        <v>45789</v>
      </c>
      <c r="D1062" s="38" t="s">
        <v>41</v>
      </c>
      <c r="E1062" s="38"/>
      <c r="G1062" s="38" t="s">
        <v>137</v>
      </c>
      <c r="H1062" s="38">
        <v>0</v>
      </c>
      <c r="I1062" s="38"/>
      <c r="J1062" s="38"/>
      <c r="K1062" s="38"/>
      <c r="L1062" s="30" t="s">
        <v>58</v>
      </c>
      <c r="M1062" s="38" t="s">
        <v>48</v>
      </c>
      <c r="N1062" s="38" t="s">
        <v>48</v>
      </c>
      <c r="O1062" s="31" t="s">
        <v>3680</v>
      </c>
      <c r="P1062" s="28" t="s">
        <v>3681</v>
      </c>
      <c r="Q1062" s="38" t="s">
        <v>3682</v>
      </c>
      <c r="R1062" s="38">
        <v>1</v>
      </c>
      <c r="S1062" s="38" t="s">
        <v>75</v>
      </c>
      <c r="T1062" s="38" t="s">
        <v>53</v>
      </c>
      <c r="U1062" s="38" t="s">
        <v>54</v>
      </c>
      <c r="V1062" s="38" t="s">
        <v>141</v>
      </c>
      <c r="Y1062" s="38">
        <v>17.100000000000001</v>
      </c>
      <c r="Z1062" s="38">
        <v>1</v>
      </c>
      <c r="AF1062" s="38">
        <v>17.100000000000001</v>
      </c>
      <c r="AI1062" s="38">
        <v>1</v>
      </c>
      <c r="AJ1062" s="38">
        <v>3</v>
      </c>
      <c r="AK1062" s="14">
        <f t="shared" si="5"/>
        <v>0.33333333333333331</v>
      </c>
      <c r="AM1062" s="38"/>
      <c r="AO1062" s="28"/>
    </row>
    <row r="1063" spans="1:41" ht="12.5">
      <c r="A1063" s="28" t="s">
        <v>3943</v>
      </c>
      <c r="B1063" s="37">
        <v>45773</v>
      </c>
      <c r="C1063" s="29">
        <v>45786</v>
      </c>
      <c r="D1063" s="38" t="s">
        <v>41</v>
      </c>
      <c r="E1063" s="38" t="s">
        <v>3944</v>
      </c>
      <c r="G1063" s="38" t="s">
        <v>43</v>
      </c>
      <c r="H1063" s="38">
        <v>11.17</v>
      </c>
      <c r="I1063" s="38" t="s">
        <v>44</v>
      </c>
      <c r="J1063" s="38" t="s">
        <v>45</v>
      </c>
      <c r="K1063" s="38" t="s">
        <v>3945</v>
      </c>
      <c r="L1063" s="30" t="s">
        <v>47</v>
      </c>
      <c r="M1063" s="38" t="s">
        <v>48</v>
      </c>
      <c r="N1063" s="38" t="s">
        <v>48</v>
      </c>
      <c r="O1063" s="31" t="s">
        <v>2904</v>
      </c>
      <c r="P1063" s="28" t="s">
        <v>2905</v>
      </c>
      <c r="Q1063" s="38" t="s">
        <v>2906</v>
      </c>
      <c r="R1063" s="38">
        <v>1</v>
      </c>
      <c r="S1063" s="38" t="s">
        <v>421</v>
      </c>
      <c r="T1063" s="38" t="s">
        <v>53</v>
      </c>
      <c r="U1063" s="38" t="s">
        <v>54</v>
      </c>
      <c r="V1063" s="38" t="s">
        <v>560</v>
      </c>
      <c r="Y1063" s="38">
        <v>93.72</v>
      </c>
      <c r="Z1063" s="38"/>
      <c r="AF1063" s="38"/>
      <c r="AI1063" s="38">
        <v>1</v>
      </c>
      <c r="AJ1063" s="38">
        <v>8</v>
      </c>
      <c r="AK1063" s="14">
        <f t="shared" si="5"/>
        <v>0.125</v>
      </c>
      <c r="AM1063" s="38"/>
      <c r="AO1063" s="28"/>
    </row>
    <row r="1064" spans="1:41" ht="12.5">
      <c r="A1064" s="28" t="s">
        <v>3946</v>
      </c>
      <c r="B1064" s="37">
        <v>45765</v>
      </c>
      <c r="C1064" s="29">
        <v>45787</v>
      </c>
      <c r="D1064" s="38" t="s">
        <v>41</v>
      </c>
      <c r="E1064" s="38" t="s">
        <v>3947</v>
      </c>
      <c r="G1064" s="38" t="s">
        <v>43</v>
      </c>
      <c r="H1064" s="38">
        <v>11.17</v>
      </c>
      <c r="I1064" s="38" t="s">
        <v>44</v>
      </c>
      <c r="J1064" s="38" t="s">
        <v>45</v>
      </c>
      <c r="K1064" s="38" t="s">
        <v>3948</v>
      </c>
      <c r="L1064" s="30" t="s">
        <v>58</v>
      </c>
      <c r="M1064" s="38" t="s">
        <v>48</v>
      </c>
      <c r="N1064" s="38" t="s">
        <v>48</v>
      </c>
      <c r="O1064" s="31" t="s">
        <v>2193</v>
      </c>
      <c r="P1064" s="28" t="s">
        <v>2194</v>
      </c>
      <c r="Q1064" s="38" t="s">
        <v>2195</v>
      </c>
      <c r="R1064" s="38">
        <v>1</v>
      </c>
      <c r="S1064" s="38" t="s">
        <v>75</v>
      </c>
      <c r="T1064" s="38" t="s">
        <v>53</v>
      </c>
      <c r="U1064" s="38" t="s">
        <v>54</v>
      </c>
      <c r="V1064" s="38" t="s">
        <v>55</v>
      </c>
      <c r="Y1064" s="38">
        <v>82.47</v>
      </c>
      <c r="Z1064" s="38">
        <v>1</v>
      </c>
      <c r="AF1064" s="38">
        <v>71.3</v>
      </c>
      <c r="AI1064" s="38">
        <v>4</v>
      </c>
      <c r="AJ1064" s="38">
        <v>27</v>
      </c>
      <c r="AK1064" s="14">
        <f t="shared" si="5"/>
        <v>0.14814814814814814</v>
      </c>
      <c r="AM1064" s="38"/>
      <c r="AO1064" s="28"/>
    </row>
    <row r="1065" spans="1:41" ht="12.5">
      <c r="A1065" s="28" t="s">
        <v>3949</v>
      </c>
      <c r="B1065" s="37">
        <v>45758</v>
      </c>
      <c r="C1065" s="29">
        <v>45783</v>
      </c>
      <c r="D1065" s="38" t="s">
        <v>41</v>
      </c>
      <c r="E1065" s="38" t="s">
        <v>3950</v>
      </c>
      <c r="G1065" s="38" t="s">
        <v>43</v>
      </c>
      <c r="H1065" s="38">
        <v>11.17</v>
      </c>
      <c r="I1065" s="38" t="s">
        <v>44</v>
      </c>
      <c r="J1065" s="38" t="s">
        <v>45</v>
      </c>
      <c r="K1065" s="38" t="s">
        <v>3951</v>
      </c>
      <c r="L1065" s="30" t="s">
        <v>47</v>
      </c>
      <c r="M1065" s="38" t="s">
        <v>48</v>
      </c>
      <c r="N1065" s="38" t="s">
        <v>48</v>
      </c>
      <c r="O1065" s="31" t="s">
        <v>2193</v>
      </c>
      <c r="P1065" s="28" t="s">
        <v>2194</v>
      </c>
      <c r="Q1065" s="38" t="s">
        <v>2195</v>
      </c>
      <c r="R1065" s="38">
        <v>1</v>
      </c>
      <c r="S1065" s="38" t="s">
        <v>99</v>
      </c>
      <c r="T1065" s="38" t="s">
        <v>53</v>
      </c>
      <c r="U1065" s="38" t="s">
        <v>54</v>
      </c>
      <c r="V1065" s="38" t="s">
        <v>55</v>
      </c>
      <c r="Y1065" s="38">
        <v>76.900000000000006</v>
      </c>
      <c r="Z1065" s="38">
        <v>1</v>
      </c>
      <c r="AF1065" s="38">
        <v>76.900000000000006</v>
      </c>
      <c r="AK1065" s="14" t="e">
        <f t="shared" si="5"/>
        <v>#DIV/0!</v>
      </c>
      <c r="AM1065" s="38"/>
      <c r="AO1065" s="28"/>
    </row>
    <row r="1066" spans="1:41" ht="12.5">
      <c r="A1066" s="28" t="s">
        <v>3952</v>
      </c>
      <c r="B1066" s="37">
        <v>45778</v>
      </c>
      <c r="C1066" s="29">
        <v>45780</v>
      </c>
      <c r="D1066" s="38" t="s">
        <v>41</v>
      </c>
      <c r="E1066" s="38" t="s">
        <v>3953</v>
      </c>
      <c r="G1066" s="38" t="s">
        <v>43</v>
      </c>
      <c r="H1066" s="38">
        <v>11.19</v>
      </c>
      <c r="I1066" s="38" t="s">
        <v>44</v>
      </c>
      <c r="J1066" s="38" t="s">
        <v>45</v>
      </c>
      <c r="K1066" s="38" t="s">
        <v>3954</v>
      </c>
      <c r="L1066" s="30" t="s">
        <v>58</v>
      </c>
      <c r="M1066" s="38" t="s">
        <v>48</v>
      </c>
      <c r="N1066" s="38" t="s">
        <v>48</v>
      </c>
      <c r="O1066" s="31" t="s">
        <v>2193</v>
      </c>
      <c r="P1066" s="28" t="s">
        <v>2194</v>
      </c>
      <c r="Q1066" s="38" t="s">
        <v>2195</v>
      </c>
      <c r="R1066" s="38">
        <v>1</v>
      </c>
      <c r="S1066" s="38" t="s">
        <v>68</v>
      </c>
      <c r="T1066" s="38" t="s">
        <v>53</v>
      </c>
      <c r="U1066" s="38" t="s">
        <v>54</v>
      </c>
      <c r="V1066" s="38" t="s">
        <v>61</v>
      </c>
      <c r="Y1066" s="38">
        <v>83.06</v>
      </c>
      <c r="Z1066" s="38">
        <v>1</v>
      </c>
      <c r="AF1066" s="38"/>
      <c r="AK1066" s="14" t="e">
        <f t="shared" si="5"/>
        <v>#DIV/0!</v>
      </c>
      <c r="AM1066" s="38"/>
      <c r="AO1066" s="28"/>
    </row>
    <row r="1067" spans="1:41" ht="12.5">
      <c r="A1067" s="28" t="s">
        <v>3955</v>
      </c>
      <c r="B1067" s="37">
        <v>45773</v>
      </c>
      <c r="C1067" s="29">
        <v>45778</v>
      </c>
      <c r="D1067" s="38" t="s">
        <v>41</v>
      </c>
      <c r="E1067" s="38" t="s">
        <v>3956</v>
      </c>
      <c r="G1067" s="38" t="s">
        <v>43</v>
      </c>
      <c r="H1067" s="38">
        <v>11.19</v>
      </c>
      <c r="I1067" s="38" t="s">
        <v>44</v>
      </c>
      <c r="J1067" s="38" t="s">
        <v>45</v>
      </c>
      <c r="K1067" s="38" t="s">
        <v>3957</v>
      </c>
      <c r="L1067" s="30" t="s">
        <v>47</v>
      </c>
      <c r="M1067" s="38" t="s">
        <v>48</v>
      </c>
      <c r="N1067" s="38" t="s">
        <v>48</v>
      </c>
      <c r="O1067" s="31" t="s">
        <v>2193</v>
      </c>
      <c r="P1067" s="28" t="s">
        <v>2194</v>
      </c>
      <c r="Q1067" s="38" t="s">
        <v>2195</v>
      </c>
      <c r="R1067" s="38">
        <v>1</v>
      </c>
      <c r="S1067" s="38" t="s">
        <v>99</v>
      </c>
      <c r="T1067" s="38" t="s">
        <v>53</v>
      </c>
      <c r="U1067" s="38" t="s">
        <v>54</v>
      </c>
      <c r="V1067" s="38" t="s">
        <v>55</v>
      </c>
      <c r="Y1067" s="38">
        <v>80.930000000000007</v>
      </c>
      <c r="Z1067" s="38">
        <v>1</v>
      </c>
      <c r="AF1067" s="38">
        <v>80.930000000000007</v>
      </c>
      <c r="AK1067" s="14" t="e">
        <f t="shared" si="5"/>
        <v>#DIV/0!</v>
      </c>
      <c r="AM1067" s="38"/>
      <c r="AO1067" s="28"/>
    </row>
    <row r="1068" spans="1:41" ht="12.5">
      <c r="A1068" s="28" t="s">
        <v>3958</v>
      </c>
      <c r="B1068" s="37">
        <v>45785</v>
      </c>
      <c r="C1068" s="29">
        <v>45787</v>
      </c>
      <c r="D1068" s="38" t="s">
        <v>41</v>
      </c>
      <c r="E1068" s="38" t="s">
        <v>3959</v>
      </c>
      <c r="G1068" s="38" t="s">
        <v>43</v>
      </c>
      <c r="H1068" s="38">
        <v>10.72</v>
      </c>
      <c r="I1068" s="38" t="s">
        <v>44</v>
      </c>
      <c r="J1068" s="38" t="s">
        <v>45</v>
      </c>
      <c r="K1068" s="38" t="s">
        <v>3960</v>
      </c>
      <c r="L1068" s="30" t="s">
        <v>47</v>
      </c>
      <c r="M1068" s="38" t="s">
        <v>48</v>
      </c>
      <c r="N1068" s="38" t="s">
        <v>48</v>
      </c>
      <c r="O1068" s="31" t="s">
        <v>325</v>
      </c>
      <c r="P1068" s="28" t="s">
        <v>326</v>
      </c>
      <c r="Q1068" s="38" t="s">
        <v>327</v>
      </c>
      <c r="R1068" s="38">
        <v>1</v>
      </c>
      <c r="S1068" s="38" t="s">
        <v>99</v>
      </c>
      <c r="T1068" s="38" t="s">
        <v>53</v>
      </c>
      <c r="U1068" s="38" t="s">
        <v>54</v>
      </c>
      <c r="V1068" s="38" t="s">
        <v>55</v>
      </c>
      <c r="Y1068" s="38">
        <v>94.24</v>
      </c>
      <c r="Z1068" s="38">
        <v>1</v>
      </c>
      <c r="AF1068" s="38">
        <v>94.24</v>
      </c>
      <c r="AI1068" s="38">
        <v>1</v>
      </c>
      <c r="AJ1068" s="38">
        <v>2</v>
      </c>
      <c r="AK1068" s="14">
        <f t="shared" si="5"/>
        <v>0.5</v>
      </c>
      <c r="AM1068" s="38"/>
      <c r="AO1068" s="28"/>
    </row>
    <row r="1069" spans="1:41" ht="12.5">
      <c r="A1069" s="28" t="s">
        <v>3961</v>
      </c>
      <c r="B1069" s="37">
        <v>45787</v>
      </c>
      <c r="C1069" s="29">
        <v>45792</v>
      </c>
      <c r="D1069" s="38" t="s">
        <v>41</v>
      </c>
      <c r="E1069" s="38" t="s">
        <v>3962</v>
      </c>
      <c r="G1069" s="38" t="s">
        <v>43</v>
      </c>
      <c r="H1069" s="38">
        <v>10.72</v>
      </c>
      <c r="I1069" s="38" t="s">
        <v>44</v>
      </c>
      <c r="J1069" s="38" t="s">
        <v>45</v>
      </c>
      <c r="K1069" s="38" t="s">
        <v>3963</v>
      </c>
      <c r="L1069" s="30" t="s">
        <v>58</v>
      </c>
      <c r="M1069" s="38" t="s">
        <v>48</v>
      </c>
      <c r="N1069" s="38" t="s">
        <v>48</v>
      </c>
      <c r="O1069" s="31" t="s">
        <v>331</v>
      </c>
      <c r="P1069" s="28" t="s">
        <v>332</v>
      </c>
      <c r="Q1069" s="38" t="s">
        <v>333</v>
      </c>
      <c r="R1069" s="38">
        <v>1</v>
      </c>
      <c r="S1069" s="38" t="s">
        <v>3868</v>
      </c>
      <c r="T1069" s="38" t="s">
        <v>53</v>
      </c>
      <c r="U1069" s="38" t="s">
        <v>54</v>
      </c>
      <c r="V1069" s="38" t="s">
        <v>61</v>
      </c>
      <c r="Y1069" s="38">
        <v>81.459999999999994</v>
      </c>
      <c r="Z1069" s="38">
        <v>1</v>
      </c>
      <c r="AF1069" s="38"/>
      <c r="AI1069" s="38">
        <v>1</v>
      </c>
      <c r="AJ1069" s="38">
        <v>5</v>
      </c>
      <c r="AK1069" s="14">
        <f t="shared" si="5"/>
        <v>0.2</v>
      </c>
      <c r="AM1069" s="38"/>
      <c r="AO1069" s="28"/>
    </row>
    <row r="1070" spans="1:41" ht="12.5">
      <c r="A1070" s="28" t="s">
        <v>3964</v>
      </c>
      <c r="B1070" s="37">
        <v>45773</v>
      </c>
      <c r="C1070" s="29">
        <v>45778</v>
      </c>
      <c r="D1070" s="38" t="s">
        <v>41</v>
      </c>
      <c r="E1070" s="38" t="s">
        <v>3965</v>
      </c>
      <c r="G1070" s="38" t="s">
        <v>43</v>
      </c>
      <c r="H1070" s="38">
        <v>10.46</v>
      </c>
      <c r="I1070" s="38" t="s">
        <v>44</v>
      </c>
      <c r="J1070" s="38" t="s">
        <v>45</v>
      </c>
      <c r="K1070" s="38" t="s">
        <v>3966</v>
      </c>
      <c r="L1070" s="30" t="s">
        <v>58</v>
      </c>
      <c r="M1070" s="38" t="s">
        <v>48</v>
      </c>
      <c r="N1070" s="38" t="s">
        <v>48</v>
      </c>
      <c r="O1070" s="31" t="s">
        <v>337</v>
      </c>
      <c r="P1070" s="28" t="s">
        <v>338</v>
      </c>
      <c r="Q1070" s="38" t="s">
        <v>1846</v>
      </c>
      <c r="R1070" s="38">
        <v>1</v>
      </c>
      <c r="S1070" s="38" t="s">
        <v>68</v>
      </c>
      <c r="T1070" s="38" t="s">
        <v>53</v>
      </c>
      <c r="U1070" s="38" t="s">
        <v>54</v>
      </c>
      <c r="V1070" s="38" t="s">
        <v>55</v>
      </c>
      <c r="Y1070" s="38">
        <v>72.27</v>
      </c>
      <c r="Z1070" s="38">
        <v>1</v>
      </c>
      <c r="AF1070" s="38">
        <v>61.81</v>
      </c>
      <c r="AI1070" s="38">
        <v>1</v>
      </c>
      <c r="AJ1070" s="38">
        <v>9</v>
      </c>
      <c r="AK1070" s="14">
        <f t="shared" si="5"/>
        <v>0.1111111111111111</v>
      </c>
      <c r="AM1070" s="38"/>
      <c r="AO1070" s="28"/>
    </row>
    <row r="1071" spans="1:41" ht="12.5">
      <c r="A1071" s="28" t="s">
        <v>3967</v>
      </c>
      <c r="B1071" s="37">
        <v>45778</v>
      </c>
      <c r="C1071" s="29">
        <v>45788</v>
      </c>
      <c r="D1071" s="38" t="s">
        <v>41</v>
      </c>
      <c r="E1071" s="38" t="s">
        <v>3968</v>
      </c>
      <c r="G1071" s="38" t="s">
        <v>43</v>
      </c>
      <c r="H1071" s="38">
        <v>7.36</v>
      </c>
      <c r="I1071" s="38" t="s">
        <v>44</v>
      </c>
      <c r="J1071" s="38" t="s">
        <v>45</v>
      </c>
      <c r="K1071" s="38" t="s">
        <v>3969</v>
      </c>
      <c r="L1071" s="30" t="s">
        <v>58</v>
      </c>
      <c r="M1071" s="38" t="s">
        <v>48</v>
      </c>
      <c r="N1071" s="38" t="s">
        <v>48</v>
      </c>
      <c r="O1071" s="31" t="s">
        <v>390</v>
      </c>
      <c r="P1071" s="28" t="s">
        <v>391</v>
      </c>
      <c r="Q1071" s="38" t="s">
        <v>2980</v>
      </c>
      <c r="R1071" s="38">
        <v>1</v>
      </c>
      <c r="S1071" s="38" t="s">
        <v>3878</v>
      </c>
      <c r="T1071" s="38" t="s">
        <v>53</v>
      </c>
      <c r="U1071" s="38" t="s">
        <v>54</v>
      </c>
      <c r="V1071" s="38" t="s">
        <v>55</v>
      </c>
      <c r="Y1071" s="38">
        <v>45.64</v>
      </c>
      <c r="Z1071" s="38">
        <v>1</v>
      </c>
      <c r="AF1071" s="38">
        <v>38.28</v>
      </c>
      <c r="AI1071" s="38">
        <v>2</v>
      </c>
      <c r="AJ1071" s="38">
        <v>30</v>
      </c>
      <c r="AK1071" s="14">
        <f t="shared" si="5"/>
        <v>6.6666666666666666E-2</v>
      </c>
      <c r="AM1071" s="38"/>
      <c r="AO1071" s="28"/>
    </row>
    <row r="1072" spans="1:41" ht="12.5">
      <c r="A1072" s="28" t="s">
        <v>3970</v>
      </c>
      <c r="B1072" s="37">
        <v>45776</v>
      </c>
      <c r="C1072" s="29">
        <v>45782</v>
      </c>
      <c r="D1072" s="38" t="s">
        <v>41</v>
      </c>
      <c r="E1072" s="38" t="s">
        <v>3971</v>
      </c>
      <c r="G1072" s="38" t="s">
        <v>43</v>
      </c>
      <c r="H1072" s="38">
        <v>7.36</v>
      </c>
      <c r="I1072" s="38" t="s">
        <v>44</v>
      </c>
      <c r="J1072" s="38" t="s">
        <v>45</v>
      </c>
      <c r="K1072" s="38" t="s">
        <v>3972</v>
      </c>
      <c r="L1072" s="30" t="s">
        <v>58</v>
      </c>
      <c r="M1072" s="38" t="s">
        <v>48</v>
      </c>
      <c r="N1072" s="38" t="s">
        <v>48</v>
      </c>
      <c r="O1072" s="31" t="s">
        <v>390</v>
      </c>
      <c r="P1072" s="28" t="s">
        <v>391</v>
      </c>
      <c r="Q1072" s="38" t="s">
        <v>2980</v>
      </c>
      <c r="R1072" s="38">
        <v>1</v>
      </c>
      <c r="S1072" s="38" t="s">
        <v>2990</v>
      </c>
      <c r="T1072" s="38" t="s">
        <v>53</v>
      </c>
      <c r="U1072" s="38" t="s">
        <v>54</v>
      </c>
      <c r="V1072" s="38" t="s">
        <v>55</v>
      </c>
      <c r="Y1072" s="38">
        <v>45.71</v>
      </c>
      <c r="Z1072" s="38">
        <v>1</v>
      </c>
      <c r="AF1072" s="38">
        <v>38.35</v>
      </c>
      <c r="AK1072" s="14" t="e">
        <f t="shared" si="5"/>
        <v>#DIV/0!</v>
      </c>
      <c r="AM1072" s="38"/>
      <c r="AO1072" s="28"/>
    </row>
    <row r="1073" spans="1:41" ht="12.5">
      <c r="A1073" s="28" t="s">
        <v>3973</v>
      </c>
      <c r="B1073" s="37">
        <v>45761</v>
      </c>
      <c r="C1073" s="29">
        <v>45783</v>
      </c>
      <c r="D1073" s="38" t="s">
        <v>41</v>
      </c>
      <c r="E1073" s="38" t="s">
        <v>3974</v>
      </c>
      <c r="G1073" s="38" t="s">
        <v>43</v>
      </c>
      <c r="H1073" s="38">
        <v>10.72</v>
      </c>
      <c r="I1073" s="38" t="s">
        <v>44</v>
      </c>
      <c r="J1073" s="38" t="s">
        <v>45</v>
      </c>
      <c r="K1073" s="38" t="s">
        <v>3975</v>
      </c>
      <c r="L1073" s="30" t="s">
        <v>47</v>
      </c>
      <c r="M1073" s="38" t="s">
        <v>48</v>
      </c>
      <c r="N1073" s="38" t="s">
        <v>48</v>
      </c>
      <c r="O1073" s="31" t="s">
        <v>396</v>
      </c>
      <c r="P1073" s="28" t="s">
        <v>397</v>
      </c>
      <c r="Q1073" s="38" t="s">
        <v>402</v>
      </c>
      <c r="R1073" s="38">
        <v>1</v>
      </c>
      <c r="S1073" s="38" t="s">
        <v>99</v>
      </c>
      <c r="T1073" s="38" t="s">
        <v>53</v>
      </c>
      <c r="U1073" s="38" t="s">
        <v>54</v>
      </c>
      <c r="V1073" s="38" t="s">
        <v>61</v>
      </c>
      <c r="Y1073" s="38">
        <v>63.77</v>
      </c>
      <c r="Z1073" s="38">
        <v>1</v>
      </c>
      <c r="AF1073" s="38"/>
      <c r="AI1073" s="38">
        <v>1</v>
      </c>
      <c r="AJ1073" s="38">
        <v>6</v>
      </c>
      <c r="AK1073" s="14">
        <f t="shared" si="5"/>
        <v>0.16666666666666666</v>
      </c>
      <c r="AM1073" s="38"/>
      <c r="AO1073" s="28"/>
    </row>
    <row r="1074" spans="1:41" ht="12.5">
      <c r="A1074" s="28" t="s">
        <v>3976</v>
      </c>
      <c r="B1074" s="37">
        <v>45771</v>
      </c>
      <c r="C1074" s="29">
        <v>45779</v>
      </c>
      <c r="D1074" s="38" t="s">
        <v>41</v>
      </c>
      <c r="E1074" s="38" t="s">
        <v>3977</v>
      </c>
      <c r="G1074" s="38" t="s">
        <v>137</v>
      </c>
      <c r="H1074" s="38">
        <v>0</v>
      </c>
      <c r="I1074" s="38"/>
      <c r="J1074" s="38"/>
      <c r="K1074" s="38"/>
      <c r="L1074" s="30" t="s">
        <v>58</v>
      </c>
      <c r="M1074" s="38" t="s">
        <v>48</v>
      </c>
      <c r="N1074" s="38" t="s">
        <v>48</v>
      </c>
      <c r="O1074" s="31" t="s">
        <v>1196</v>
      </c>
      <c r="P1074" s="28" t="s">
        <v>1197</v>
      </c>
      <c r="Q1074" s="38" t="s">
        <v>1198</v>
      </c>
      <c r="R1074" s="38">
        <v>1</v>
      </c>
      <c r="S1074" s="38" t="s">
        <v>68</v>
      </c>
      <c r="T1074" s="38" t="s">
        <v>53</v>
      </c>
      <c r="U1074" s="38" t="s">
        <v>54</v>
      </c>
      <c r="V1074" s="38" t="s">
        <v>61</v>
      </c>
      <c r="Y1074" s="38">
        <v>193.34</v>
      </c>
      <c r="Z1074" s="38">
        <v>1</v>
      </c>
      <c r="AF1074" s="38">
        <v>193.34</v>
      </c>
      <c r="AI1074" s="38">
        <v>1</v>
      </c>
      <c r="AJ1074" s="38">
        <v>0</v>
      </c>
      <c r="AK1074" s="14" t="e">
        <f t="shared" si="5"/>
        <v>#DIV/0!</v>
      </c>
      <c r="AM1074" s="38"/>
      <c r="AO1074" s="28"/>
    </row>
    <row r="1075" spans="1:41" ht="12.5">
      <c r="A1075" s="28" t="s">
        <v>3978</v>
      </c>
      <c r="B1075" s="37">
        <v>45776</v>
      </c>
      <c r="C1075" s="29">
        <v>45783</v>
      </c>
      <c r="D1075" s="38" t="s">
        <v>41</v>
      </c>
      <c r="E1075" s="38" t="s">
        <v>3979</v>
      </c>
      <c r="G1075" s="38" t="s">
        <v>43</v>
      </c>
      <c r="H1075" s="38">
        <v>7.12</v>
      </c>
      <c r="I1075" s="38" t="s">
        <v>44</v>
      </c>
      <c r="J1075" s="38" t="s">
        <v>45</v>
      </c>
      <c r="K1075" s="38" t="s">
        <v>3980</v>
      </c>
      <c r="L1075" s="30" t="s">
        <v>47</v>
      </c>
      <c r="M1075" s="38" t="s">
        <v>48</v>
      </c>
      <c r="N1075" s="38" t="s">
        <v>48</v>
      </c>
      <c r="O1075" s="31" t="s">
        <v>2230</v>
      </c>
      <c r="P1075" s="28" t="s">
        <v>2231</v>
      </c>
      <c r="Q1075" s="38" t="s">
        <v>3003</v>
      </c>
      <c r="R1075" s="38">
        <v>1</v>
      </c>
      <c r="S1075" s="38" t="s">
        <v>99</v>
      </c>
      <c r="T1075" s="38" t="s">
        <v>53</v>
      </c>
      <c r="U1075" s="38" t="s">
        <v>54</v>
      </c>
      <c r="V1075" s="38" t="s">
        <v>61</v>
      </c>
      <c r="Y1075" s="38">
        <v>84.62</v>
      </c>
      <c r="Z1075" s="38">
        <v>1</v>
      </c>
      <c r="AF1075" s="38"/>
      <c r="AI1075" s="38">
        <v>2</v>
      </c>
      <c r="AJ1075" s="38">
        <v>2</v>
      </c>
      <c r="AK1075" s="14">
        <f t="shared" si="5"/>
        <v>1</v>
      </c>
      <c r="AM1075" s="38"/>
      <c r="AO1075" s="28"/>
    </row>
    <row r="1076" spans="1:41" ht="12.5">
      <c r="A1076" s="28" t="s">
        <v>3981</v>
      </c>
      <c r="B1076" s="37">
        <v>45770</v>
      </c>
      <c r="C1076" s="29">
        <v>45778</v>
      </c>
      <c r="D1076" s="38" t="s">
        <v>41</v>
      </c>
      <c r="E1076" s="38" t="s">
        <v>3982</v>
      </c>
      <c r="G1076" s="38" t="s">
        <v>43</v>
      </c>
      <c r="H1076" s="38">
        <v>7.14</v>
      </c>
      <c r="I1076" s="38" t="s">
        <v>44</v>
      </c>
      <c r="J1076" s="38" t="s">
        <v>45</v>
      </c>
      <c r="K1076" s="38" t="s">
        <v>3983</v>
      </c>
      <c r="L1076" s="30" t="s">
        <v>58</v>
      </c>
      <c r="M1076" s="38" t="s">
        <v>48</v>
      </c>
      <c r="N1076" s="38" t="s">
        <v>48</v>
      </c>
      <c r="O1076" s="31" t="s">
        <v>2230</v>
      </c>
      <c r="P1076" s="28" t="s">
        <v>2231</v>
      </c>
      <c r="Q1076" s="38" t="s">
        <v>3003</v>
      </c>
      <c r="R1076" s="38">
        <v>1</v>
      </c>
      <c r="S1076" s="38" t="s">
        <v>75</v>
      </c>
      <c r="T1076" s="38" t="s">
        <v>53</v>
      </c>
      <c r="U1076" s="38" t="s">
        <v>54</v>
      </c>
      <c r="V1076" s="38" t="s">
        <v>55</v>
      </c>
      <c r="Y1076" s="38">
        <v>84.4</v>
      </c>
      <c r="Z1076" s="38">
        <v>1</v>
      </c>
      <c r="AF1076" s="38">
        <v>77.260000000000005</v>
      </c>
      <c r="AK1076" s="14" t="e">
        <f t="shared" si="5"/>
        <v>#DIV/0!</v>
      </c>
      <c r="AM1076" s="38"/>
      <c r="AO1076" s="28"/>
    </row>
    <row r="1077" spans="1:41" ht="12.5">
      <c r="A1077" s="28" t="s">
        <v>3984</v>
      </c>
      <c r="B1077" s="37">
        <v>45772</v>
      </c>
      <c r="C1077" s="29">
        <v>45786</v>
      </c>
      <c r="D1077" s="38" t="s">
        <v>41</v>
      </c>
      <c r="E1077" s="38" t="s">
        <v>3985</v>
      </c>
      <c r="G1077" s="38" t="s">
        <v>43</v>
      </c>
      <c r="H1077" s="38">
        <v>9.68</v>
      </c>
      <c r="I1077" s="38" t="s">
        <v>44</v>
      </c>
      <c r="J1077" s="38" t="s">
        <v>45</v>
      </c>
      <c r="K1077" s="38" t="s">
        <v>3986</v>
      </c>
      <c r="L1077" s="30" t="s">
        <v>58</v>
      </c>
      <c r="M1077" s="38" t="s">
        <v>48</v>
      </c>
      <c r="N1077" s="38" t="s">
        <v>48</v>
      </c>
      <c r="O1077" s="31" t="s">
        <v>2554</v>
      </c>
      <c r="P1077" s="28" t="s">
        <v>2555</v>
      </c>
      <c r="Q1077" s="38" t="s">
        <v>2556</v>
      </c>
      <c r="R1077" s="38">
        <v>1</v>
      </c>
      <c r="S1077" s="38" t="s">
        <v>68</v>
      </c>
      <c r="T1077" s="38" t="s">
        <v>53</v>
      </c>
      <c r="U1077" s="38" t="s">
        <v>54</v>
      </c>
      <c r="V1077" s="38" t="s">
        <v>55</v>
      </c>
      <c r="Y1077" s="38">
        <v>78.91</v>
      </c>
      <c r="Z1077" s="38">
        <v>1</v>
      </c>
      <c r="AF1077" s="38">
        <v>69.23</v>
      </c>
      <c r="AI1077" s="38">
        <v>1</v>
      </c>
      <c r="AJ1077" s="38">
        <v>8</v>
      </c>
      <c r="AK1077" s="14">
        <f t="shared" si="5"/>
        <v>0.125</v>
      </c>
      <c r="AM1077" s="38"/>
      <c r="AO1077" s="28"/>
    </row>
    <row r="1078" spans="1:41" ht="12.5">
      <c r="A1078" s="28" t="s">
        <v>3723</v>
      </c>
      <c r="B1078" s="37">
        <v>45767</v>
      </c>
      <c r="C1078" s="29">
        <v>45785</v>
      </c>
      <c r="D1078" s="38" t="s">
        <v>41</v>
      </c>
      <c r="E1078" s="38" t="s">
        <v>3987</v>
      </c>
      <c r="G1078" s="38" t="s">
        <v>43</v>
      </c>
      <c r="H1078" s="38">
        <v>14.12</v>
      </c>
      <c r="I1078" s="38" t="s">
        <v>44</v>
      </c>
      <c r="J1078" s="38" t="s">
        <v>45</v>
      </c>
      <c r="K1078" s="38" t="s">
        <v>3988</v>
      </c>
      <c r="L1078" s="30" t="s">
        <v>58</v>
      </c>
      <c r="M1078" s="38" t="s">
        <v>48</v>
      </c>
      <c r="N1078" s="38" t="s">
        <v>48</v>
      </c>
      <c r="O1078" s="31" t="s">
        <v>425</v>
      </c>
      <c r="P1078" s="28" t="s">
        <v>2560</v>
      </c>
      <c r="Q1078" s="38" t="s">
        <v>427</v>
      </c>
      <c r="R1078" s="38">
        <v>1</v>
      </c>
      <c r="S1078" s="38" t="s">
        <v>59</v>
      </c>
      <c r="T1078" s="38" t="s">
        <v>53</v>
      </c>
      <c r="U1078" s="38" t="s">
        <v>54</v>
      </c>
      <c r="V1078" s="38" t="s">
        <v>61</v>
      </c>
      <c r="Y1078" s="38">
        <v>137.57</v>
      </c>
      <c r="Z1078" s="38">
        <v>1</v>
      </c>
      <c r="AF1078" s="38"/>
      <c r="AI1078" s="38">
        <v>1</v>
      </c>
      <c r="AJ1078" s="38">
        <v>2</v>
      </c>
      <c r="AK1078" s="14">
        <f t="shared" si="5"/>
        <v>0.5</v>
      </c>
      <c r="AM1078" s="38"/>
      <c r="AO1078" s="28"/>
    </row>
    <row r="1079" spans="1:41" ht="12.5">
      <c r="A1079" s="28" t="s">
        <v>3989</v>
      </c>
      <c r="B1079" s="37">
        <v>45787</v>
      </c>
      <c r="C1079" s="29">
        <v>45791</v>
      </c>
      <c r="D1079" s="38" t="s">
        <v>41</v>
      </c>
      <c r="E1079" s="38" t="s">
        <v>3990</v>
      </c>
      <c r="G1079" s="38" t="s">
        <v>43</v>
      </c>
      <c r="H1079" s="38">
        <v>13.65</v>
      </c>
      <c r="I1079" s="38" t="s">
        <v>44</v>
      </c>
      <c r="J1079" s="38" t="s">
        <v>45</v>
      </c>
      <c r="K1079" s="38" t="s">
        <v>3991</v>
      </c>
      <c r="L1079" s="30" t="s">
        <v>58</v>
      </c>
      <c r="M1079" s="38" t="s">
        <v>48</v>
      </c>
      <c r="N1079" s="38" t="s">
        <v>48</v>
      </c>
      <c r="O1079" s="31" t="s">
        <v>3992</v>
      </c>
      <c r="P1079" s="28" t="s">
        <v>3993</v>
      </c>
      <c r="Q1079" s="38" t="s">
        <v>3994</v>
      </c>
      <c r="R1079" s="38">
        <v>1</v>
      </c>
      <c r="S1079" s="38" t="s">
        <v>3884</v>
      </c>
      <c r="T1079" s="38" t="s">
        <v>53</v>
      </c>
      <c r="U1079" s="38" t="s">
        <v>54</v>
      </c>
      <c r="V1079" s="38" t="s">
        <v>55</v>
      </c>
      <c r="Y1079" s="38">
        <v>118.65</v>
      </c>
      <c r="Z1079" s="38">
        <v>1</v>
      </c>
      <c r="AF1079" s="38">
        <v>105</v>
      </c>
      <c r="AI1079" s="38">
        <v>1</v>
      </c>
      <c r="AJ1079" s="38">
        <v>1</v>
      </c>
      <c r="AK1079" s="14">
        <f t="shared" si="5"/>
        <v>1</v>
      </c>
      <c r="AM1079" s="38"/>
      <c r="AO1079" s="28"/>
    </row>
    <row r="1080" spans="1:41" ht="12.5">
      <c r="A1080" s="28" t="s">
        <v>3995</v>
      </c>
      <c r="B1080" s="37">
        <v>45779</v>
      </c>
      <c r="C1080" s="29">
        <v>45786</v>
      </c>
      <c r="D1080" s="38" t="s">
        <v>41</v>
      </c>
      <c r="E1080" s="38" t="s">
        <v>3996</v>
      </c>
      <c r="G1080" s="38" t="s">
        <v>43</v>
      </c>
      <c r="H1080" s="38">
        <v>17.55</v>
      </c>
      <c r="I1080" s="38" t="s">
        <v>44</v>
      </c>
      <c r="J1080" s="38" t="s">
        <v>45</v>
      </c>
      <c r="K1080" s="38" t="s">
        <v>3997</v>
      </c>
      <c r="L1080" s="30" t="s">
        <v>47</v>
      </c>
      <c r="M1080" s="38" t="s">
        <v>48</v>
      </c>
      <c r="N1080" s="38" t="s">
        <v>48</v>
      </c>
      <c r="O1080" s="31" t="s">
        <v>437</v>
      </c>
      <c r="P1080" s="28" t="s">
        <v>438</v>
      </c>
      <c r="Q1080" s="38" t="s">
        <v>2246</v>
      </c>
      <c r="R1080" s="38">
        <v>1</v>
      </c>
      <c r="S1080" s="38" t="s">
        <v>52</v>
      </c>
      <c r="T1080" s="38" t="s">
        <v>53</v>
      </c>
      <c r="U1080" s="38" t="s">
        <v>54</v>
      </c>
      <c r="V1080" s="38" t="s">
        <v>61</v>
      </c>
      <c r="Y1080" s="38">
        <v>124.88</v>
      </c>
      <c r="Z1080" s="38">
        <v>1</v>
      </c>
      <c r="AF1080" s="38"/>
      <c r="AI1080" s="38">
        <v>1</v>
      </c>
      <c r="AJ1080" s="38">
        <v>5</v>
      </c>
      <c r="AK1080" s="14">
        <f t="shared" si="5"/>
        <v>0.2</v>
      </c>
      <c r="AM1080" s="38"/>
      <c r="AO1080" s="28"/>
    </row>
    <row r="1081" spans="1:41" ht="12.5">
      <c r="A1081" s="28" t="s">
        <v>3998</v>
      </c>
      <c r="B1081" s="37">
        <v>45786</v>
      </c>
      <c r="C1081" s="29">
        <v>45791</v>
      </c>
      <c r="D1081" s="38" t="s">
        <v>41</v>
      </c>
      <c r="E1081" s="38" t="s">
        <v>3999</v>
      </c>
      <c r="G1081" s="38" t="s">
        <v>43</v>
      </c>
      <c r="H1081" s="38">
        <v>11.57</v>
      </c>
      <c r="I1081" s="38" t="s">
        <v>44</v>
      </c>
      <c r="J1081" s="38" t="s">
        <v>45</v>
      </c>
      <c r="K1081" s="38" t="s">
        <v>4000</v>
      </c>
      <c r="L1081" s="30" t="s">
        <v>58</v>
      </c>
      <c r="M1081" s="38" t="s">
        <v>48</v>
      </c>
      <c r="N1081" s="38" t="s">
        <v>48</v>
      </c>
      <c r="O1081" s="31" t="s">
        <v>443</v>
      </c>
      <c r="P1081" s="28" t="s">
        <v>444</v>
      </c>
      <c r="Q1081" s="38" t="s">
        <v>445</v>
      </c>
      <c r="R1081" s="38">
        <v>1</v>
      </c>
      <c r="S1081" s="38" t="s">
        <v>3878</v>
      </c>
      <c r="T1081" s="38" t="s">
        <v>53</v>
      </c>
      <c r="U1081" s="38" t="s">
        <v>54</v>
      </c>
      <c r="V1081" s="38" t="s">
        <v>55</v>
      </c>
      <c r="Y1081" s="38">
        <v>115.94</v>
      </c>
      <c r="Z1081" s="38">
        <v>1</v>
      </c>
      <c r="AF1081" s="38">
        <v>103.73</v>
      </c>
      <c r="AI1081" s="38">
        <v>1</v>
      </c>
      <c r="AJ1081" s="38">
        <v>11</v>
      </c>
      <c r="AK1081" s="14">
        <f t="shared" si="5"/>
        <v>9.0909090909090912E-2</v>
      </c>
      <c r="AM1081" s="38"/>
      <c r="AO1081" s="28"/>
    </row>
    <row r="1082" spans="1:41" ht="12.5">
      <c r="A1082" s="28" t="s">
        <v>4001</v>
      </c>
      <c r="B1082" s="37">
        <v>45772</v>
      </c>
      <c r="C1082" s="29">
        <v>45783</v>
      </c>
      <c r="D1082" s="38" t="s">
        <v>41</v>
      </c>
      <c r="E1082" s="38" t="s">
        <v>4002</v>
      </c>
      <c r="G1082" s="38" t="s">
        <v>43</v>
      </c>
      <c r="H1082" s="38">
        <v>11.17</v>
      </c>
      <c r="I1082" s="38" t="s">
        <v>44</v>
      </c>
      <c r="J1082" s="38" t="s">
        <v>45</v>
      </c>
      <c r="K1082" s="38" t="s">
        <v>4003</v>
      </c>
      <c r="L1082" s="30" t="s">
        <v>47</v>
      </c>
      <c r="M1082" s="38" t="s">
        <v>48</v>
      </c>
      <c r="N1082" s="38" t="s">
        <v>48</v>
      </c>
      <c r="O1082" s="31" t="s">
        <v>4004</v>
      </c>
      <c r="P1082" s="28" t="s">
        <v>4005</v>
      </c>
      <c r="Q1082" s="38" t="s">
        <v>4006</v>
      </c>
      <c r="R1082" s="38">
        <v>1</v>
      </c>
      <c r="S1082" s="38" t="s">
        <v>99</v>
      </c>
      <c r="T1082" s="38" t="s">
        <v>53</v>
      </c>
      <c r="U1082" s="38" t="s">
        <v>54</v>
      </c>
      <c r="V1082" s="38" t="s">
        <v>61</v>
      </c>
      <c r="Y1082" s="38">
        <v>99.34</v>
      </c>
      <c r="Z1082" s="38">
        <v>1</v>
      </c>
      <c r="AF1082" s="38"/>
      <c r="AI1082" s="38">
        <v>1</v>
      </c>
      <c r="AJ1082" s="38">
        <v>0</v>
      </c>
      <c r="AK1082" s="14" t="e">
        <f t="shared" si="5"/>
        <v>#DIV/0!</v>
      </c>
      <c r="AM1082" s="38"/>
      <c r="AO1082" s="28"/>
    </row>
    <row r="1083" spans="1:41" ht="12.5">
      <c r="A1083" s="28" t="s">
        <v>4001</v>
      </c>
      <c r="B1083" s="37">
        <v>45772</v>
      </c>
      <c r="C1083" s="29">
        <v>45783</v>
      </c>
      <c r="D1083" s="38" t="s">
        <v>41</v>
      </c>
      <c r="E1083" s="38" t="s">
        <v>4007</v>
      </c>
      <c r="G1083" s="38" t="s">
        <v>43</v>
      </c>
      <c r="H1083" s="38">
        <v>11.17</v>
      </c>
      <c r="I1083" s="38" t="s">
        <v>44</v>
      </c>
      <c r="J1083" s="38" t="s">
        <v>45</v>
      </c>
      <c r="K1083" s="38" t="s">
        <v>4008</v>
      </c>
      <c r="L1083" s="30" t="s">
        <v>47</v>
      </c>
      <c r="M1083" s="38" t="s">
        <v>48</v>
      </c>
      <c r="N1083" s="38" t="s">
        <v>48</v>
      </c>
      <c r="O1083" s="31" t="s">
        <v>4004</v>
      </c>
      <c r="P1083" s="28" t="s">
        <v>4005</v>
      </c>
      <c r="Q1083" s="38" t="s">
        <v>4006</v>
      </c>
      <c r="R1083" s="38">
        <v>1</v>
      </c>
      <c r="S1083" s="38" t="s">
        <v>92</v>
      </c>
      <c r="T1083" s="38" t="s">
        <v>53</v>
      </c>
      <c r="U1083" s="38" t="s">
        <v>54</v>
      </c>
      <c r="V1083" s="38" t="s">
        <v>61</v>
      </c>
      <c r="Y1083" s="38">
        <v>99.34</v>
      </c>
      <c r="Z1083" s="38">
        <v>1</v>
      </c>
      <c r="AF1083" s="38">
        <v>99.34</v>
      </c>
      <c r="AK1083" s="14" t="e">
        <f t="shared" si="5"/>
        <v>#DIV/0!</v>
      </c>
      <c r="AM1083" s="38"/>
      <c r="AO1083" s="28"/>
    </row>
    <row r="1084" spans="1:41" ht="12.5">
      <c r="A1084" s="28" t="s">
        <v>4009</v>
      </c>
      <c r="B1084" s="37">
        <v>45776</v>
      </c>
      <c r="C1084" s="29">
        <v>45786</v>
      </c>
      <c r="D1084" s="38" t="s">
        <v>41</v>
      </c>
      <c r="E1084" s="38" t="s">
        <v>4010</v>
      </c>
      <c r="G1084" s="38" t="s">
        <v>43</v>
      </c>
      <c r="H1084" s="38">
        <v>9.68</v>
      </c>
      <c r="I1084" s="38" t="s">
        <v>44</v>
      </c>
      <c r="J1084" s="38" t="s">
        <v>45</v>
      </c>
      <c r="K1084" s="38" t="s">
        <v>4011</v>
      </c>
      <c r="L1084" s="30" t="s">
        <v>58</v>
      </c>
      <c r="M1084" s="38" t="s">
        <v>48</v>
      </c>
      <c r="N1084" s="38" t="s">
        <v>48</v>
      </c>
      <c r="O1084" s="31" t="s">
        <v>1253</v>
      </c>
      <c r="P1084" s="28" t="s">
        <v>1254</v>
      </c>
      <c r="Q1084" s="38" t="s">
        <v>1255</v>
      </c>
      <c r="R1084" s="38">
        <v>1</v>
      </c>
      <c r="S1084" s="38" t="s">
        <v>59</v>
      </c>
      <c r="T1084" s="38" t="s">
        <v>53</v>
      </c>
      <c r="U1084" s="38" t="s">
        <v>60</v>
      </c>
      <c r="V1084" s="38" t="s">
        <v>55</v>
      </c>
      <c r="Y1084" s="38">
        <v>113.7</v>
      </c>
      <c r="Z1084" s="38">
        <v>1</v>
      </c>
      <c r="AF1084" s="38">
        <v>104.02</v>
      </c>
      <c r="AI1084" s="38">
        <v>1</v>
      </c>
      <c r="AJ1084" s="38">
        <v>1</v>
      </c>
      <c r="AK1084" s="14">
        <f t="shared" si="5"/>
        <v>1</v>
      </c>
      <c r="AM1084" s="38"/>
      <c r="AO1084" s="28"/>
    </row>
    <row r="1085" spans="1:41" ht="12.5">
      <c r="A1085" s="28" t="s">
        <v>4012</v>
      </c>
      <c r="B1085" s="37">
        <v>45785</v>
      </c>
      <c r="C1085" s="29">
        <v>45790</v>
      </c>
      <c r="D1085" s="38" t="s">
        <v>41</v>
      </c>
      <c r="E1085" s="38" t="s">
        <v>4013</v>
      </c>
      <c r="G1085" s="38" t="s">
        <v>137</v>
      </c>
      <c r="H1085" s="38">
        <v>0</v>
      </c>
      <c r="I1085" s="38"/>
      <c r="J1085" s="38"/>
      <c r="K1085" s="38"/>
      <c r="L1085" s="30" t="s">
        <v>47</v>
      </c>
      <c r="M1085" s="38" t="s">
        <v>48</v>
      </c>
      <c r="N1085" s="38" t="s">
        <v>48</v>
      </c>
      <c r="O1085" s="31" t="s">
        <v>455</v>
      </c>
      <c r="P1085" s="28" t="s">
        <v>456</v>
      </c>
      <c r="Q1085" s="38" t="s">
        <v>2575</v>
      </c>
      <c r="R1085" s="38">
        <v>1</v>
      </c>
      <c r="S1085" s="38" t="s">
        <v>99</v>
      </c>
      <c r="T1085" s="38" t="s">
        <v>53</v>
      </c>
      <c r="U1085" s="38" t="s">
        <v>54</v>
      </c>
      <c r="V1085" s="38" t="s">
        <v>61</v>
      </c>
      <c r="Y1085" s="38">
        <v>72.48</v>
      </c>
      <c r="Z1085" s="38">
        <v>1</v>
      </c>
      <c r="AF1085" s="38"/>
      <c r="AI1085" s="38">
        <v>2</v>
      </c>
      <c r="AJ1085" s="38">
        <v>14</v>
      </c>
      <c r="AK1085" s="14">
        <f t="shared" si="5"/>
        <v>0.14285714285714285</v>
      </c>
      <c r="AM1085" s="38"/>
      <c r="AO1085" s="28"/>
    </row>
    <row r="1086" spans="1:41" ht="12.5">
      <c r="A1086" s="28" t="s">
        <v>4014</v>
      </c>
      <c r="B1086" s="37">
        <v>45763</v>
      </c>
      <c r="C1086" s="29">
        <v>45782</v>
      </c>
      <c r="D1086" s="38" t="s">
        <v>41</v>
      </c>
      <c r="E1086" s="38" t="s">
        <v>4015</v>
      </c>
      <c r="G1086" s="38" t="s">
        <v>137</v>
      </c>
      <c r="H1086" s="38">
        <v>0</v>
      </c>
      <c r="I1086" s="38"/>
      <c r="J1086" s="38"/>
      <c r="K1086" s="38"/>
      <c r="L1086" s="30" t="s">
        <v>58</v>
      </c>
      <c r="M1086" s="38" t="s">
        <v>48</v>
      </c>
      <c r="N1086" s="38" t="s">
        <v>48</v>
      </c>
      <c r="O1086" s="31" t="s">
        <v>455</v>
      </c>
      <c r="P1086" s="28" t="s">
        <v>456</v>
      </c>
      <c r="Q1086" s="38" t="s">
        <v>2575</v>
      </c>
      <c r="R1086" s="38">
        <v>1</v>
      </c>
      <c r="S1086" s="38" t="s">
        <v>75</v>
      </c>
      <c r="T1086" s="38" t="s">
        <v>53</v>
      </c>
      <c r="U1086" s="38" t="s">
        <v>54</v>
      </c>
      <c r="V1086" s="38" t="s">
        <v>61</v>
      </c>
      <c r="Y1086" s="38">
        <v>67.900000000000006</v>
      </c>
      <c r="Z1086" s="38">
        <v>1</v>
      </c>
      <c r="AF1086" s="38"/>
      <c r="AK1086" s="14" t="e">
        <f t="shared" si="5"/>
        <v>#DIV/0!</v>
      </c>
      <c r="AM1086" s="38"/>
      <c r="AO1086" s="28"/>
    </row>
    <row r="1087" spans="1:41" ht="12.5">
      <c r="A1087" s="28" t="s">
        <v>4016</v>
      </c>
      <c r="B1087" s="37">
        <v>45767</v>
      </c>
      <c r="C1087" s="29">
        <v>45779</v>
      </c>
      <c r="D1087" s="38" t="s">
        <v>41</v>
      </c>
      <c r="E1087" s="38" t="s">
        <v>4017</v>
      </c>
      <c r="G1087" s="38" t="s">
        <v>43</v>
      </c>
      <c r="H1087" s="38">
        <v>17.23</v>
      </c>
      <c r="I1087" s="38" t="s">
        <v>44</v>
      </c>
      <c r="J1087" s="38" t="s">
        <v>45</v>
      </c>
      <c r="K1087" s="38" t="s">
        <v>4018</v>
      </c>
      <c r="L1087" s="30" t="s">
        <v>58</v>
      </c>
      <c r="M1087" s="38" t="s">
        <v>48</v>
      </c>
      <c r="N1087" s="38" t="s">
        <v>48</v>
      </c>
      <c r="O1087" s="31" t="s">
        <v>469</v>
      </c>
      <c r="P1087" s="28" t="s">
        <v>470</v>
      </c>
      <c r="Q1087" s="38" t="s">
        <v>471</v>
      </c>
      <c r="R1087" s="38">
        <v>1</v>
      </c>
      <c r="S1087" s="38" t="s">
        <v>59</v>
      </c>
      <c r="T1087" s="38" t="s">
        <v>53</v>
      </c>
      <c r="U1087" s="38" t="s">
        <v>54</v>
      </c>
      <c r="V1087" s="38" t="s">
        <v>55</v>
      </c>
      <c r="Y1087" s="38">
        <v>108.18</v>
      </c>
      <c r="Z1087" s="38">
        <v>1</v>
      </c>
      <c r="AF1087" s="38">
        <v>90.95</v>
      </c>
      <c r="AI1087" s="38">
        <v>1</v>
      </c>
      <c r="AJ1087" s="38">
        <v>1</v>
      </c>
      <c r="AK1087" s="14">
        <f t="shared" si="5"/>
        <v>1</v>
      </c>
      <c r="AM1087" s="38"/>
      <c r="AO1087" s="28"/>
    </row>
    <row r="1088" spans="1:41" ht="12.5">
      <c r="A1088" s="28" t="s">
        <v>4019</v>
      </c>
      <c r="B1088" s="37">
        <v>45753</v>
      </c>
      <c r="C1088" s="29">
        <v>45783</v>
      </c>
      <c r="D1088" s="38" t="s">
        <v>41</v>
      </c>
      <c r="E1088" s="38" t="s">
        <v>4020</v>
      </c>
      <c r="G1088" s="38" t="s">
        <v>43</v>
      </c>
      <c r="H1088" s="38">
        <v>11.17</v>
      </c>
      <c r="I1088" s="38" t="s">
        <v>44</v>
      </c>
      <c r="J1088" s="38" t="s">
        <v>45</v>
      </c>
      <c r="K1088" s="38" t="s">
        <v>4021</v>
      </c>
      <c r="L1088" s="30" t="s">
        <v>58</v>
      </c>
      <c r="M1088" s="38" t="s">
        <v>48</v>
      </c>
      <c r="N1088" s="38" t="s">
        <v>48</v>
      </c>
      <c r="O1088" s="31" t="s">
        <v>511</v>
      </c>
      <c r="P1088" s="28" t="s">
        <v>512</v>
      </c>
      <c r="Q1088" s="38" t="s">
        <v>513</v>
      </c>
      <c r="R1088" s="38">
        <v>1</v>
      </c>
      <c r="S1088" s="38" t="s">
        <v>68</v>
      </c>
      <c r="T1088" s="38" t="s">
        <v>53</v>
      </c>
      <c r="U1088" s="38" t="s">
        <v>54</v>
      </c>
      <c r="V1088" s="38" t="s">
        <v>61</v>
      </c>
      <c r="Y1088" s="38">
        <v>76.58</v>
      </c>
      <c r="Z1088" s="38">
        <v>1</v>
      </c>
      <c r="AF1088" s="38">
        <v>60.43</v>
      </c>
      <c r="AI1088" s="38">
        <v>2</v>
      </c>
      <c r="AJ1088" s="38">
        <v>3</v>
      </c>
      <c r="AK1088" s="14">
        <f t="shared" si="5"/>
        <v>0.66666666666666663</v>
      </c>
      <c r="AM1088" s="38"/>
      <c r="AO1088" s="28"/>
    </row>
    <row r="1089" spans="1:41" ht="12.5">
      <c r="A1089" s="28" t="s">
        <v>4022</v>
      </c>
      <c r="B1089" s="37">
        <v>45776</v>
      </c>
      <c r="C1089" s="29">
        <v>45779</v>
      </c>
      <c r="D1089" s="38" t="s">
        <v>41</v>
      </c>
      <c r="E1089" s="38" t="s">
        <v>4023</v>
      </c>
      <c r="G1089" s="38" t="s">
        <v>43</v>
      </c>
      <c r="H1089" s="38">
        <v>11.19</v>
      </c>
      <c r="I1089" s="38" t="s">
        <v>44</v>
      </c>
      <c r="J1089" s="38" t="s">
        <v>45</v>
      </c>
      <c r="K1089" s="38" t="s">
        <v>4024</v>
      </c>
      <c r="L1089" s="30" t="s">
        <v>58</v>
      </c>
      <c r="M1089" s="38" t="s">
        <v>48</v>
      </c>
      <c r="N1089" s="38" t="s">
        <v>48</v>
      </c>
      <c r="O1089" s="31" t="s">
        <v>511</v>
      </c>
      <c r="P1089" s="28" t="s">
        <v>512</v>
      </c>
      <c r="Q1089" s="38" t="s">
        <v>513</v>
      </c>
      <c r="R1089" s="38">
        <v>1</v>
      </c>
      <c r="S1089" s="38" t="s">
        <v>75</v>
      </c>
      <c r="T1089" s="38" t="s">
        <v>53</v>
      </c>
      <c r="U1089" s="38" t="s">
        <v>54</v>
      </c>
      <c r="V1089" s="38" t="s">
        <v>55</v>
      </c>
      <c r="Y1089" s="38">
        <v>75.599999999999994</v>
      </c>
      <c r="Z1089" s="38">
        <v>1</v>
      </c>
      <c r="AF1089" s="38">
        <v>64.41</v>
      </c>
      <c r="AK1089" s="14" t="e">
        <f t="shared" si="5"/>
        <v>#DIV/0!</v>
      </c>
      <c r="AM1089" s="38"/>
      <c r="AO1089" s="28"/>
    </row>
    <row r="1090" spans="1:41" ht="12.5">
      <c r="A1090" s="28" t="s">
        <v>4025</v>
      </c>
      <c r="B1090" s="37">
        <v>45771</v>
      </c>
      <c r="C1090" s="29">
        <v>45780</v>
      </c>
      <c r="D1090" s="38" t="s">
        <v>41</v>
      </c>
      <c r="E1090" s="38"/>
      <c r="G1090" s="38" t="s">
        <v>137</v>
      </c>
      <c r="H1090" s="38">
        <v>0</v>
      </c>
      <c r="I1090" s="38"/>
      <c r="J1090" s="38"/>
      <c r="K1090" s="38"/>
      <c r="L1090" s="30" t="s">
        <v>58</v>
      </c>
      <c r="M1090" s="38" t="s">
        <v>48</v>
      </c>
      <c r="N1090" s="38" t="s">
        <v>48</v>
      </c>
      <c r="O1090" s="31" t="s">
        <v>4026</v>
      </c>
      <c r="P1090" s="28" t="s">
        <v>4027</v>
      </c>
      <c r="Q1090" s="38" t="s">
        <v>4028</v>
      </c>
      <c r="R1090" s="38">
        <v>1</v>
      </c>
      <c r="S1090" s="38" t="s">
        <v>75</v>
      </c>
      <c r="T1090" s="38" t="s">
        <v>53</v>
      </c>
      <c r="U1090" s="38" t="s">
        <v>54</v>
      </c>
      <c r="V1090" s="38" t="s">
        <v>141</v>
      </c>
      <c r="Y1090" s="38">
        <v>49.35</v>
      </c>
      <c r="Z1090" s="38">
        <v>1</v>
      </c>
      <c r="AF1090" s="38">
        <v>49.35</v>
      </c>
      <c r="AI1090" s="38">
        <v>1</v>
      </c>
      <c r="AJ1090" s="38">
        <v>0</v>
      </c>
      <c r="AK1090" s="14" t="e">
        <f t="shared" si="5"/>
        <v>#DIV/0!</v>
      </c>
      <c r="AM1090" s="38"/>
      <c r="AO1090" s="28"/>
    </row>
    <row r="1091" spans="1:41" ht="12.5">
      <c r="A1091" s="28" t="s">
        <v>4029</v>
      </c>
      <c r="B1091" s="37">
        <v>45786</v>
      </c>
      <c r="C1091" s="29">
        <v>45792</v>
      </c>
      <c r="D1091" s="38" t="s">
        <v>41</v>
      </c>
      <c r="E1091" s="38" t="s">
        <v>4030</v>
      </c>
      <c r="G1091" s="38" t="s">
        <v>43</v>
      </c>
      <c r="H1091" s="38">
        <v>14.12</v>
      </c>
      <c r="I1091" s="38" t="s">
        <v>44</v>
      </c>
      <c r="J1091" s="38" t="s">
        <v>45</v>
      </c>
      <c r="K1091" s="38" t="s">
        <v>4031</v>
      </c>
      <c r="L1091" s="30" t="s">
        <v>47</v>
      </c>
      <c r="M1091" s="38" t="s">
        <v>48</v>
      </c>
      <c r="N1091" s="38" t="s">
        <v>48</v>
      </c>
      <c r="O1091" s="31" t="s">
        <v>2593</v>
      </c>
      <c r="P1091" s="28" t="s">
        <v>2594</v>
      </c>
      <c r="Q1091" s="38" t="s">
        <v>2595</v>
      </c>
      <c r="R1091" s="38">
        <v>1</v>
      </c>
      <c r="S1091" s="38" t="s">
        <v>99</v>
      </c>
      <c r="T1091" s="38" t="s">
        <v>53</v>
      </c>
      <c r="U1091" s="38" t="s">
        <v>54</v>
      </c>
      <c r="V1091" s="38" t="s">
        <v>61</v>
      </c>
      <c r="Y1091" s="38">
        <v>81.99</v>
      </c>
      <c r="Z1091" s="38">
        <v>1</v>
      </c>
      <c r="AF1091" s="38"/>
      <c r="AI1091" s="38">
        <v>1</v>
      </c>
      <c r="AJ1091" s="38">
        <v>2</v>
      </c>
      <c r="AK1091" s="14">
        <f t="shared" si="5"/>
        <v>0.5</v>
      </c>
      <c r="AM1091" s="38"/>
      <c r="AO1091" s="28"/>
    </row>
    <row r="1092" spans="1:41" ht="12.5">
      <c r="A1092" s="28" t="s">
        <v>4032</v>
      </c>
      <c r="B1092" s="37">
        <v>45786</v>
      </c>
      <c r="C1092" s="29">
        <v>45788</v>
      </c>
      <c r="D1092" s="38" t="s">
        <v>41</v>
      </c>
      <c r="E1092" s="38" t="s">
        <v>4033</v>
      </c>
      <c r="G1092" s="38" t="s">
        <v>43</v>
      </c>
      <c r="H1092" s="38">
        <v>10.72</v>
      </c>
      <c r="I1092" s="38" t="s">
        <v>44</v>
      </c>
      <c r="J1092" s="38" t="s">
        <v>45</v>
      </c>
      <c r="K1092" s="38" t="s">
        <v>4034</v>
      </c>
      <c r="L1092" s="30" t="s">
        <v>58</v>
      </c>
      <c r="M1092" s="38" t="s">
        <v>48</v>
      </c>
      <c r="N1092" s="38" t="s">
        <v>48</v>
      </c>
      <c r="O1092" s="31" t="s">
        <v>4035</v>
      </c>
      <c r="P1092" s="28" t="s">
        <v>4036</v>
      </c>
      <c r="Q1092" s="38" t="s">
        <v>4037</v>
      </c>
      <c r="R1092" s="38">
        <v>1</v>
      </c>
      <c r="S1092" s="38" t="s">
        <v>3868</v>
      </c>
      <c r="T1092" s="38" t="s">
        <v>53</v>
      </c>
      <c r="U1092" s="38" t="s">
        <v>54</v>
      </c>
      <c r="V1092" s="38" t="s">
        <v>55</v>
      </c>
      <c r="Y1092" s="38">
        <v>115.72</v>
      </c>
      <c r="Z1092" s="38">
        <v>1</v>
      </c>
      <c r="AF1092" s="38">
        <v>105</v>
      </c>
      <c r="AI1092" s="38">
        <v>1</v>
      </c>
      <c r="AJ1092" s="38">
        <v>2</v>
      </c>
      <c r="AK1092" s="14">
        <f t="shared" si="5"/>
        <v>0.5</v>
      </c>
      <c r="AM1092" s="38"/>
      <c r="AO1092" s="28"/>
    </row>
    <row r="1093" spans="1:41" ht="12.5">
      <c r="A1093" s="28" t="s">
        <v>4038</v>
      </c>
      <c r="B1093" s="37">
        <v>45770</v>
      </c>
      <c r="C1093" s="29">
        <v>45784</v>
      </c>
      <c r="D1093" s="38" t="s">
        <v>41</v>
      </c>
      <c r="E1093" s="38" t="s">
        <v>4039</v>
      </c>
      <c r="G1093" s="38" t="s">
        <v>43</v>
      </c>
      <c r="H1093" s="38">
        <v>11.17</v>
      </c>
      <c r="I1093" s="38" t="s">
        <v>44</v>
      </c>
      <c r="J1093" s="38" t="s">
        <v>45</v>
      </c>
      <c r="K1093" s="38" t="s">
        <v>4040</v>
      </c>
      <c r="L1093" s="30" t="s">
        <v>47</v>
      </c>
      <c r="M1093" s="38" t="s">
        <v>48</v>
      </c>
      <c r="N1093" s="38" t="s">
        <v>48</v>
      </c>
      <c r="O1093" s="31" t="s">
        <v>517</v>
      </c>
      <c r="P1093" s="28" t="s">
        <v>518</v>
      </c>
      <c r="Q1093" s="38" t="s">
        <v>519</v>
      </c>
      <c r="R1093" s="38">
        <v>1</v>
      </c>
      <c r="S1093" s="38" t="s">
        <v>99</v>
      </c>
      <c r="T1093" s="38" t="s">
        <v>53</v>
      </c>
      <c r="U1093" s="38" t="s">
        <v>54</v>
      </c>
      <c r="V1093" s="38" t="s">
        <v>55</v>
      </c>
      <c r="Y1093" s="38">
        <v>72.209999999999994</v>
      </c>
      <c r="Z1093" s="38">
        <v>1</v>
      </c>
      <c r="AF1093" s="38">
        <v>72.209999999999994</v>
      </c>
      <c r="AI1093" s="38">
        <v>1</v>
      </c>
      <c r="AJ1093" s="38">
        <v>13</v>
      </c>
      <c r="AK1093" s="14">
        <f t="shared" si="5"/>
        <v>7.6923076923076927E-2</v>
      </c>
      <c r="AM1093" s="38"/>
      <c r="AO1093" s="28"/>
    </row>
    <row r="1094" spans="1:41" ht="12.5">
      <c r="A1094" s="28" t="s">
        <v>4041</v>
      </c>
      <c r="B1094" s="37">
        <v>45769</v>
      </c>
      <c r="C1094" s="29">
        <v>45784</v>
      </c>
      <c r="D1094" s="38" t="s">
        <v>41</v>
      </c>
      <c r="E1094" s="38"/>
      <c r="G1094" s="38" t="s">
        <v>137</v>
      </c>
      <c r="H1094" s="38">
        <v>0</v>
      </c>
      <c r="I1094" s="38"/>
      <c r="J1094" s="38"/>
      <c r="K1094" s="38"/>
      <c r="L1094" s="30" t="s">
        <v>47</v>
      </c>
      <c r="M1094" s="38" t="s">
        <v>48</v>
      </c>
      <c r="N1094" s="38" t="s">
        <v>48</v>
      </c>
      <c r="O1094" s="31" t="s">
        <v>1296</v>
      </c>
      <c r="P1094" s="28" t="s">
        <v>1297</v>
      </c>
      <c r="Q1094" s="38" t="s">
        <v>1298</v>
      </c>
      <c r="R1094" s="38">
        <v>1</v>
      </c>
      <c r="S1094" s="38" t="s">
        <v>99</v>
      </c>
      <c r="T1094" s="38" t="s">
        <v>53</v>
      </c>
      <c r="U1094" s="38" t="s">
        <v>54</v>
      </c>
      <c r="V1094" s="38" t="s">
        <v>141</v>
      </c>
      <c r="Y1094" s="38">
        <v>33.869999999999997</v>
      </c>
      <c r="Z1094" s="38">
        <v>1</v>
      </c>
      <c r="AF1094" s="38">
        <v>33.869999999999997</v>
      </c>
      <c r="AI1094" s="38">
        <v>1</v>
      </c>
      <c r="AJ1094" s="38">
        <v>1</v>
      </c>
      <c r="AK1094" s="14">
        <f t="shared" si="5"/>
        <v>1</v>
      </c>
      <c r="AM1094" s="38"/>
      <c r="AO1094" s="28"/>
    </row>
    <row r="1095" spans="1:41" ht="12.5">
      <c r="A1095" s="28" t="s">
        <v>4042</v>
      </c>
      <c r="B1095" s="37">
        <v>45777</v>
      </c>
      <c r="C1095" s="29">
        <v>45783</v>
      </c>
      <c r="D1095" s="38" t="s">
        <v>41</v>
      </c>
      <c r="E1095" s="38" t="s">
        <v>4043</v>
      </c>
      <c r="G1095" s="38" t="s">
        <v>43</v>
      </c>
      <c r="H1095" s="38">
        <v>6.31</v>
      </c>
      <c r="I1095" s="38" t="s">
        <v>44</v>
      </c>
      <c r="J1095" s="38" t="s">
        <v>45</v>
      </c>
      <c r="K1095" s="38" t="s">
        <v>4044</v>
      </c>
      <c r="L1095" s="30" t="s">
        <v>58</v>
      </c>
      <c r="M1095" s="38" t="s">
        <v>48</v>
      </c>
      <c r="N1095" s="38" t="s">
        <v>48</v>
      </c>
      <c r="O1095" s="31" t="s">
        <v>4045</v>
      </c>
      <c r="P1095" s="28" t="s">
        <v>4046</v>
      </c>
      <c r="Q1095" s="38" t="s">
        <v>4047</v>
      </c>
      <c r="R1095" s="38">
        <v>1</v>
      </c>
      <c r="S1095" s="38" t="s">
        <v>75</v>
      </c>
      <c r="T1095" s="38" t="s">
        <v>53</v>
      </c>
      <c r="U1095" s="38" t="s">
        <v>54</v>
      </c>
      <c r="V1095" s="38" t="s">
        <v>55</v>
      </c>
      <c r="Y1095" s="38">
        <v>71.569999999999993</v>
      </c>
      <c r="Z1095" s="38">
        <v>1</v>
      </c>
      <c r="AF1095" s="38">
        <v>65.260000000000005</v>
      </c>
      <c r="AI1095" s="38">
        <v>1</v>
      </c>
      <c r="AJ1095" s="38">
        <v>4</v>
      </c>
      <c r="AK1095" s="14">
        <f t="shared" si="5"/>
        <v>0.25</v>
      </c>
      <c r="AM1095" s="38"/>
      <c r="AO1095" s="28"/>
    </row>
    <row r="1096" spans="1:41" ht="12.5">
      <c r="A1096" s="28" t="s">
        <v>4048</v>
      </c>
      <c r="B1096" s="37">
        <v>45780</v>
      </c>
      <c r="C1096" s="29">
        <v>45786</v>
      </c>
      <c r="D1096" s="38" t="s">
        <v>41</v>
      </c>
      <c r="E1096" s="38" t="s">
        <v>4049</v>
      </c>
      <c r="G1096" s="38" t="s">
        <v>43</v>
      </c>
      <c r="H1096" s="38">
        <v>11.17</v>
      </c>
      <c r="I1096" s="38" t="s">
        <v>44</v>
      </c>
      <c r="J1096" s="38" t="s">
        <v>45</v>
      </c>
      <c r="K1096" s="38" t="s">
        <v>4050</v>
      </c>
      <c r="L1096" s="30" t="s">
        <v>47</v>
      </c>
      <c r="M1096" s="38" t="s">
        <v>48</v>
      </c>
      <c r="N1096" s="38" t="s">
        <v>48</v>
      </c>
      <c r="O1096" s="31" t="s">
        <v>536</v>
      </c>
      <c r="P1096" s="28" t="s">
        <v>537</v>
      </c>
      <c r="Q1096" s="38" t="s">
        <v>538</v>
      </c>
      <c r="R1096" s="38">
        <v>1</v>
      </c>
      <c r="S1096" s="38" t="s">
        <v>82</v>
      </c>
      <c r="T1096" s="38" t="s">
        <v>53</v>
      </c>
      <c r="U1096" s="38" t="s">
        <v>54</v>
      </c>
      <c r="V1096" s="38" t="s">
        <v>61</v>
      </c>
      <c r="Y1096" s="38">
        <v>85.41</v>
      </c>
      <c r="Z1096" s="38">
        <v>1</v>
      </c>
      <c r="AF1096" s="38"/>
      <c r="AI1096" s="38">
        <v>1</v>
      </c>
      <c r="AJ1096" s="38">
        <v>8</v>
      </c>
      <c r="AK1096" s="14">
        <f t="shared" si="5"/>
        <v>0.125</v>
      </c>
      <c r="AM1096" s="38"/>
      <c r="AO1096" s="28"/>
    </row>
    <row r="1097" spans="1:41" ht="12.5">
      <c r="A1097" s="28" t="s">
        <v>4051</v>
      </c>
      <c r="B1097" s="37">
        <v>45765</v>
      </c>
      <c r="C1097" s="29">
        <v>45783</v>
      </c>
      <c r="D1097" s="38" t="s">
        <v>41</v>
      </c>
      <c r="E1097" s="38" t="s">
        <v>4052</v>
      </c>
      <c r="G1097" s="38" t="s">
        <v>43</v>
      </c>
      <c r="H1097" s="38">
        <v>13.65</v>
      </c>
      <c r="I1097" s="38" t="s">
        <v>44</v>
      </c>
      <c r="J1097" s="38" t="s">
        <v>45</v>
      </c>
      <c r="K1097" s="38" t="s">
        <v>4053</v>
      </c>
      <c r="L1097" s="30" t="s">
        <v>58</v>
      </c>
      <c r="M1097" s="38" t="s">
        <v>48</v>
      </c>
      <c r="N1097" s="38" t="s">
        <v>48</v>
      </c>
      <c r="O1097" s="31" t="s">
        <v>1319</v>
      </c>
      <c r="P1097" s="28" t="s">
        <v>1320</v>
      </c>
      <c r="Q1097" s="38" t="s">
        <v>1321</v>
      </c>
      <c r="R1097" s="38">
        <v>1</v>
      </c>
      <c r="S1097" s="38" t="s">
        <v>75</v>
      </c>
      <c r="T1097" s="38" t="s">
        <v>53</v>
      </c>
      <c r="U1097" s="38" t="s">
        <v>54</v>
      </c>
      <c r="V1097" s="38" t="s">
        <v>55</v>
      </c>
      <c r="Y1097" s="38">
        <v>98.87</v>
      </c>
      <c r="Z1097" s="38">
        <v>1</v>
      </c>
      <c r="AF1097" s="38">
        <v>84.5</v>
      </c>
      <c r="AI1097" s="38">
        <v>1</v>
      </c>
      <c r="AJ1097" s="38">
        <v>1</v>
      </c>
      <c r="AK1097" s="14">
        <f t="shared" si="5"/>
        <v>1</v>
      </c>
      <c r="AM1097" s="38"/>
      <c r="AO1097" s="28"/>
    </row>
    <row r="1098" spans="1:41" ht="12.5">
      <c r="A1098" s="28" t="s">
        <v>4054</v>
      </c>
      <c r="B1098" s="37">
        <v>45780</v>
      </c>
      <c r="C1098" s="29">
        <v>45784</v>
      </c>
      <c r="D1098" s="38" t="s">
        <v>41</v>
      </c>
      <c r="E1098" s="38" t="s">
        <v>4055</v>
      </c>
      <c r="G1098" s="38" t="s">
        <v>43</v>
      </c>
      <c r="H1098" s="38">
        <v>7.74</v>
      </c>
      <c r="I1098" s="38" t="s">
        <v>44</v>
      </c>
      <c r="J1098" s="38" t="s">
        <v>45</v>
      </c>
      <c r="K1098" s="38" t="s">
        <v>4056</v>
      </c>
      <c r="L1098" s="30" t="s">
        <v>47</v>
      </c>
      <c r="M1098" s="38" t="s">
        <v>48</v>
      </c>
      <c r="N1098" s="38" t="s">
        <v>48</v>
      </c>
      <c r="O1098" s="31" t="s">
        <v>3774</v>
      </c>
      <c r="P1098" s="28" t="s">
        <v>3775</v>
      </c>
      <c r="Q1098" s="38" t="s">
        <v>3776</v>
      </c>
      <c r="R1098" s="38">
        <v>1</v>
      </c>
      <c r="S1098" s="38" t="s">
        <v>52</v>
      </c>
      <c r="T1098" s="38" t="s">
        <v>53</v>
      </c>
      <c r="U1098" s="38" t="s">
        <v>54</v>
      </c>
      <c r="V1098" s="38" t="s">
        <v>55</v>
      </c>
      <c r="Y1098" s="38">
        <v>41.25</v>
      </c>
      <c r="Z1098" s="38">
        <v>1</v>
      </c>
      <c r="AF1098" s="38">
        <v>41.25</v>
      </c>
      <c r="AI1098" s="38">
        <v>1</v>
      </c>
      <c r="AJ1098" s="38">
        <v>2</v>
      </c>
      <c r="AK1098" s="14">
        <f t="shared" si="5"/>
        <v>0.5</v>
      </c>
      <c r="AM1098" s="38"/>
      <c r="AO1098" s="28"/>
    </row>
    <row r="1099" spans="1:41" ht="12.5">
      <c r="A1099" s="28" t="s">
        <v>4057</v>
      </c>
      <c r="B1099" s="37">
        <v>45781</v>
      </c>
      <c r="C1099" s="29">
        <v>45783</v>
      </c>
      <c r="D1099" s="38" t="s">
        <v>41</v>
      </c>
      <c r="E1099" s="38" t="s">
        <v>4058</v>
      </c>
      <c r="G1099" s="38" t="s">
        <v>137</v>
      </c>
      <c r="H1099" s="38">
        <v>0</v>
      </c>
      <c r="I1099" s="38"/>
      <c r="J1099" s="38"/>
      <c r="K1099" s="38"/>
      <c r="L1099" s="30" t="s">
        <v>58</v>
      </c>
      <c r="M1099" s="38" t="s">
        <v>48</v>
      </c>
      <c r="N1099" s="38" t="s">
        <v>48</v>
      </c>
      <c r="O1099" s="31" t="s">
        <v>4059</v>
      </c>
      <c r="P1099" s="28" t="s">
        <v>4060</v>
      </c>
      <c r="Q1099" s="38" t="s">
        <v>4061</v>
      </c>
      <c r="R1099" s="38">
        <v>1</v>
      </c>
      <c r="S1099" s="38" t="s">
        <v>68</v>
      </c>
      <c r="T1099" s="38" t="s">
        <v>53</v>
      </c>
      <c r="U1099" s="38" t="s">
        <v>54</v>
      </c>
      <c r="V1099" s="38" t="s">
        <v>61</v>
      </c>
      <c r="Y1099" s="38">
        <v>133.16999999999999</v>
      </c>
      <c r="Z1099" s="38">
        <v>1</v>
      </c>
      <c r="AF1099" s="38">
        <v>133.16999999999999</v>
      </c>
      <c r="AI1099" s="38">
        <v>1</v>
      </c>
      <c r="AJ1099" s="38">
        <v>2</v>
      </c>
      <c r="AK1099" s="14">
        <f t="shared" si="5"/>
        <v>0.5</v>
      </c>
      <c r="AM1099" s="38"/>
      <c r="AO1099" s="28"/>
    </row>
    <row r="1100" spans="1:41" ht="12.5">
      <c r="A1100" s="28" t="s">
        <v>4062</v>
      </c>
      <c r="B1100" s="37">
        <v>45779</v>
      </c>
      <c r="C1100" s="29">
        <v>45782</v>
      </c>
      <c r="D1100" s="38" t="s">
        <v>41</v>
      </c>
      <c r="E1100" s="38" t="s">
        <v>4063</v>
      </c>
      <c r="G1100" s="38" t="s">
        <v>43</v>
      </c>
      <c r="H1100" s="38">
        <v>20.65</v>
      </c>
      <c r="I1100" s="38" t="s">
        <v>44</v>
      </c>
      <c r="J1100" s="38" t="s">
        <v>45</v>
      </c>
      <c r="K1100" s="38" t="s">
        <v>4064</v>
      </c>
      <c r="L1100" s="30" t="s">
        <v>58</v>
      </c>
      <c r="M1100" s="38" t="s">
        <v>48</v>
      </c>
      <c r="N1100" s="38" t="s">
        <v>48</v>
      </c>
      <c r="O1100" s="31" t="s">
        <v>551</v>
      </c>
      <c r="P1100" s="28" t="s">
        <v>552</v>
      </c>
      <c r="Q1100" s="38" t="s">
        <v>553</v>
      </c>
      <c r="R1100" s="38">
        <v>1</v>
      </c>
      <c r="S1100" s="38" t="s">
        <v>2716</v>
      </c>
      <c r="T1100" s="38" t="s">
        <v>53</v>
      </c>
      <c r="U1100" s="38" t="s">
        <v>54</v>
      </c>
      <c r="V1100" s="38" t="s">
        <v>61</v>
      </c>
      <c r="Y1100" s="38">
        <v>101.64</v>
      </c>
      <c r="Z1100" s="38">
        <v>1</v>
      </c>
      <c r="AF1100" s="38">
        <v>85.46</v>
      </c>
      <c r="AI1100" s="38">
        <v>1</v>
      </c>
      <c r="AJ1100" s="38">
        <v>2</v>
      </c>
      <c r="AK1100" s="14">
        <f t="shared" si="5"/>
        <v>0.5</v>
      </c>
      <c r="AM1100" s="38"/>
      <c r="AO1100" s="28"/>
    </row>
    <row r="1101" spans="1:41" ht="12.5">
      <c r="A1101" s="28" t="s">
        <v>4065</v>
      </c>
      <c r="B1101" s="37">
        <v>45773</v>
      </c>
      <c r="C1101" s="29">
        <v>45780</v>
      </c>
      <c r="D1101" s="38" t="s">
        <v>41</v>
      </c>
      <c r="E1101" s="38" t="s">
        <v>4066</v>
      </c>
      <c r="G1101" s="38" t="s">
        <v>43</v>
      </c>
      <c r="H1101" s="38">
        <v>11.59</v>
      </c>
      <c r="I1101" s="38" t="s">
        <v>44</v>
      </c>
      <c r="J1101" s="38" t="s">
        <v>45</v>
      </c>
      <c r="K1101" s="38" t="s">
        <v>4067</v>
      </c>
      <c r="L1101" s="30" t="s">
        <v>58</v>
      </c>
      <c r="M1101" s="38" t="s">
        <v>48</v>
      </c>
      <c r="N1101" s="38" t="s">
        <v>48</v>
      </c>
      <c r="O1101" s="40" t="s">
        <v>3789</v>
      </c>
      <c r="P1101" s="28" t="s">
        <v>3790</v>
      </c>
      <c r="Q1101" s="38" t="s">
        <v>3791</v>
      </c>
      <c r="R1101" s="38">
        <v>1</v>
      </c>
      <c r="S1101" s="38" t="s">
        <v>2990</v>
      </c>
      <c r="T1101" s="38" t="s">
        <v>53</v>
      </c>
      <c r="U1101" s="38" t="s">
        <v>54</v>
      </c>
      <c r="V1101" s="38" t="s">
        <v>55</v>
      </c>
      <c r="Y1101" s="38">
        <v>103.69</v>
      </c>
      <c r="Z1101" s="38">
        <v>1</v>
      </c>
      <c r="AF1101" s="38">
        <v>92.1</v>
      </c>
      <c r="AI1101" s="38">
        <v>1</v>
      </c>
      <c r="AJ1101" s="38">
        <v>3</v>
      </c>
      <c r="AK1101" s="14">
        <f t="shared" si="5"/>
        <v>0.33333333333333331</v>
      </c>
      <c r="AM1101" s="38"/>
      <c r="AO1101" s="28"/>
    </row>
    <row r="1102" spans="1:41" ht="12.5">
      <c r="A1102" s="28" t="s">
        <v>4068</v>
      </c>
      <c r="B1102" s="37">
        <v>45776</v>
      </c>
      <c r="C1102" s="29">
        <v>45781</v>
      </c>
      <c r="D1102" s="38" t="s">
        <v>41</v>
      </c>
      <c r="E1102" s="38" t="s">
        <v>4069</v>
      </c>
      <c r="G1102" s="38" t="s">
        <v>43</v>
      </c>
      <c r="H1102" s="38">
        <v>15.46</v>
      </c>
      <c r="I1102" s="38" t="s">
        <v>44</v>
      </c>
      <c r="J1102" s="38" t="s">
        <v>45</v>
      </c>
      <c r="K1102" s="38" t="s">
        <v>4070</v>
      </c>
      <c r="L1102" s="30" t="s">
        <v>47</v>
      </c>
      <c r="M1102" s="38" t="s">
        <v>48</v>
      </c>
      <c r="N1102" s="38" t="s">
        <v>48</v>
      </c>
      <c r="O1102" s="40" t="s">
        <v>557</v>
      </c>
      <c r="P1102" s="28" t="s">
        <v>558</v>
      </c>
      <c r="Q1102" s="38" t="s">
        <v>559</v>
      </c>
      <c r="R1102" s="38">
        <v>1</v>
      </c>
      <c r="S1102" s="38" t="s">
        <v>92</v>
      </c>
      <c r="T1102" s="38" t="s">
        <v>53</v>
      </c>
      <c r="U1102" s="38" t="s">
        <v>60</v>
      </c>
      <c r="V1102" s="38" t="s">
        <v>55</v>
      </c>
      <c r="Y1102" s="38">
        <v>101.96</v>
      </c>
      <c r="Z1102" s="38">
        <v>1</v>
      </c>
      <c r="AF1102" s="38">
        <v>101.96</v>
      </c>
      <c r="AI1102" s="38">
        <v>2</v>
      </c>
      <c r="AJ1102" s="38">
        <v>0</v>
      </c>
      <c r="AK1102" s="14" t="e">
        <f t="shared" si="5"/>
        <v>#DIV/0!</v>
      </c>
      <c r="AM1102" s="38"/>
      <c r="AO1102" s="28"/>
    </row>
    <row r="1103" spans="1:41" ht="12.5">
      <c r="A1103" s="28" t="s">
        <v>4071</v>
      </c>
      <c r="B1103" s="37">
        <v>45773</v>
      </c>
      <c r="C1103" s="29">
        <v>45778</v>
      </c>
      <c r="D1103" s="38" t="s">
        <v>41</v>
      </c>
      <c r="E1103" s="38" t="s">
        <v>4072</v>
      </c>
      <c r="G1103" s="38" t="s">
        <v>43</v>
      </c>
      <c r="H1103" s="38">
        <v>15.46</v>
      </c>
      <c r="I1103" s="38" t="s">
        <v>44</v>
      </c>
      <c r="J1103" s="38" t="s">
        <v>45</v>
      </c>
      <c r="K1103" s="38" t="s">
        <v>4073</v>
      </c>
      <c r="L1103" s="30" t="s">
        <v>58</v>
      </c>
      <c r="M1103" s="38" t="s">
        <v>48</v>
      </c>
      <c r="N1103" s="38" t="s">
        <v>48</v>
      </c>
      <c r="O1103" s="40" t="s">
        <v>557</v>
      </c>
      <c r="P1103" s="28" t="s">
        <v>558</v>
      </c>
      <c r="Q1103" s="38" t="s">
        <v>559</v>
      </c>
      <c r="R1103" s="38">
        <v>1</v>
      </c>
      <c r="S1103" s="38" t="s">
        <v>68</v>
      </c>
      <c r="T1103" s="38" t="s">
        <v>53</v>
      </c>
      <c r="U1103" s="38" t="s">
        <v>54</v>
      </c>
      <c r="V1103" s="38" t="s">
        <v>61</v>
      </c>
      <c r="Y1103" s="38">
        <v>100.89</v>
      </c>
      <c r="Z1103" s="38">
        <v>1</v>
      </c>
      <c r="AF1103" s="38"/>
      <c r="AK1103" s="14" t="e">
        <f t="shared" si="5"/>
        <v>#DIV/0!</v>
      </c>
      <c r="AM1103" s="38"/>
      <c r="AO1103" s="28"/>
    </row>
    <row r="1104" spans="1:41" ht="12.5">
      <c r="A1104" s="28" t="s">
        <v>4074</v>
      </c>
      <c r="B1104" s="37">
        <v>45754</v>
      </c>
      <c r="C1104" s="29">
        <v>45786</v>
      </c>
      <c r="D1104" s="38" t="s">
        <v>41</v>
      </c>
      <c r="E1104" s="38" t="s">
        <v>4075</v>
      </c>
      <c r="G1104" s="38" t="s">
        <v>43</v>
      </c>
      <c r="H1104" s="38">
        <v>14.12</v>
      </c>
      <c r="I1104" s="38" t="s">
        <v>44</v>
      </c>
      <c r="J1104" s="38" t="s">
        <v>45</v>
      </c>
      <c r="K1104" s="38" t="s">
        <v>4076</v>
      </c>
      <c r="L1104" s="30" t="s">
        <v>47</v>
      </c>
      <c r="M1104" s="38" t="s">
        <v>48</v>
      </c>
      <c r="N1104" s="38" t="s">
        <v>48</v>
      </c>
      <c r="O1104" s="31" t="s">
        <v>4077</v>
      </c>
      <c r="P1104" s="28" t="s">
        <v>4078</v>
      </c>
      <c r="Q1104" s="38" t="s">
        <v>4079</v>
      </c>
      <c r="R1104" s="38">
        <v>1</v>
      </c>
      <c r="S1104" s="38" t="s">
        <v>52</v>
      </c>
      <c r="T1104" s="38" t="s">
        <v>53</v>
      </c>
      <c r="U1104" s="38" t="s">
        <v>54</v>
      </c>
      <c r="V1104" s="38" t="s">
        <v>55</v>
      </c>
      <c r="Y1104" s="38">
        <v>108.98</v>
      </c>
      <c r="Z1104" s="38">
        <v>1</v>
      </c>
      <c r="AF1104" s="38">
        <v>108.98</v>
      </c>
      <c r="AI1104" s="38">
        <v>1</v>
      </c>
      <c r="AJ1104" s="38">
        <v>0</v>
      </c>
      <c r="AK1104" s="14" t="e">
        <f t="shared" si="5"/>
        <v>#DIV/0!</v>
      </c>
      <c r="AM1104" s="38"/>
      <c r="AO1104" s="28"/>
    </row>
    <row r="1105" spans="1:41" ht="12.5">
      <c r="A1105" s="28" t="s">
        <v>4080</v>
      </c>
      <c r="B1105" s="37">
        <v>45771</v>
      </c>
      <c r="C1105" s="29">
        <v>45778</v>
      </c>
      <c r="D1105" s="38" t="s">
        <v>41</v>
      </c>
      <c r="E1105" s="38" t="s">
        <v>4081</v>
      </c>
      <c r="G1105" s="38" t="s">
        <v>43</v>
      </c>
      <c r="H1105" s="38">
        <v>10.46</v>
      </c>
      <c r="I1105" s="38" t="s">
        <v>44</v>
      </c>
      <c r="J1105" s="38" t="s">
        <v>45</v>
      </c>
      <c r="K1105" s="38" t="s">
        <v>4082</v>
      </c>
      <c r="L1105" s="30" t="s">
        <v>47</v>
      </c>
      <c r="M1105" s="38" t="s">
        <v>48</v>
      </c>
      <c r="N1105" s="38" t="s">
        <v>48</v>
      </c>
      <c r="O1105" s="31" t="s">
        <v>1924</v>
      </c>
      <c r="P1105" s="28" t="s">
        <v>1925</v>
      </c>
      <c r="Q1105" s="38" t="s">
        <v>1926</v>
      </c>
      <c r="R1105" s="38">
        <v>1</v>
      </c>
      <c r="S1105" s="38" t="s">
        <v>99</v>
      </c>
      <c r="T1105" s="38" t="s">
        <v>53</v>
      </c>
      <c r="U1105" s="38" t="s">
        <v>54</v>
      </c>
      <c r="V1105" s="38" t="s">
        <v>55</v>
      </c>
      <c r="Y1105" s="38">
        <v>107.99</v>
      </c>
      <c r="Z1105" s="38">
        <v>1</v>
      </c>
      <c r="AF1105" s="38">
        <v>107.99</v>
      </c>
      <c r="AI1105" s="38">
        <v>1</v>
      </c>
      <c r="AJ1105" s="38">
        <v>3</v>
      </c>
      <c r="AK1105" s="14">
        <f t="shared" si="5"/>
        <v>0.33333333333333331</v>
      </c>
      <c r="AM1105" s="38"/>
      <c r="AO1105" s="28"/>
    </row>
    <row r="1106" spans="1:41" ht="12.5">
      <c r="A1106" s="28" t="s">
        <v>4083</v>
      </c>
      <c r="B1106" s="37">
        <v>45784</v>
      </c>
      <c r="C1106" s="29">
        <v>45785</v>
      </c>
      <c r="D1106" s="38" t="s">
        <v>41</v>
      </c>
      <c r="E1106" s="38" t="s">
        <v>4084</v>
      </c>
      <c r="G1106" s="38" t="s">
        <v>43</v>
      </c>
      <c r="H1106" s="38">
        <v>11.82</v>
      </c>
      <c r="I1106" s="38" t="s">
        <v>44</v>
      </c>
      <c r="J1106" s="38" t="s">
        <v>45</v>
      </c>
      <c r="K1106" s="38" t="s">
        <v>4085</v>
      </c>
      <c r="L1106" s="30" t="s">
        <v>58</v>
      </c>
      <c r="M1106" s="38" t="s">
        <v>48</v>
      </c>
      <c r="N1106" s="38" t="s">
        <v>48</v>
      </c>
      <c r="O1106" s="31" t="s">
        <v>566</v>
      </c>
      <c r="P1106" s="28" t="s">
        <v>567</v>
      </c>
      <c r="Q1106" s="38" t="s">
        <v>568</v>
      </c>
      <c r="R1106" s="38">
        <v>1</v>
      </c>
      <c r="S1106" s="38" t="s">
        <v>68</v>
      </c>
      <c r="T1106" s="38" t="s">
        <v>53</v>
      </c>
      <c r="U1106" s="38" t="s">
        <v>54</v>
      </c>
      <c r="V1106" s="38" t="s">
        <v>61</v>
      </c>
      <c r="Y1106" s="38"/>
      <c r="Z1106" s="38">
        <v>1</v>
      </c>
      <c r="AF1106" s="38"/>
      <c r="AI1106" s="38">
        <v>3</v>
      </c>
      <c r="AJ1106" s="38">
        <v>5</v>
      </c>
      <c r="AK1106" s="14">
        <f t="shared" si="5"/>
        <v>0.6</v>
      </c>
      <c r="AM1106" s="38"/>
      <c r="AO1106" s="28"/>
    </row>
    <row r="1107" spans="1:41" ht="12.5">
      <c r="A1107" s="28" t="s">
        <v>4086</v>
      </c>
      <c r="B1107" s="37">
        <v>45779</v>
      </c>
      <c r="C1107" s="29">
        <v>45784</v>
      </c>
      <c r="D1107" s="38" t="s">
        <v>41</v>
      </c>
      <c r="E1107" s="38" t="s">
        <v>4087</v>
      </c>
      <c r="G1107" s="38" t="s">
        <v>43</v>
      </c>
      <c r="H1107" s="38">
        <v>11.82</v>
      </c>
      <c r="I1107" s="38" t="s">
        <v>44</v>
      </c>
      <c r="J1107" s="38" t="s">
        <v>45</v>
      </c>
      <c r="K1107" s="38" t="s">
        <v>4088</v>
      </c>
      <c r="L1107" s="30" t="s">
        <v>47</v>
      </c>
      <c r="M1107" s="38" t="s">
        <v>48</v>
      </c>
      <c r="N1107" s="38" t="s">
        <v>48</v>
      </c>
      <c r="O1107" s="31" t="s">
        <v>566</v>
      </c>
      <c r="P1107" s="28" t="s">
        <v>567</v>
      </c>
      <c r="Q1107" s="38" t="s">
        <v>568</v>
      </c>
      <c r="R1107" s="38">
        <v>1</v>
      </c>
      <c r="S1107" s="38" t="s">
        <v>99</v>
      </c>
      <c r="T1107" s="38" t="s">
        <v>53</v>
      </c>
      <c r="U1107" s="38" t="s">
        <v>54</v>
      </c>
      <c r="V1107" s="38" t="s">
        <v>560</v>
      </c>
      <c r="Y1107" s="38">
        <v>131.53</v>
      </c>
      <c r="Z1107" s="38">
        <v>1</v>
      </c>
      <c r="AF1107" s="38">
        <v>116.58</v>
      </c>
      <c r="AK1107" s="14" t="e">
        <f t="shared" si="5"/>
        <v>#DIV/0!</v>
      </c>
      <c r="AM1107" s="38"/>
      <c r="AO1107" s="28" t="s">
        <v>4089</v>
      </c>
    </row>
    <row r="1108" spans="1:41" ht="12.5">
      <c r="A1108" s="28" t="s">
        <v>4090</v>
      </c>
      <c r="B1108" s="37">
        <v>45775</v>
      </c>
      <c r="C1108" s="29">
        <v>45782</v>
      </c>
      <c r="D1108" s="38" t="s">
        <v>41</v>
      </c>
      <c r="E1108" s="38" t="s">
        <v>4091</v>
      </c>
      <c r="G1108" s="38" t="s">
        <v>43</v>
      </c>
      <c r="H1108" s="38">
        <v>11.82</v>
      </c>
      <c r="I1108" s="38" t="s">
        <v>44</v>
      </c>
      <c r="J1108" s="38" t="s">
        <v>45</v>
      </c>
      <c r="K1108" s="38" t="s">
        <v>4092</v>
      </c>
      <c r="L1108" s="30" t="s">
        <v>47</v>
      </c>
      <c r="M1108" s="38" t="s">
        <v>48</v>
      </c>
      <c r="N1108" s="38" t="s">
        <v>48</v>
      </c>
      <c r="O1108" s="31" t="s">
        <v>566</v>
      </c>
      <c r="P1108" s="28" t="s">
        <v>567</v>
      </c>
      <c r="Q1108" s="38" t="s">
        <v>568</v>
      </c>
      <c r="R1108" s="38">
        <v>1</v>
      </c>
      <c r="S1108" s="38" t="s">
        <v>92</v>
      </c>
      <c r="T1108" s="38" t="s">
        <v>53</v>
      </c>
      <c r="U1108" s="38" t="s">
        <v>54</v>
      </c>
      <c r="V1108" s="38" t="s">
        <v>61</v>
      </c>
      <c r="Y1108" s="38">
        <v>132.58000000000001</v>
      </c>
      <c r="Z1108" s="38">
        <v>1</v>
      </c>
      <c r="AF1108" s="38">
        <v>132.58000000000001</v>
      </c>
      <c r="AK1108" s="14" t="e">
        <f t="shared" si="5"/>
        <v>#DIV/0!</v>
      </c>
      <c r="AM1108" s="38"/>
      <c r="AO1108" s="28"/>
    </row>
    <row r="1109" spans="1:41" ht="12.5">
      <c r="A1109" s="28" t="s">
        <v>4093</v>
      </c>
      <c r="B1109" s="37">
        <v>45785</v>
      </c>
      <c r="C1109" s="29">
        <v>45789</v>
      </c>
      <c r="D1109" s="38" t="s">
        <v>41</v>
      </c>
      <c r="E1109" s="38" t="s">
        <v>4094</v>
      </c>
      <c r="G1109" s="38" t="s">
        <v>43</v>
      </c>
      <c r="H1109" s="38">
        <v>11.17</v>
      </c>
      <c r="I1109" s="38" t="s">
        <v>44</v>
      </c>
      <c r="J1109" s="38" t="s">
        <v>45</v>
      </c>
      <c r="K1109" s="38" t="s">
        <v>4095</v>
      </c>
      <c r="L1109" s="30" t="s">
        <v>58</v>
      </c>
      <c r="M1109" s="38" t="s">
        <v>48</v>
      </c>
      <c r="N1109" s="38" t="s">
        <v>48</v>
      </c>
      <c r="O1109" s="31" t="s">
        <v>1366</v>
      </c>
      <c r="P1109" s="28" t="s">
        <v>1367</v>
      </c>
      <c r="Q1109" s="38" t="s">
        <v>1368</v>
      </c>
      <c r="R1109" s="38">
        <v>1</v>
      </c>
      <c r="S1109" s="38" t="s">
        <v>59</v>
      </c>
      <c r="T1109" s="38" t="s">
        <v>53</v>
      </c>
      <c r="U1109" s="38" t="s">
        <v>60</v>
      </c>
      <c r="V1109" s="38" t="s">
        <v>55</v>
      </c>
      <c r="Y1109" s="38">
        <v>106.35</v>
      </c>
      <c r="Z1109" s="38">
        <v>1</v>
      </c>
      <c r="AF1109" s="38">
        <v>95.18</v>
      </c>
      <c r="AI1109" s="38">
        <v>2</v>
      </c>
      <c r="AJ1109" s="38">
        <v>1</v>
      </c>
      <c r="AK1109" s="14">
        <f t="shared" si="5"/>
        <v>2</v>
      </c>
      <c r="AM1109" s="38"/>
      <c r="AO1109" s="28"/>
    </row>
    <row r="1110" spans="1:41" ht="12.5">
      <c r="A1110" s="28" t="s">
        <v>4096</v>
      </c>
      <c r="B1110" s="37">
        <v>45773</v>
      </c>
      <c r="C1110" s="29">
        <v>45782</v>
      </c>
      <c r="D1110" s="38" t="s">
        <v>41</v>
      </c>
      <c r="E1110" s="38" t="s">
        <v>4097</v>
      </c>
      <c r="G1110" s="38" t="s">
        <v>43</v>
      </c>
      <c r="H1110" s="38">
        <v>11.17</v>
      </c>
      <c r="I1110" s="38" t="s">
        <v>44</v>
      </c>
      <c r="J1110" s="38" t="s">
        <v>45</v>
      </c>
      <c r="K1110" s="38" t="s">
        <v>4098</v>
      </c>
      <c r="L1110" s="30" t="s">
        <v>47</v>
      </c>
      <c r="M1110" s="38" t="s">
        <v>48</v>
      </c>
      <c r="N1110" s="38" t="s">
        <v>48</v>
      </c>
      <c r="O1110" s="31" t="s">
        <v>1366</v>
      </c>
      <c r="P1110" s="28" t="s">
        <v>1367</v>
      </c>
      <c r="Q1110" s="38" t="s">
        <v>1368</v>
      </c>
      <c r="R1110" s="38">
        <v>1</v>
      </c>
      <c r="S1110" s="50" t="s">
        <v>421</v>
      </c>
      <c r="T1110" s="38" t="s">
        <v>53</v>
      </c>
      <c r="U1110" s="38" t="s">
        <v>54</v>
      </c>
      <c r="V1110" s="38" t="s">
        <v>61</v>
      </c>
      <c r="Y1110" s="38">
        <v>106.21</v>
      </c>
      <c r="Z1110" s="38">
        <v>1</v>
      </c>
      <c r="AF1110" s="38"/>
      <c r="AK1110" s="14" t="e">
        <f t="shared" si="5"/>
        <v>#DIV/0!</v>
      </c>
      <c r="AM1110" s="38"/>
      <c r="AO1110" s="28" t="s">
        <v>4099</v>
      </c>
    </row>
    <row r="1111" spans="1:41" ht="12.5">
      <c r="A1111" s="28" t="s">
        <v>4100</v>
      </c>
      <c r="B1111" s="37">
        <v>45785</v>
      </c>
      <c r="C1111" s="29">
        <v>45787</v>
      </c>
      <c r="D1111" s="38" t="s">
        <v>41</v>
      </c>
      <c r="E1111" s="38" t="s">
        <v>4101</v>
      </c>
      <c r="G1111" s="38" t="s">
        <v>43</v>
      </c>
      <c r="H1111" s="38">
        <v>14.53</v>
      </c>
      <c r="I1111" s="38" t="s">
        <v>44</v>
      </c>
      <c r="J1111" s="38" t="s">
        <v>45</v>
      </c>
      <c r="K1111" s="38" t="s">
        <v>4102</v>
      </c>
      <c r="L1111" s="30" t="s">
        <v>47</v>
      </c>
      <c r="M1111" s="38" t="s">
        <v>48</v>
      </c>
      <c r="N1111" s="38" t="s">
        <v>48</v>
      </c>
      <c r="O1111" s="31" t="s">
        <v>593</v>
      </c>
      <c r="P1111" s="28" t="s">
        <v>594</v>
      </c>
      <c r="Q1111" s="38" t="s">
        <v>1952</v>
      </c>
      <c r="R1111" s="38">
        <v>1</v>
      </c>
      <c r="S1111" s="38" t="s">
        <v>82</v>
      </c>
      <c r="T1111" s="38" t="s">
        <v>53</v>
      </c>
      <c r="U1111" s="38" t="s">
        <v>54</v>
      </c>
      <c r="V1111" s="38" t="s">
        <v>560</v>
      </c>
      <c r="Y1111" s="38">
        <v>102.64</v>
      </c>
      <c r="Z1111" s="38">
        <v>1</v>
      </c>
      <c r="AF1111" s="38"/>
      <c r="AI1111" s="38">
        <v>1</v>
      </c>
      <c r="AJ1111" s="38">
        <v>2</v>
      </c>
      <c r="AK1111" s="14">
        <f t="shared" si="5"/>
        <v>0.5</v>
      </c>
      <c r="AM1111" s="38"/>
      <c r="AO1111" s="28"/>
    </row>
    <row r="1112" spans="1:41" ht="12.5">
      <c r="A1112" s="28" t="s">
        <v>4103</v>
      </c>
      <c r="B1112" s="37">
        <v>45776</v>
      </c>
      <c r="C1112" s="29">
        <v>45787</v>
      </c>
      <c r="D1112" s="38" t="s">
        <v>41</v>
      </c>
      <c r="E1112" s="38" t="s">
        <v>4104</v>
      </c>
      <c r="G1112" s="38" t="s">
        <v>43</v>
      </c>
      <c r="H1112" s="38">
        <v>10.08</v>
      </c>
      <c r="I1112" s="38" t="s">
        <v>44</v>
      </c>
      <c r="J1112" s="38" t="s">
        <v>45</v>
      </c>
      <c r="K1112" s="38" t="s">
        <v>4105</v>
      </c>
      <c r="L1112" s="30" t="s">
        <v>58</v>
      </c>
      <c r="M1112" s="38" t="s">
        <v>48</v>
      </c>
      <c r="N1112" s="38" t="s">
        <v>48</v>
      </c>
      <c r="O1112" s="31" t="s">
        <v>3807</v>
      </c>
      <c r="P1112" s="28" t="s">
        <v>3808</v>
      </c>
      <c r="Q1112" s="38" t="s">
        <v>3809</v>
      </c>
      <c r="R1112" s="38">
        <v>1</v>
      </c>
      <c r="S1112" s="38" t="s">
        <v>3868</v>
      </c>
      <c r="T1112" s="38" t="s">
        <v>53</v>
      </c>
      <c r="U1112" s="38" t="s">
        <v>54</v>
      </c>
      <c r="V1112" s="38" t="s">
        <v>61</v>
      </c>
      <c r="Y1112" s="38">
        <v>175.41</v>
      </c>
      <c r="Z1112" s="38">
        <v>1</v>
      </c>
      <c r="AF1112" s="38"/>
      <c r="AI1112" s="38">
        <v>1</v>
      </c>
      <c r="AJ1112" s="38">
        <v>0</v>
      </c>
      <c r="AK1112" s="14" t="e">
        <f t="shared" si="5"/>
        <v>#DIV/0!</v>
      </c>
      <c r="AM1112" s="38"/>
      <c r="AO1112" s="28"/>
    </row>
    <row r="1113" spans="1:41" ht="12.5">
      <c r="A1113" s="28" t="s">
        <v>4106</v>
      </c>
      <c r="B1113" s="37">
        <v>45780</v>
      </c>
      <c r="C1113" s="29">
        <v>45787</v>
      </c>
      <c r="D1113" s="38" t="s">
        <v>41</v>
      </c>
      <c r="E1113" s="38" t="s">
        <v>4107</v>
      </c>
      <c r="G1113" s="38" t="s">
        <v>43</v>
      </c>
      <c r="H1113" s="38">
        <v>12.27</v>
      </c>
      <c r="I1113" s="38" t="s">
        <v>44</v>
      </c>
      <c r="J1113" s="38" t="s">
        <v>45</v>
      </c>
      <c r="K1113" s="38" t="s">
        <v>4108</v>
      </c>
      <c r="L1113" s="30" t="s">
        <v>47</v>
      </c>
      <c r="M1113" s="38" t="s">
        <v>48</v>
      </c>
      <c r="N1113" s="38" t="s">
        <v>48</v>
      </c>
      <c r="O1113" s="31" t="s">
        <v>3217</v>
      </c>
      <c r="P1113" s="28" t="s">
        <v>3218</v>
      </c>
      <c r="Q1113" s="38" t="s">
        <v>3219</v>
      </c>
      <c r="R1113" s="38">
        <v>1</v>
      </c>
      <c r="S1113" s="38" t="s">
        <v>92</v>
      </c>
      <c r="T1113" s="38" t="s">
        <v>53</v>
      </c>
      <c r="U1113" s="38" t="s">
        <v>54</v>
      </c>
      <c r="V1113" s="38" t="s">
        <v>55</v>
      </c>
      <c r="Y1113" s="38">
        <v>73.2</v>
      </c>
      <c r="Z1113" s="38">
        <v>1</v>
      </c>
      <c r="AF1113" s="38">
        <v>73.2</v>
      </c>
      <c r="AI1113" s="38">
        <v>1</v>
      </c>
      <c r="AJ1113" s="38">
        <v>1</v>
      </c>
      <c r="AK1113" s="14">
        <f t="shared" si="5"/>
        <v>1</v>
      </c>
      <c r="AM1113" s="38"/>
      <c r="AO1113" s="51" t="s">
        <v>4109</v>
      </c>
    </row>
    <row r="1114" spans="1:41" ht="12.5">
      <c r="A1114" s="28" t="s">
        <v>4110</v>
      </c>
      <c r="B1114" s="37">
        <v>45782</v>
      </c>
      <c r="C1114" s="29">
        <v>45787</v>
      </c>
      <c r="D1114" s="38" t="s">
        <v>41</v>
      </c>
      <c r="E1114" s="38" t="s">
        <v>4111</v>
      </c>
      <c r="G1114" s="38" t="s">
        <v>43</v>
      </c>
      <c r="H1114" s="38">
        <v>10.44</v>
      </c>
      <c r="I1114" s="38" t="s">
        <v>44</v>
      </c>
      <c r="J1114" s="38" t="s">
        <v>45</v>
      </c>
      <c r="K1114" s="38" t="s">
        <v>4112</v>
      </c>
      <c r="L1114" s="30" t="s">
        <v>58</v>
      </c>
      <c r="M1114" s="38" t="s">
        <v>48</v>
      </c>
      <c r="N1114" s="38" t="s">
        <v>48</v>
      </c>
      <c r="O1114" s="31" t="s">
        <v>1659</v>
      </c>
      <c r="P1114" s="28" t="s">
        <v>1660</v>
      </c>
      <c r="Q1114" s="38" t="s">
        <v>3533</v>
      </c>
      <c r="R1114" s="38">
        <v>1</v>
      </c>
      <c r="S1114" s="38" t="s">
        <v>3878</v>
      </c>
      <c r="T1114" s="38" t="s">
        <v>53</v>
      </c>
      <c r="U1114" s="38" t="s">
        <v>54</v>
      </c>
      <c r="V1114" s="38" t="s">
        <v>61</v>
      </c>
      <c r="Y1114" s="38">
        <v>71.88</v>
      </c>
      <c r="Z1114" s="38">
        <v>1</v>
      </c>
      <c r="AF1114" s="38"/>
      <c r="AI1114" s="38">
        <v>2</v>
      </c>
      <c r="AJ1114" s="38">
        <v>16</v>
      </c>
      <c r="AK1114" s="14">
        <f t="shared" si="5"/>
        <v>0.125</v>
      </c>
      <c r="AM1114" s="38"/>
      <c r="AO1114" s="28"/>
    </row>
    <row r="1115" spans="1:41" ht="12.5">
      <c r="A1115" s="28" t="s">
        <v>4113</v>
      </c>
      <c r="B1115" s="37">
        <v>45764</v>
      </c>
      <c r="C1115" s="29">
        <v>45778</v>
      </c>
      <c r="D1115" s="38" t="s">
        <v>41</v>
      </c>
      <c r="E1115" s="38" t="s">
        <v>4114</v>
      </c>
      <c r="G1115" s="38" t="s">
        <v>43</v>
      </c>
      <c r="H1115" s="38">
        <v>10.46</v>
      </c>
      <c r="I1115" s="38" t="s">
        <v>44</v>
      </c>
      <c r="J1115" s="38" t="s">
        <v>45</v>
      </c>
      <c r="K1115" s="38" t="s">
        <v>4115</v>
      </c>
      <c r="L1115" s="30" t="s">
        <v>47</v>
      </c>
      <c r="M1115" s="38" t="s">
        <v>48</v>
      </c>
      <c r="N1115" s="38" t="s">
        <v>48</v>
      </c>
      <c r="O1115" s="31" t="s">
        <v>1659</v>
      </c>
      <c r="P1115" s="28" t="s">
        <v>1660</v>
      </c>
      <c r="Q1115" s="38" t="s">
        <v>3533</v>
      </c>
      <c r="R1115" s="38">
        <v>1</v>
      </c>
      <c r="S1115" s="38" t="s">
        <v>99</v>
      </c>
      <c r="T1115" s="38" t="s">
        <v>53</v>
      </c>
      <c r="U1115" s="38" t="s">
        <v>54</v>
      </c>
      <c r="V1115" s="38" t="s">
        <v>55</v>
      </c>
      <c r="Y1115" s="38">
        <v>70.900000000000006</v>
      </c>
      <c r="Z1115" s="38">
        <v>1</v>
      </c>
      <c r="AF1115" s="38">
        <v>70.900000000000006</v>
      </c>
      <c r="AK1115" s="14" t="e">
        <f t="shared" si="5"/>
        <v>#DIV/0!</v>
      </c>
      <c r="AM1115" s="38"/>
      <c r="AO1115" s="28"/>
    </row>
    <row r="1116" spans="1:41" ht="12.5">
      <c r="A1116" s="28" t="s">
        <v>4116</v>
      </c>
      <c r="B1116" s="37">
        <v>45784</v>
      </c>
      <c r="C1116" s="29">
        <v>45792</v>
      </c>
      <c r="D1116" s="38" t="s">
        <v>41</v>
      </c>
      <c r="E1116" s="38" t="s">
        <v>4117</v>
      </c>
      <c r="G1116" s="38" t="s">
        <v>43</v>
      </c>
      <c r="H1116" s="38">
        <v>13.65</v>
      </c>
      <c r="I1116" s="38" t="s">
        <v>44</v>
      </c>
      <c r="J1116" s="38" t="s">
        <v>45</v>
      </c>
      <c r="K1116" s="38" t="s">
        <v>4118</v>
      </c>
      <c r="L1116" s="30" t="s">
        <v>47</v>
      </c>
      <c r="M1116" s="38" t="s">
        <v>48</v>
      </c>
      <c r="N1116" s="38" t="s">
        <v>48</v>
      </c>
      <c r="O1116" s="31" t="s">
        <v>2707</v>
      </c>
      <c r="P1116" s="28" t="s">
        <v>2708</v>
      </c>
      <c r="Q1116" s="38" t="s">
        <v>2709</v>
      </c>
      <c r="R1116" s="38">
        <v>1</v>
      </c>
      <c r="S1116" s="38" t="s">
        <v>52</v>
      </c>
      <c r="T1116" s="38" t="s">
        <v>53</v>
      </c>
      <c r="U1116" s="38" t="s">
        <v>54</v>
      </c>
      <c r="V1116" s="38" t="s">
        <v>61</v>
      </c>
      <c r="Y1116" s="38">
        <v>105.14</v>
      </c>
      <c r="Z1116" s="38">
        <v>1</v>
      </c>
      <c r="AF1116" s="38"/>
      <c r="AI1116" s="38">
        <v>2</v>
      </c>
      <c r="AJ1116" s="38">
        <v>3</v>
      </c>
      <c r="AK1116" s="14">
        <f t="shared" si="5"/>
        <v>0.66666666666666663</v>
      </c>
      <c r="AM1116" s="38"/>
      <c r="AO1116" s="51" t="s">
        <v>4119</v>
      </c>
    </row>
    <row r="1117" spans="1:41" ht="12.5">
      <c r="A1117" s="28" t="s">
        <v>4120</v>
      </c>
      <c r="B1117" s="37">
        <v>45777</v>
      </c>
      <c r="C1117" s="29">
        <v>45785</v>
      </c>
      <c r="D1117" s="38" t="s">
        <v>41</v>
      </c>
      <c r="E1117" s="38" t="s">
        <v>4121</v>
      </c>
      <c r="G1117" s="38" t="s">
        <v>43</v>
      </c>
      <c r="H1117" s="38">
        <v>13.65</v>
      </c>
      <c r="I1117" s="38" t="s">
        <v>44</v>
      </c>
      <c r="J1117" s="38" t="s">
        <v>45</v>
      </c>
      <c r="K1117" s="38" t="s">
        <v>4122</v>
      </c>
      <c r="L1117" s="30" t="s">
        <v>47</v>
      </c>
      <c r="M1117" s="38" t="s">
        <v>48</v>
      </c>
      <c r="N1117" s="38" t="s">
        <v>48</v>
      </c>
      <c r="O1117" s="31" t="s">
        <v>2707</v>
      </c>
      <c r="P1117" s="28" t="s">
        <v>2708</v>
      </c>
      <c r="Q1117" s="38" t="s">
        <v>2709</v>
      </c>
      <c r="R1117" s="38">
        <v>1</v>
      </c>
      <c r="S1117" s="38" t="s">
        <v>92</v>
      </c>
      <c r="T1117" s="38" t="s">
        <v>53</v>
      </c>
      <c r="U1117" s="38" t="s">
        <v>54</v>
      </c>
      <c r="V1117" s="38" t="s">
        <v>61</v>
      </c>
      <c r="Y1117" s="38">
        <v>102.53</v>
      </c>
      <c r="Z1117" s="38">
        <v>1</v>
      </c>
      <c r="AF1117" s="38"/>
      <c r="AK1117" s="14" t="e">
        <f t="shared" si="5"/>
        <v>#DIV/0!</v>
      </c>
      <c r="AM1117" s="38"/>
      <c r="AO1117" s="51" t="s">
        <v>4123</v>
      </c>
    </row>
    <row r="1118" spans="1:41" ht="12.5">
      <c r="A1118" s="28"/>
      <c r="B1118" s="37"/>
      <c r="C1118" s="29"/>
      <c r="D1118" s="38"/>
      <c r="E1118" s="38"/>
      <c r="G1118" s="38"/>
      <c r="H1118" s="38"/>
      <c r="I1118" s="38"/>
      <c r="J1118" s="38"/>
      <c r="K1118" s="38"/>
      <c r="L1118" s="30"/>
      <c r="M1118" s="38"/>
      <c r="N1118" s="38"/>
      <c r="O1118" s="31"/>
      <c r="P1118" s="28"/>
      <c r="Q1118" s="38"/>
      <c r="R1118" s="38"/>
      <c r="S1118" s="38"/>
      <c r="T1118" s="38"/>
      <c r="U1118" s="38"/>
      <c r="V1118" s="38"/>
      <c r="Y1118" s="38"/>
      <c r="Z1118" s="38"/>
      <c r="AF1118" s="38"/>
      <c r="AK1118" s="14" t="e">
        <f t="shared" si="5"/>
        <v>#DIV/0!</v>
      </c>
      <c r="AM1118" s="38"/>
      <c r="AO1118" s="28"/>
    </row>
    <row r="1119" spans="1:41" ht="12.5">
      <c r="A1119" s="28" t="s">
        <v>4124</v>
      </c>
      <c r="B1119" s="37">
        <v>45796</v>
      </c>
      <c r="C1119" s="29">
        <v>45800</v>
      </c>
      <c r="D1119" s="38" t="s">
        <v>41</v>
      </c>
      <c r="E1119" s="38" t="s">
        <v>4125</v>
      </c>
      <c r="G1119" s="38" t="s">
        <v>43</v>
      </c>
      <c r="H1119" s="38">
        <v>7.36</v>
      </c>
      <c r="I1119" s="38" t="s">
        <v>44</v>
      </c>
      <c r="J1119" s="38" t="s">
        <v>45</v>
      </c>
      <c r="K1119" s="38" t="s">
        <v>4126</v>
      </c>
      <c r="L1119" s="30" t="s">
        <v>58</v>
      </c>
      <c r="M1119" s="38" t="s">
        <v>48</v>
      </c>
      <c r="N1119" s="38" t="s">
        <v>48</v>
      </c>
      <c r="O1119" s="31" t="s">
        <v>3244</v>
      </c>
      <c r="P1119" s="28" t="s">
        <v>3245</v>
      </c>
      <c r="Q1119" s="38" t="s">
        <v>3246</v>
      </c>
      <c r="R1119" s="38">
        <v>1</v>
      </c>
      <c r="S1119" s="38" t="s">
        <v>59</v>
      </c>
      <c r="T1119" s="38" t="s">
        <v>53</v>
      </c>
      <c r="U1119" s="38" t="s">
        <v>54</v>
      </c>
      <c r="V1119" s="38" t="s">
        <v>55</v>
      </c>
      <c r="Y1119" s="38">
        <v>41.11</v>
      </c>
      <c r="Z1119" s="38">
        <v>1</v>
      </c>
      <c r="AF1119" s="38">
        <v>33.75</v>
      </c>
      <c r="AI1119" s="38">
        <v>2</v>
      </c>
      <c r="AJ1119" s="38">
        <v>9</v>
      </c>
      <c r="AK1119" s="14">
        <f t="shared" si="5"/>
        <v>0.22222222222222221</v>
      </c>
      <c r="AM1119" s="38"/>
      <c r="AO1119" s="28"/>
    </row>
    <row r="1120" spans="1:41" ht="12.5">
      <c r="A1120" s="28" t="s">
        <v>4127</v>
      </c>
      <c r="B1120" s="37">
        <v>45791</v>
      </c>
      <c r="C1120" s="29">
        <v>45798</v>
      </c>
      <c r="D1120" s="38" t="s">
        <v>41</v>
      </c>
      <c r="E1120" s="38" t="s">
        <v>4128</v>
      </c>
      <c r="G1120" s="38" t="s">
        <v>43</v>
      </c>
      <c r="H1120" s="38">
        <v>7.36</v>
      </c>
      <c r="I1120" s="38" t="s">
        <v>44</v>
      </c>
      <c r="J1120" s="38" t="s">
        <v>45</v>
      </c>
      <c r="K1120" s="38" t="s">
        <v>4129</v>
      </c>
      <c r="L1120" s="30" t="s">
        <v>58</v>
      </c>
      <c r="M1120" s="38" t="s">
        <v>48</v>
      </c>
      <c r="N1120" s="38" t="s">
        <v>48</v>
      </c>
      <c r="O1120" s="31" t="s">
        <v>3244</v>
      </c>
      <c r="P1120" s="28" t="s">
        <v>3245</v>
      </c>
      <c r="Q1120" s="38" t="s">
        <v>3246</v>
      </c>
      <c r="R1120" s="38">
        <v>1</v>
      </c>
      <c r="S1120" s="38" t="s">
        <v>68</v>
      </c>
      <c r="T1120" s="38" t="s">
        <v>53</v>
      </c>
      <c r="U1120" s="38" t="s">
        <v>54</v>
      </c>
      <c r="V1120" s="38" t="s">
        <v>55</v>
      </c>
      <c r="Y1120" s="38">
        <v>40.26</v>
      </c>
      <c r="Z1120" s="38">
        <v>1</v>
      </c>
      <c r="AF1120" s="38">
        <v>32.9</v>
      </c>
      <c r="AK1120" s="14" t="e">
        <f t="shared" si="5"/>
        <v>#DIV/0!</v>
      </c>
      <c r="AM1120" s="38"/>
      <c r="AO1120" s="28"/>
    </row>
    <row r="1121" spans="1:41" ht="12.5">
      <c r="A1121" s="28" t="s">
        <v>4130</v>
      </c>
      <c r="B1121" s="37">
        <v>45789</v>
      </c>
      <c r="C1121" s="29">
        <v>45794</v>
      </c>
      <c r="D1121" s="38" t="s">
        <v>41</v>
      </c>
      <c r="E1121" s="38" t="s">
        <v>4131</v>
      </c>
      <c r="G1121" s="38" t="s">
        <v>43</v>
      </c>
      <c r="H1121" s="38">
        <v>14.12</v>
      </c>
      <c r="I1121" s="38" t="s">
        <v>44</v>
      </c>
      <c r="J1121" s="38" t="s">
        <v>45</v>
      </c>
      <c r="K1121" s="38" t="s">
        <v>4132</v>
      </c>
      <c r="L1121" s="30" t="s">
        <v>58</v>
      </c>
      <c r="M1121" s="38" t="s">
        <v>48</v>
      </c>
      <c r="N1121" s="38" t="s">
        <v>48</v>
      </c>
      <c r="O1121" s="31" t="s">
        <v>49</v>
      </c>
      <c r="P1121" s="28" t="s">
        <v>50</v>
      </c>
      <c r="Q1121" s="38" t="s">
        <v>51</v>
      </c>
      <c r="R1121" s="38">
        <v>1</v>
      </c>
      <c r="S1121" s="38" t="s">
        <v>3868</v>
      </c>
      <c r="T1121" s="38" t="s">
        <v>53</v>
      </c>
      <c r="U1121" s="38" t="s">
        <v>54</v>
      </c>
      <c r="V1121" s="38" t="s">
        <v>55</v>
      </c>
      <c r="Y1121" s="38">
        <v>97.31</v>
      </c>
      <c r="Z1121" s="38">
        <v>1</v>
      </c>
      <c r="AF1121" s="38">
        <v>83.19</v>
      </c>
      <c r="AI1121" s="38">
        <v>1</v>
      </c>
      <c r="AJ1121" s="38">
        <v>6</v>
      </c>
      <c r="AK1121" s="14">
        <f t="shared" si="5"/>
        <v>0.16666666666666666</v>
      </c>
      <c r="AM1121" s="38"/>
      <c r="AO1121" s="28"/>
    </row>
    <row r="1122" spans="1:41" ht="12.5">
      <c r="A1122" s="28" t="s">
        <v>4133</v>
      </c>
      <c r="B1122" s="37">
        <v>45800</v>
      </c>
      <c r="C1122" s="29">
        <v>45807</v>
      </c>
      <c r="D1122" s="38" t="s">
        <v>41</v>
      </c>
      <c r="E1122" s="38" t="s">
        <v>4134</v>
      </c>
      <c r="G1122" s="38" t="s">
        <v>43</v>
      </c>
      <c r="H1122" s="38">
        <v>10.44</v>
      </c>
      <c r="I1122" s="38" t="s">
        <v>44</v>
      </c>
      <c r="J1122" s="38" t="s">
        <v>45</v>
      </c>
      <c r="K1122" s="38" t="s">
        <v>4135</v>
      </c>
      <c r="L1122" s="30" t="s">
        <v>58</v>
      </c>
      <c r="M1122" s="38" t="s">
        <v>48</v>
      </c>
      <c r="N1122" s="38" t="s">
        <v>48</v>
      </c>
      <c r="O1122" s="31" t="s">
        <v>65</v>
      </c>
      <c r="P1122" s="28" t="s">
        <v>66</v>
      </c>
      <c r="Q1122" s="38" t="s">
        <v>67</v>
      </c>
      <c r="R1122" s="38">
        <v>1</v>
      </c>
      <c r="S1122" s="38" t="s">
        <v>75</v>
      </c>
      <c r="T1122" s="38" t="s">
        <v>53</v>
      </c>
      <c r="U1122" s="38" t="s">
        <v>54</v>
      </c>
      <c r="V1122" s="38" t="s">
        <v>55</v>
      </c>
      <c r="Y1122" s="38">
        <v>76.959999999999994</v>
      </c>
      <c r="Z1122" s="38">
        <v>1</v>
      </c>
      <c r="AF1122" s="38">
        <v>66.52</v>
      </c>
      <c r="AI1122" s="38">
        <v>1</v>
      </c>
      <c r="AJ1122" s="38">
        <v>3</v>
      </c>
      <c r="AK1122" s="14">
        <f t="shared" si="5"/>
        <v>0.33333333333333331</v>
      </c>
      <c r="AM1122" s="38"/>
      <c r="AO1122" s="28"/>
    </row>
    <row r="1123" spans="1:41" ht="12.5">
      <c r="A1123" s="28" t="s">
        <v>4136</v>
      </c>
      <c r="B1123" s="37">
        <v>45804</v>
      </c>
      <c r="C1123" s="29">
        <v>45808</v>
      </c>
      <c r="D1123" s="38" t="s">
        <v>41</v>
      </c>
      <c r="E1123" s="38" t="s">
        <v>4137</v>
      </c>
      <c r="G1123" s="38" t="s">
        <v>43</v>
      </c>
      <c r="H1123" s="38">
        <v>10.44</v>
      </c>
      <c r="I1123" s="38" t="s">
        <v>44</v>
      </c>
      <c r="J1123" s="38" t="s">
        <v>45</v>
      </c>
      <c r="K1123" s="38" t="s">
        <v>4138</v>
      </c>
      <c r="L1123" s="30" t="s">
        <v>47</v>
      </c>
      <c r="M1123" s="38" t="s">
        <v>48</v>
      </c>
      <c r="N1123" s="38" t="s">
        <v>48</v>
      </c>
      <c r="O1123" s="31" t="s">
        <v>3580</v>
      </c>
      <c r="P1123" s="28" t="s">
        <v>3581</v>
      </c>
      <c r="Q1123" s="38" t="s">
        <v>4139</v>
      </c>
      <c r="R1123" s="38">
        <v>1</v>
      </c>
      <c r="S1123" s="38" t="s">
        <v>421</v>
      </c>
      <c r="T1123" s="38" t="s">
        <v>53</v>
      </c>
      <c r="U1123" s="38" t="s">
        <v>54</v>
      </c>
      <c r="V1123" s="38" t="s">
        <v>560</v>
      </c>
      <c r="Y1123" s="38">
        <v>73.09</v>
      </c>
      <c r="Z1123" s="38">
        <v>1</v>
      </c>
      <c r="AF1123" s="38"/>
      <c r="AI1123" s="38">
        <v>1</v>
      </c>
      <c r="AJ1123" s="38">
        <v>9</v>
      </c>
      <c r="AK1123" s="14">
        <f t="shared" si="5"/>
        <v>0.1111111111111111</v>
      </c>
      <c r="AM1123" s="38"/>
      <c r="AO1123" s="28"/>
    </row>
    <row r="1124" spans="1:41" ht="12.5">
      <c r="A1124" s="28" t="s">
        <v>4140</v>
      </c>
      <c r="B1124" s="37">
        <v>45795</v>
      </c>
      <c r="C1124" s="29">
        <v>45803</v>
      </c>
      <c r="D1124" s="38" t="s">
        <v>41</v>
      </c>
      <c r="E1124" s="38" t="s">
        <v>4141</v>
      </c>
      <c r="G1124" s="38" t="s">
        <v>43</v>
      </c>
      <c r="H1124" s="38">
        <v>11.17</v>
      </c>
      <c r="I1124" s="38" t="s">
        <v>44</v>
      </c>
      <c r="J1124" s="38" t="s">
        <v>45</v>
      </c>
      <c r="K1124" s="38" t="s">
        <v>4142</v>
      </c>
      <c r="L1124" s="30" t="s">
        <v>47</v>
      </c>
      <c r="M1124" s="38" t="s">
        <v>48</v>
      </c>
      <c r="N1124" s="38" t="s">
        <v>48</v>
      </c>
      <c r="O1124" s="31" t="s">
        <v>72</v>
      </c>
      <c r="P1124" s="28" t="s">
        <v>73</v>
      </c>
      <c r="Q1124" s="38" t="s">
        <v>4143</v>
      </c>
      <c r="R1124" s="38">
        <v>1</v>
      </c>
      <c r="S1124" s="38" t="s">
        <v>82</v>
      </c>
      <c r="T1124" s="38" t="s">
        <v>53</v>
      </c>
      <c r="U1124" s="38" t="s">
        <v>54</v>
      </c>
      <c r="V1124" s="38" t="s">
        <v>560</v>
      </c>
      <c r="Y1124" s="38">
        <v>55.29</v>
      </c>
      <c r="Z1124" s="38">
        <v>1</v>
      </c>
      <c r="AF1124" s="38"/>
      <c r="AI1124" s="38">
        <v>1</v>
      </c>
      <c r="AJ1124" s="38">
        <v>8</v>
      </c>
      <c r="AK1124" s="14">
        <f t="shared" si="5"/>
        <v>0.125</v>
      </c>
      <c r="AM1124" s="38"/>
      <c r="AO1124" s="28"/>
    </row>
    <row r="1125" spans="1:41" ht="12.5">
      <c r="A1125" s="28" t="s">
        <v>4144</v>
      </c>
      <c r="B1125" s="37">
        <v>45787</v>
      </c>
      <c r="C1125" s="29">
        <v>45794</v>
      </c>
      <c r="D1125" s="38" t="s">
        <v>41</v>
      </c>
      <c r="E1125" s="38" t="s">
        <v>4145</v>
      </c>
      <c r="G1125" s="38" t="s">
        <v>43</v>
      </c>
      <c r="H1125" s="38">
        <v>11.17</v>
      </c>
      <c r="I1125" s="38" t="s">
        <v>44</v>
      </c>
      <c r="J1125" s="38" t="s">
        <v>45</v>
      </c>
      <c r="K1125" s="38" t="s">
        <v>4146</v>
      </c>
      <c r="L1125" s="30" t="s">
        <v>58</v>
      </c>
      <c r="M1125" s="38" t="s">
        <v>48</v>
      </c>
      <c r="N1125" s="38" t="s">
        <v>48</v>
      </c>
      <c r="O1125" s="31" t="s">
        <v>79</v>
      </c>
      <c r="P1125" s="28" t="s">
        <v>80</v>
      </c>
      <c r="Q1125" s="38" t="s">
        <v>81</v>
      </c>
      <c r="R1125" s="38">
        <v>1</v>
      </c>
      <c r="S1125" s="38" t="s">
        <v>3868</v>
      </c>
      <c r="T1125" s="38" t="s">
        <v>53</v>
      </c>
      <c r="U1125" s="38" t="s">
        <v>54</v>
      </c>
      <c r="V1125" s="38" t="s">
        <v>61</v>
      </c>
      <c r="Y1125" s="38">
        <v>56.24</v>
      </c>
      <c r="Z1125" s="38">
        <v>1</v>
      </c>
      <c r="AF1125" s="38"/>
      <c r="AI1125" s="38">
        <v>1</v>
      </c>
      <c r="AJ1125" s="38">
        <v>14</v>
      </c>
      <c r="AK1125" s="14">
        <f t="shared" si="5"/>
        <v>7.1428571428571425E-2</v>
      </c>
      <c r="AM1125" s="38"/>
      <c r="AO1125" s="28"/>
    </row>
    <row r="1126" spans="1:41" ht="12.5">
      <c r="A1126" s="28" t="s">
        <v>4147</v>
      </c>
      <c r="B1126" s="37">
        <v>45780</v>
      </c>
      <c r="C1126" s="29">
        <v>45806</v>
      </c>
      <c r="D1126" s="38" t="s">
        <v>41</v>
      </c>
      <c r="E1126" s="38" t="s">
        <v>4148</v>
      </c>
      <c r="G1126" s="38" t="s">
        <v>43</v>
      </c>
      <c r="H1126" s="38">
        <v>12.27</v>
      </c>
      <c r="I1126" s="38" t="s">
        <v>44</v>
      </c>
      <c r="J1126" s="38" t="s">
        <v>45</v>
      </c>
      <c r="K1126" s="38" t="s">
        <v>4149</v>
      </c>
      <c r="L1126" s="30" t="s">
        <v>58</v>
      </c>
      <c r="M1126" s="38" t="s">
        <v>48</v>
      </c>
      <c r="N1126" s="38" t="s">
        <v>48</v>
      </c>
      <c r="O1126" s="31" t="s">
        <v>96</v>
      </c>
      <c r="P1126" s="28" t="s">
        <v>97</v>
      </c>
      <c r="Q1126" s="38" t="s">
        <v>4150</v>
      </c>
      <c r="R1126" s="38">
        <v>1</v>
      </c>
      <c r="S1126" s="38" t="s">
        <v>3878</v>
      </c>
      <c r="T1126" s="38" t="s">
        <v>53</v>
      </c>
      <c r="U1126" s="38" t="s">
        <v>54</v>
      </c>
      <c r="V1126" s="38" t="s">
        <v>61</v>
      </c>
      <c r="Y1126" s="38">
        <v>80.73</v>
      </c>
      <c r="Z1126" s="38">
        <v>1</v>
      </c>
      <c r="AF1126" s="38"/>
      <c r="AI1126" s="38">
        <v>1</v>
      </c>
      <c r="AJ1126" s="38">
        <v>8</v>
      </c>
      <c r="AK1126" s="14">
        <f t="shared" si="5"/>
        <v>0.125</v>
      </c>
      <c r="AM1126" s="38"/>
      <c r="AO1126" s="28"/>
    </row>
    <row r="1127" spans="1:41" ht="12.5">
      <c r="A1127" s="28" t="s">
        <v>3875</v>
      </c>
      <c r="B1127" s="37">
        <v>45788</v>
      </c>
      <c r="C1127" s="29">
        <v>45798</v>
      </c>
      <c r="D1127" s="38" t="s">
        <v>41</v>
      </c>
      <c r="E1127" s="38" t="s">
        <v>4151</v>
      </c>
      <c r="G1127" s="38" t="s">
        <v>43</v>
      </c>
      <c r="H1127" s="38">
        <v>9.68</v>
      </c>
      <c r="I1127" s="38" t="s">
        <v>44</v>
      </c>
      <c r="J1127" s="38" t="s">
        <v>45</v>
      </c>
      <c r="K1127" s="38" t="s">
        <v>4152</v>
      </c>
      <c r="L1127" s="30" t="s">
        <v>58</v>
      </c>
      <c r="M1127" s="38" t="s">
        <v>48</v>
      </c>
      <c r="N1127" s="38" t="s">
        <v>48</v>
      </c>
      <c r="O1127" s="31" t="s">
        <v>972</v>
      </c>
      <c r="P1127" s="28" t="s">
        <v>973</v>
      </c>
      <c r="Q1127" s="38" t="s">
        <v>4153</v>
      </c>
      <c r="R1127" s="38">
        <v>1</v>
      </c>
      <c r="S1127" s="38" t="s">
        <v>3878</v>
      </c>
      <c r="T1127" s="38" t="s">
        <v>53</v>
      </c>
      <c r="U1127" s="38" t="s">
        <v>54</v>
      </c>
      <c r="V1127" s="38" t="s">
        <v>55</v>
      </c>
      <c r="Y1127" s="38">
        <v>57.61</v>
      </c>
      <c r="Z1127" s="38">
        <v>1</v>
      </c>
      <c r="AF1127" s="38">
        <v>47.93</v>
      </c>
      <c r="AI1127" s="38">
        <v>1</v>
      </c>
      <c r="AJ1127" s="38">
        <v>11</v>
      </c>
      <c r="AK1127" s="14">
        <f t="shared" si="5"/>
        <v>9.0909090909090912E-2</v>
      </c>
      <c r="AM1127" s="38"/>
      <c r="AO1127" s="28"/>
    </row>
    <row r="1128" spans="1:41" ht="12.5">
      <c r="A1128" s="28" t="s">
        <v>4154</v>
      </c>
      <c r="B1128" s="37">
        <v>45791</v>
      </c>
      <c r="C1128" s="29">
        <v>45799</v>
      </c>
      <c r="D1128" s="38" t="s">
        <v>41</v>
      </c>
      <c r="E1128" s="38" t="s">
        <v>4155</v>
      </c>
      <c r="G1128" s="38" t="s">
        <v>43</v>
      </c>
      <c r="H1128" s="38">
        <v>15.04</v>
      </c>
      <c r="I1128" s="38" t="s">
        <v>44</v>
      </c>
      <c r="J1128" s="38" t="s">
        <v>45</v>
      </c>
      <c r="K1128" s="38" t="s">
        <v>4156</v>
      </c>
      <c r="L1128" s="30" t="s">
        <v>47</v>
      </c>
      <c r="M1128" s="38" t="s">
        <v>48</v>
      </c>
      <c r="N1128" s="38" t="s">
        <v>48</v>
      </c>
      <c r="O1128" s="31" t="s">
        <v>103</v>
      </c>
      <c r="P1128" s="28" t="s">
        <v>104</v>
      </c>
      <c r="Q1128" s="38" t="s">
        <v>4157</v>
      </c>
      <c r="R1128" s="38">
        <v>1</v>
      </c>
      <c r="S1128" s="38" t="s">
        <v>99</v>
      </c>
      <c r="T1128" s="38" t="s">
        <v>53</v>
      </c>
      <c r="U1128" s="38" t="s">
        <v>54</v>
      </c>
      <c r="V1128" s="38" t="s">
        <v>55</v>
      </c>
      <c r="Y1128" s="38">
        <v>101.19</v>
      </c>
      <c r="Z1128" s="38">
        <v>1</v>
      </c>
      <c r="AF1128" s="38">
        <v>101.19</v>
      </c>
      <c r="AI1128" s="38">
        <v>2</v>
      </c>
      <c r="AJ1128" s="38">
        <v>1</v>
      </c>
      <c r="AK1128" s="14">
        <f t="shared" si="5"/>
        <v>2</v>
      </c>
      <c r="AM1128" s="38"/>
      <c r="AO1128" s="28"/>
    </row>
    <row r="1129" spans="1:41" ht="12.5">
      <c r="A1129" s="28" t="s">
        <v>4158</v>
      </c>
      <c r="B1129" s="37">
        <v>45791</v>
      </c>
      <c r="C1129" s="29">
        <v>45794</v>
      </c>
      <c r="D1129" s="38" t="s">
        <v>41</v>
      </c>
      <c r="E1129" s="38" t="s">
        <v>4159</v>
      </c>
      <c r="G1129" s="38" t="s">
        <v>43</v>
      </c>
      <c r="H1129" s="38">
        <v>6.31</v>
      </c>
      <c r="I1129" s="38" t="s">
        <v>44</v>
      </c>
      <c r="J1129" s="38" t="s">
        <v>45</v>
      </c>
      <c r="K1129" s="38" t="s">
        <v>4160</v>
      </c>
      <c r="L1129" s="30" t="s">
        <v>58</v>
      </c>
      <c r="M1129" s="38" t="s">
        <v>48</v>
      </c>
      <c r="N1129" s="38" t="s">
        <v>48</v>
      </c>
      <c r="O1129" s="31" t="s">
        <v>103</v>
      </c>
      <c r="P1129" s="28" t="s">
        <v>104</v>
      </c>
      <c r="Q1129" s="38" t="s">
        <v>105</v>
      </c>
      <c r="R1129" s="38">
        <v>1</v>
      </c>
      <c r="S1129" s="38" t="s">
        <v>59</v>
      </c>
      <c r="T1129" s="38" t="s">
        <v>53</v>
      </c>
      <c r="U1129" s="38" t="s">
        <v>54</v>
      </c>
      <c r="V1129" s="38" t="s">
        <v>55</v>
      </c>
      <c r="Y1129" s="38">
        <v>103.21</v>
      </c>
      <c r="Z1129" s="38">
        <v>1</v>
      </c>
      <c r="AF1129" s="38">
        <v>96.9</v>
      </c>
      <c r="AK1129" s="14" t="e">
        <f t="shared" si="5"/>
        <v>#DIV/0!</v>
      </c>
      <c r="AM1129" s="38"/>
      <c r="AO1129" s="28"/>
    </row>
    <row r="1130" spans="1:41" ht="12.5">
      <c r="A1130" s="28" t="s">
        <v>4161</v>
      </c>
      <c r="B1130" s="37">
        <v>45802</v>
      </c>
      <c r="C1130" s="29">
        <v>45808</v>
      </c>
      <c r="D1130" s="38" t="s">
        <v>41</v>
      </c>
      <c r="E1130" s="38" t="s">
        <v>4162</v>
      </c>
      <c r="G1130" s="38" t="s">
        <v>43</v>
      </c>
      <c r="H1130" s="38">
        <v>11.17</v>
      </c>
      <c r="I1130" s="38" t="s">
        <v>44</v>
      </c>
      <c r="J1130" s="38" t="s">
        <v>45</v>
      </c>
      <c r="K1130" s="38" t="s">
        <v>4163</v>
      </c>
      <c r="L1130" s="30" t="s">
        <v>47</v>
      </c>
      <c r="M1130" s="38" t="s">
        <v>48</v>
      </c>
      <c r="N1130" s="38" t="s">
        <v>48</v>
      </c>
      <c r="O1130" s="31" t="s">
        <v>1003</v>
      </c>
      <c r="P1130" s="28" t="s">
        <v>1004</v>
      </c>
      <c r="Q1130" s="38" t="s">
        <v>1005</v>
      </c>
      <c r="R1130" s="38">
        <v>1</v>
      </c>
      <c r="S1130" s="38" t="s">
        <v>99</v>
      </c>
      <c r="T1130" s="38" t="s">
        <v>53</v>
      </c>
      <c r="U1130" s="38" t="s">
        <v>54</v>
      </c>
      <c r="V1130" s="38" t="s">
        <v>55</v>
      </c>
      <c r="Y1130" s="38">
        <v>98.4</v>
      </c>
      <c r="Z1130" s="38">
        <v>1</v>
      </c>
      <c r="AF1130" s="38">
        <v>98.4</v>
      </c>
      <c r="AI1130" s="38">
        <v>3</v>
      </c>
      <c r="AJ1130" s="38">
        <v>3</v>
      </c>
      <c r="AK1130" s="14">
        <f t="shared" si="5"/>
        <v>1</v>
      </c>
      <c r="AM1130" s="38"/>
      <c r="AO1130" s="28"/>
    </row>
    <row r="1131" spans="1:41" ht="12.5">
      <c r="A1131" s="28" t="s">
        <v>4164</v>
      </c>
      <c r="B1131" s="37">
        <v>45786</v>
      </c>
      <c r="C1131" s="29">
        <v>45795</v>
      </c>
      <c r="D1131" s="38" t="s">
        <v>41</v>
      </c>
      <c r="E1131" s="38" t="s">
        <v>4165</v>
      </c>
      <c r="G1131" s="38" t="s">
        <v>43</v>
      </c>
      <c r="H1131" s="38">
        <v>11.17</v>
      </c>
      <c r="I1131" s="38" t="s">
        <v>44</v>
      </c>
      <c r="J1131" s="38" t="s">
        <v>45</v>
      </c>
      <c r="K1131" s="38" t="s">
        <v>4166</v>
      </c>
      <c r="L1131" s="30" t="s">
        <v>58</v>
      </c>
      <c r="M1131" s="38" t="s">
        <v>48</v>
      </c>
      <c r="N1131" s="38" t="s">
        <v>48</v>
      </c>
      <c r="O1131" s="31" t="s">
        <v>1003</v>
      </c>
      <c r="P1131" s="28" t="s">
        <v>1004</v>
      </c>
      <c r="Q1131" s="38" t="s">
        <v>1005</v>
      </c>
      <c r="R1131" s="38">
        <v>1</v>
      </c>
      <c r="S1131" s="38" t="s">
        <v>68</v>
      </c>
      <c r="T1131" s="38" t="s">
        <v>53</v>
      </c>
      <c r="U1131" s="38" t="s">
        <v>54</v>
      </c>
      <c r="V1131" s="38" t="s">
        <v>55</v>
      </c>
      <c r="Y1131" s="38">
        <v>97.04</v>
      </c>
      <c r="Z1131" s="38">
        <v>1</v>
      </c>
      <c r="AF1131" s="38">
        <v>85.87</v>
      </c>
      <c r="AK1131" s="14" t="e">
        <f t="shared" si="5"/>
        <v>#DIV/0!</v>
      </c>
      <c r="AM1131" s="38"/>
      <c r="AO1131" s="28"/>
    </row>
    <row r="1132" spans="1:41" ht="12.5">
      <c r="A1132" s="28" t="s">
        <v>4167</v>
      </c>
      <c r="B1132" s="37">
        <v>45789</v>
      </c>
      <c r="C1132" s="29">
        <v>45794</v>
      </c>
      <c r="D1132" s="38" t="s">
        <v>41</v>
      </c>
      <c r="E1132" s="38" t="s">
        <v>4168</v>
      </c>
      <c r="G1132" s="38" t="s">
        <v>43</v>
      </c>
      <c r="H1132" s="38">
        <v>11.17</v>
      </c>
      <c r="I1132" s="38" t="s">
        <v>44</v>
      </c>
      <c r="J1132" s="38" t="s">
        <v>45</v>
      </c>
      <c r="K1132" s="38" t="s">
        <v>4169</v>
      </c>
      <c r="L1132" s="30" t="s">
        <v>47</v>
      </c>
      <c r="M1132" s="38" t="s">
        <v>48</v>
      </c>
      <c r="N1132" s="38" t="s">
        <v>48</v>
      </c>
      <c r="O1132" s="31" t="s">
        <v>1003</v>
      </c>
      <c r="P1132" s="28" t="s">
        <v>1004</v>
      </c>
      <c r="Q1132" s="38" t="s">
        <v>1005</v>
      </c>
      <c r="R1132" s="38">
        <v>1</v>
      </c>
      <c r="S1132" s="38" t="s">
        <v>99</v>
      </c>
      <c r="T1132" s="38" t="s">
        <v>53</v>
      </c>
      <c r="U1132" s="38" t="s">
        <v>60</v>
      </c>
      <c r="V1132" s="38" t="s">
        <v>61</v>
      </c>
      <c r="Y1132" s="38">
        <v>96.22</v>
      </c>
      <c r="Z1132" s="38">
        <v>1</v>
      </c>
      <c r="AF1132" s="38">
        <v>81.27</v>
      </c>
      <c r="AK1132" s="14" t="e">
        <f t="shared" si="5"/>
        <v>#DIV/0!</v>
      </c>
      <c r="AM1132" s="38"/>
      <c r="AO1132" s="28"/>
    </row>
    <row r="1133" spans="1:41" ht="12.5">
      <c r="A1133" s="28" t="s">
        <v>4170</v>
      </c>
      <c r="B1133" s="37">
        <v>45801</v>
      </c>
      <c r="C1133" s="29">
        <v>45808</v>
      </c>
      <c r="D1133" s="38" t="s">
        <v>41</v>
      </c>
      <c r="E1133" s="38" t="s">
        <v>4171</v>
      </c>
      <c r="G1133" s="38" t="s">
        <v>137</v>
      </c>
      <c r="H1133" s="38">
        <v>0</v>
      </c>
      <c r="I1133" s="38"/>
      <c r="J1133" s="38"/>
      <c r="K1133" s="38"/>
      <c r="L1133" s="30" t="s">
        <v>58</v>
      </c>
      <c r="M1133" s="38" t="s">
        <v>48</v>
      </c>
      <c r="N1133" s="38" t="s">
        <v>48</v>
      </c>
      <c r="O1133" s="31" t="s">
        <v>1020</v>
      </c>
      <c r="P1133" s="28" t="s">
        <v>1021</v>
      </c>
      <c r="Q1133" s="38" t="s">
        <v>1022</v>
      </c>
      <c r="R1133" s="38">
        <v>1</v>
      </c>
      <c r="S1133" s="38" t="s">
        <v>75</v>
      </c>
      <c r="T1133" s="38" t="s">
        <v>53</v>
      </c>
      <c r="U1133" s="38" t="s">
        <v>54</v>
      </c>
      <c r="V1133" s="38" t="s">
        <v>61</v>
      </c>
      <c r="Y1133" s="38">
        <v>302.75</v>
      </c>
      <c r="Z1133" s="38">
        <v>1</v>
      </c>
      <c r="AF1133" s="38"/>
      <c r="AI1133" s="38">
        <v>2</v>
      </c>
      <c r="AJ1133" s="38">
        <v>13</v>
      </c>
      <c r="AK1133" s="14">
        <f t="shared" si="5"/>
        <v>0.15384615384615385</v>
      </c>
      <c r="AM1133" s="38"/>
      <c r="AO1133" s="28"/>
    </row>
    <row r="1134" spans="1:41" ht="12.5">
      <c r="A1134" s="28" t="s">
        <v>4172</v>
      </c>
      <c r="B1134" s="37">
        <v>45797</v>
      </c>
      <c r="C1134" s="29">
        <v>45805</v>
      </c>
      <c r="D1134" s="38" t="s">
        <v>41</v>
      </c>
      <c r="E1134" s="38" t="s">
        <v>4173</v>
      </c>
      <c r="G1134" s="38" t="s">
        <v>137</v>
      </c>
      <c r="H1134" s="38">
        <v>0</v>
      </c>
      <c r="I1134" s="38"/>
      <c r="J1134" s="38"/>
      <c r="K1134" s="38"/>
      <c r="L1134" s="30" t="s">
        <v>58</v>
      </c>
      <c r="M1134" s="38" t="s">
        <v>48</v>
      </c>
      <c r="N1134" s="38" t="s">
        <v>48</v>
      </c>
      <c r="O1134" s="31" t="s">
        <v>1020</v>
      </c>
      <c r="P1134" s="28" t="s">
        <v>1021</v>
      </c>
      <c r="Q1134" s="38" t="s">
        <v>1022</v>
      </c>
      <c r="R1134" s="38">
        <v>1</v>
      </c>
      <c r="S1134" s="38" t="s">
        <v>68</v>
      </c>
      <c r="T1134" s="38" t="s">
        <v>53</v>
      </c>
      <c r="U1134" s="38" t="s">
        <v>54</v>
      </c>
      <c r="V1134" s="38" t="s">
        <v>61</v>
      </c>
      <c r="Y1134" s="38">
        <v>306.62</v>
      </c>
      <c r="Z1134" s="38">
        <v>1</v>
      </c>
      <c r="AF1134" s="38"/>
      <c r="AK1134" s="14" t="e">
        <f t="shared" si="5"/>
        <v>#DIV/0!</v>
      </c>
      <c r="AM1134" s="38"/>
      <c r="AO1134" s="28"/>
    </row>
    <row r="1135" spans="1:41" ht="12.5">
      <c r="A1135" s="28" t="s">
        <v>4174</v>
      </c>
      <c r="B1135" s="37">
        <v>45789</v>
      </c>
      <c r="C1135" s="29">
        <v>45793</v>
      </c>
      <c r="D1135" s="38" t="s">
        <v>41</v>
      </c>
      <c r="E1135" s="38" t="s">
        <v>4175</v>
      </c>
      <c r="G1135" s="38" t="s">
        <v>137</v>
      </c>
      <c r="H1135" s="38">
        <v>0</v>
      </c>
      <c r="I1135" s="38"/>
      <c r="J1135" s="38"/>
      <c r="K1135" s="38"/>
      <c r="L1135" s="30" t="s">
        <v>47</v>
      </c>
      <c r="M1135" s="38" t="s">
        <v>48</v>
      </c>
      <c r="N1135" s="38" t="s">
        <v>48</v>
      </c>
      <c r="O1135" s="31" t="s">
        <v>147</v>
      </c>
      <c r="P1135" s="28" t="s">
        <v>148</v>
      </c>
      <c r="Q1135" s="38" t="s">
        <v>149</v>
      </c>
      <c r="R1135" s="38">
        <v>1</v>
      </c>
      <c r="S1135" s="38" t="s">
        <v>99</v>
      </c>
      <c r="T1135" s="38" t="s">
        <v>53</v>
      </c>
      <c r="U1135" s="38" t="s">
        <v>60</v>
      </c>
      <c r="V1135" s="38" t="s">
        <v>61</v>
      </c>
      <c r="Y1135" s="38">
        <v>390.86</v>
      </c>
      <c r="Z1135" s="38">
        <v>1</v>
      </c>
      <c r="AF1135" s="38"/>
      <c r="AI1135" s="38">
        <v>1</v>
      </c>
      <c r="AJ1135" s="38">
        <v>0</v>
      </c>
      <c r="AK1135" s="14" t="e">
        <f t="shared" si="5"/>
        <v>#DIV/0!</v>
      </c>
      <c r="AM1135" s="38"/>
      <c r="AO1135" s="28"/>
    </row>
    <row r="1136" spans="1:41" ht="12.5">
      <c r="A1136" s="28" t="s">
        <v>4176</v>
      </c>
      <c r="B1136" s="37">
        <v>45768</v>
      </c>
      <c r="C1136" s="29">
        <v>45796</v>
      </c>
      <c r="D1136" s="38" t="s">
        <v>41</v>
      </c>
      <c r="E1136" s="38" t="s">
        <v>4177</v>
      </c>
      <c r="G1136" s="38" t="s">
        <v>43</v>
      </c>
      <c r="H1136" s="38">
        <v>11.82</v>
      </c>
      <c r="I1136" s="38" t="s">
        <v>44</v>
      </c>
      <c r="J1136" s="38" t="s">
        <v>45</v>
      </c>
      <c r="K1136" s="38" t="s">
        <v>4178</v>
      </c>
      <c r="L1136" s="30" t="s">
        <v>47</v>
      </c>
      <c r="M1136" s="38" t="s">
        <v>48</v>
      </c>
      <c r="N1136" s="38" t="s">
        <v>48</v>
      </c>
      <c r="O1136" s="31" t="s">
        <v>160</v>
      </c>
      <c r="P1136" s="28" t="s">
        <v>161</v>
      </c>
      <c r="Q1136" s="38" t="s">
        <v>2143</v>
      </c>
      <c r="R1136" s="38">
        <v>1</v>
      </c>
      <c r="S1136" s="38" t="s">
        <v>52</v>
      </c>
      <c r="T1136" s="38" t="s">
        <v>53</v>
      </c>
      <c r="U1136" s="38" t="s">
        <v>54</v>
      </c>
      <c r="V1136" s="38" t="s">
        <v>61</v>
      </c>
      <c r="Y1136" s="38">
        <v>55.87</v>
      </c>
      <c r="Z1136" s="38">
        <v>1</v>
      </c>
      <c r="AF1136" s="38">
        <v>55.87</v>
      </c>
      <c r="AI1136" s="38">
        <v>1</v>
      </c>
      <c r="AJ1136" s="38">
        <v>9</v>
      </c>
      <c r="AK1136" s="14">
        <f t="shared" si="5"/>
        <v>0.1111111111111111</v>
      </c>
      <c r="AM1136" s="38"/>
      <c r="AO1136" s="51" t="s">
        <v>4179</v>
      </c>
    </row>
    <row r="1137" spans="1:41" ht="12.5">
      <c r="A1137" s="28" t="s">
        <v>4180</v>
      </c>
      <c r="B1137" s="37">
        <v>45783</v>
      </c>
      <c r="C1137" s="29">
        <v>45797</v>
      </c>
      <c r="D1137" s="38" t="s">
        <v>41</v>
      </c>
      <c r="E1137" s="38" t="s">
        <v>4181</v>
      </c>
      <c r="G1137" s="38" t="s">
        <v>43</v>
      </c>
      <c r="H1137" s="38">
        <v>7.12</v>
      </c>
      <c r="I1137" s="38" t="s">
        <v>44</v>
      </c>
      <c r="J1137" s="38" t="s">
        <v>45</v>
      </c>
      <c r="K1137" s="38" t="s">
        <v>4182</v>
      </c>
      <c r="L1137" s="30" t="s">
        <v>58</v>
      </c>
      <c r="M1137" s="38" t="s">
        <v>48</v>
      </c>
      <c r="N1137" s="38" t="s">
        <v>48</v>
      </c>
      <c r="O1137" s="31" t="s">
        <v>210</v>
      </c>
      <c r="P1137" s="28" t="s">
        <v>211</v>
      </c>
      <c r="Q1137" s="38" t="s">
        <v>212</v>
      </c>
      <c r="R1137" s="38">
        <v>1</v>
      </c>
      <c r="S1137" s="38" t="s">
        <v>3868</v>
      </c>
      <c r="T1137" s="38" t="s">
        <v>53</v>
      </c>
      <c r="U1137" s="38" t="s">
        <v>54</v>
      </c>
      <c r="V1137" s="38" t="s">
        <v>61</v>
      </c>
      <c r="Y1137" s="38">
        <v>165.2</v>
      </c>
      <c r="Z1137" s="38">
        <v>1</v>
      </c>
      <c r="AF1137" s="38"/>
      <c r="AI1137" s="38">
        <v>1</v>
      </c>
      <c r="AJ1137" s="38">
        <v>2</v>
      </c>
      <c r="AK1137" s="14">
        <f t="shared" si="5"/>
        <v>0.5</v>
      </c>
      <c r="AM1137" s="38"/>
      <c r="AO1137" s="28"/>
    </row>
    <row r="1138" spans="1:41" ht="12.5">
      <c r="A1138" s="28" t="s">
        <v>4183</v>
      </c>
      <c r="B1138" s="37">
        <v>45786</v>
      </c>
      <c r="C1138" s="29">
        <v>45795</v>
      </c>
      <c r="D1138" s="38" t="s">
        <v>41</v>
      </c>
      <c r="E1138" s="38" t="s">
        <v>4184</v>
      </c>
      <c r="G1138" s="38" t="s">
        <v>43</v>
      </c>
      <c r="H1138" s="38">
        <v>10.08</v>
      </c>
      <c r="I1138" s="38" t="s">
        <v>44</v>
      </c>
      <c r="J1138" s="38" t="s">
        <v>45</v>
      </c>
      <c r="K1138" s="38" t="s">
        <v>4185</v>
      </c>
      <c r="L1138" s="30" t="s">
        <v>58</v>
      </c>
      <c r="M1138" s="38" t="s">
        <v>48</v>
      </c>
      <c r="N1138" s="38" t="s">
        <v>48</v>
      </c>
      <c r="O1138" s="31" t="s">
        <v>2812</v>
      </c>
      <c r="P1138" s="28" t="s">
        <v>2813</v>
      </c>
      <c r="Q1138" s="38" t="s">
        <v>2814</v>
      </c>
      <c r="R1138" s="38">
        <v>1</v>
      </c>
      <c r="S1138" s="38" t="s">
        <v>3868</v>
      </c>
      <c r="T1138" s="38" t="s">
        <v>53</v>
      </c>
      <c r="U1138" s="38" t="s">
        <v>54</v>
      </c>
      <c r="V1138" s="38" t="s">
        <v>61</v>
      </c>
      <c r="Y1138" s="38">
        <v>66.260000000000005</v>
      </c>
      <c r="Z1138" s="38">
        <v>1</v>
      </c>
      <c r="AF1138" s="38"/>
      <c r="AI1138" s="38">
        <v>1</v>
      </c>
      <c r="AJ1138" s="38">
        <v>1</v>
      </c>
      <c r="AK1138" s="14">
        <f t="shared" si="5"/>
        <v>1</v>
      </c>
      <c r="AM1138" s="38"/>
      <c r="AO1138" s="28"/>
    </row>
    <row r="1139" spans="1:41" ht="12.5">
      <c r="A1139" s="28" t="s">
        <v>4186</v>
      </c>
      <c r="B1139" s="37">
        <v>45793</v>
      </c>
      <c r="C1139" s="29">
        <v>45803</v>
      </c>
      <c r="D1139" s="38" t="s">
        <v>41</v>
      </c>
      <c r="E1139" s="38" t="s">
        <v>4187</v>
      </c>
      <c r="G1139" s="38" t="s">
        <v>43</v>
      </c>
      <c r="H1139" s="38">
        <v>13.65</v>
      </c>
      <c r="I1139" s="38" t="s">
        <v>44</v>
      </c>
      <c r="J1139" s="38" t="s">
        <v>45</v>
      </c>
      <c r="K1139" s="38" t="s">
        <v>4188</v>
      </c>
      <c r="L1139" s="30" t="s">
        <v>58</v>
      </c>
      <c r="M1139" s="38" t="s">
        <v>48</v>
      </c>
      <c r="N1139" s="38" t="s">
        <v>48</v>
      </c>
      <c r="O1139" s="31" t="s">
        <v>219</v>
      </c>
      <c r="P1139" s="28" t="s">
        <v>220</v>
      </c>
      <c r="Q1139" s="38" t="s">
        <v>221</v>
      </c>
      <c r="R1139" s="38">
        <v>1</v>
      </c>
      <c r="S1139" s="38" t="s">
        <v>3868</v>
      </c>
      <c r="T1139" s="38" t="s">
        <v>53</v>
      </c>
      <c r="U1139" s="38" t="s">
        <v>54</v>
      </c>
      <c r="V1139" s="38" t="s">
        <v>55</v>
      </c>
      <c r="Y1139" s="38">
        <v>81.31</v>
      </c>
      <c r="Z1139" s="38">
        <v>1</v>
      </c>
      <c r="AF1139" s="38">
        <v>67.66</v>
      </c>
      <c r="AI1139" s="38">
        <v>4</v>
      </c>
      <c r="AJ1139" s="38">
        <v>19</v>
      </c>
      <c r="AK1139" s="14">
        <f t="shared" si="5"/>
        <v>0.21052631578947367</v>
      </c>
      <c r="AM1139" s="38"/>
      <c r="AO1139" s="28"/>
    </row>
    <row r="1140" spans="1:41" ht="12.5">
      <c r="A1140" s="28" t="s">
        <v>4189</v>
      </c>
      <c r="B1140" s="37">
        <v>45799</v>
      </c>
      <c r="C1140" s="29">
        <v>45802</v>
      </c>
      <c r="D1140" s="38" t="s">
        <v>41</v>
      </c>
      <c r="E1140" s="38" t="s">
        <v>4190</v>
      </c>
      <c r="G1140" s="38" t="s">
        <v>43</v>
      </c>
      <c r="H1140" s="38">
        <v>13.65</v>
      </c>
      <c r="I1140" s="38" t="s">
        <v>44</v>
      </c>
      <c r="J1140" s="38" t="s">
        <v>45</v>
      </c>
      <c r="K1140" s="38" t="s">
        <v>4191</v>
      </c>
      <c r="L1140" s="30" t="s">
        <v>47</v>
      </c>
      <c r="M1140" s="38" t="s">
        <v>48</v>
      </c>
      <c r="N1140" s="38" t="s">
        <v>48</v>
      </c>
      <c r="O1140" s="31" t="s">
        <v>219</v>
      </c>
      <c r="P1140" s="28" t="s">
        <v>220</v>
      </c>
      <c r="Q1140" s="38" t="s">
        <v>221</v>
      </c>
      <c r="R1140" s="38">
        <v>1</v>
      </c>
      <c r="S1140" s="38" t="s">
        <v>82</v>
      </c>
      <c r="T1140" s="38" t="s">
        <v>53</v>
      </c>
      <c r="U1140" s="38" t="s">
        <v>54</v>
      </c>
      <c r="V1140" s="38" t="s">
        <v>560</v>
      </c>
      <c r="Y1140" s="38">
        <v>81.52</v>
      </c>
      <c r="Z1140" s="38">
        <v>1</v>
      </c>
      <c r="AF1140" s="38"/>
      <c r="AK1140" s="14" t="e">
        <f t="shared" si="5"/>
        <v>#DIV/0!</v>
      </c>
      <c r="AM1140" s="38"/>
      <c r="AO1140" s="28"/>
    </row>
    <row r="1141" spans="1:41" ht="12.5">
      <c r="A1141" s="28" t="s">
        <v>4192</v>
      </c>
      <c r="B1141" s="37">
        <v>45797</v>
      </c>
      <c r="C1141" s="29">
        <v>45800</v>
      </c>
      <c r="D1141" s="38" t="s">
        <v>41</v>
      </c>
      <c r="E1141" s="38" t="s">
        <v>4193</v>
      </c>
      <c r="G1141" s="38" t="s">
        <v>43</v>
      </c>
      <c r="H1141" s="38">
        <v>13.65</v>
      </c>
      <c r="I1141" s="38" t="s">
        <v>44</v>
      </c>
      <c r="J1141" s="38" t="s">
        <v>45</v>
      </c>
      <c r="K1141" s="38" t="s">
        <v>4194</v>
      </c>
      <c r="L1141" s="30" t="s">
        <v>58</v>
      </c>
      <c r="M1141" s="38" t="s">
        <v>48</v>
      </c>
      <c r="N1141" s="38" t="s">
        <v>48</v>
      </c>
      <c r="O1141" s="31" t="s">
        <v>219</v>
      </c>
      <c r="P1141" s="28" t="s">
        <v>220</v>
      </c>
      <c r="Q1141" s="38" t="s">
        <v>221</v>
      </c>
      <c r="R1141" s="38">
        <v>1</v>
      </c>
      <c r="S1141" s="38" t="s">
        <v>59</v>
      </c>
      <c r="T1141" s="38" t="s">
        <v>53</v>
      </c>
      <c r="U1141" s="38" t="s">
        <v>54</v>
      </c>
      <c r="V1141" s="38" t="s">
        <v>55</v>
      </c>
      <c r="Y1141" s="38">
        <v>81.239999999999995</v>
      </c>
      <c r="Z1141" s="38">
        <v>1</v>
      </c>
      <c r="AF1141" s="38">
        <v>67.59</v>
      </c>
      <c r="AK1141" s="14" t="e">
        <f t="shared" si="5"/>
        <v>#DIV/0!</v>
      </c>
      <c r="AM1141" s="38"/>
      <c r="AO1141" s="28"/>
    </row>
    <row r="1142" spans="1:41" ht="12.5">
      <c r="A1142" s="28" t="s">
        <v>4195</v>
      </c>
      <c r="B1142" s="37">
        <v>45796</v>
      </c>
      <c r="C1142" s="29">
        <v>45798</v>
      </c>
      <c r="D1142" s="38" t="s">
        <v>41</v>
      </c>
      <c r="E1142" s="38" t="s">
        <v>4196</v>
      </c>
      <c r="G1142" s="38" t="s">
        <v>43</v>
      </c>
      <c r="H1142" s="38">
        <v>13.65</v>
      </c>
      <c r="I1142" s="38" t="s">
        <v>44</v>
      </c>
      <c r="J1142" s="38" t="s">
        <v>45</v>
      </c>
      <c r="K1142" s="38" t="s">
        <v>4197</v>
      </c>
      <c r="L1142" s="30" t="s">
        <v>47</v>
      </c>
      <c r="M1142" s="38" t="s">
        <v>48</v>
      </c>
      <c r="N1142" s="38" t="s">
        <v>48</v>
      </c>
      <c r="O1142" s="31" t="s">
        <v>219</v>
      </c>
      <c r="P1142" s="28" t="s">
        <v>220</v>
      </c>
      <c r="Q1142" s="38" t="s">
        <v>221</v>
      </c>
      <c r="R1142" s="38">
        <v>1</v>
      </c>
      <c r="S1142" s="38" t="s">
        <v>99</v>
      </c>
      <c r="T1142" s="38" t="s">
        <v>53</v>
      </c>
      <c r="U1142" s="38" t="s">
        <v>54</v>
      </c>
      <c r="V1142" s="38" t="s">
        <v>61</v>
      </c>
      <c r="Y1142" s="38">
        <v>83.06</v>
      </c>
      <c r="Z1142" s="38">
        <v>1</v>
      </c>
      <c r="AF1142" s="38"/>
      <c r="AK1142" s="14" t="e">
        <f t="shared" si="5"/>
        <v>#DIV/0!</v>
      </c>
      <c r="AM1142" s="38"/>
      <c r="AO1142" s="28"/>
    </row>
    <row r="1143" spans="1:41" ht="12.5">
      <c r="A1143" s="28" t="s">
        <v>4198</v>
      </c>
      <c r="B1143" s="37">
        <v>45801</v>
      </c>
      <c r="C1143" s="29">
        <v>45808</v>
      </c>
      <c r="D1143" s="38" t="s">
        <v>41</v>
      </c>
      <c r="E1143" s="38" t="s">
        <v>4199</v>
      </c>
      <c r="G1143" s="38" t="s">
        <v>43</v>
      </c>
      <c r="H1143" s="38">
        <v>10.72</v>
      </c>
      <c r="I1143" s="38" t="s">
        <v>44</v>
      </c>
      <c r="J1143" s="38" t="s">
        <v>45</v>
      </c>
      <c r="K1143" s="38" t="s">
        <v>4200</v>
      </c>
      <c r="L1143" s="30" t="s">
        <v>58</v>
      </c>
      <c r="M1143" s="38" t="s">
        <v>48</v>
      </c>
      <c r="N1143" s="38" t="s">
        <v>48</v>
      </c>
      <c r="O1143" s="31" t="s">
        <v>1066</v>
      </c>
      <c r="P1143" s="28" t="s">
        <v>1067</v>
      </c>
      <c r="Q1143" s="38" t="s">
        <v>4201</v>
      </c>
      <c r="R1143" s="38">
        <v>1</v>
      </c>
      <c r="S1143" s="38" t="s">
        <v>3868</v>
      </c>
      <c r="T1143" s="38" t="s">
        <v>53</v>
      </c>
      <c r="U1143" s="38" t="s">
        <v>54</v>
      </c>
      <c r="V1143" s="38" t="s">
        <v>61</v>
      </c>
      <c r="Y1143" s="38">
        <v>73.16</v>
      </c>
      <c r="Z1143" s="38">
        <v>1</v>
      </c>
      <c r="AF1143" s="38"/>
      <c r="AI1143" s="38">
        <v>1</v>
      </c>
      <c r="AJ1143" s="38">
        <v>4</v>
      </c>
      <c r="AK1143" s="14">
        <f t="shared" si="5"/>
        <v>0.25</v>
      </c>
      <c r="AM1143" s="38"/>
      <c r="AO1143" s="28"/>
    </row>
    <row r="1144" spans="1:41" ht="12.5">
      <c r="A1144" s="28" t="s">
        <v>4202</v>
      </c>
      <c r="B1144" s="37">
        <v>45788</v>
      </c>
      <c r="C1144" s="29">
        <v>45794</v>
      </c>
      <c r="D1144" s="38" t="s">
        <v>41</v>
      </c>
      <c r="E1144" s="38"/>
      <c r="G1144" s="38" t="s">
        <v>137</v>
      </c>
      <c r="H1144" s="38">
        <v>0</v>
      </c>
      <c r="I1144" s="38"/>
      <c r="J1144" s="38"/>
      <c r="K1144" s="38"/>
      <c r="L1144" s="30" t="s">
        <v>58</v>
      </c>
      <c r="M1144" s="38" t="s">
        <v>48</v>
      </c>
      <c r="N1144" s="38" t="s">
        <v>48</v>
      </c>
      <c r="O1144" s="31" t="s">
        <v>3676</v>
      </c>
      <c r="P1144" s="28" t="s">
        <v>3677</v>
      </c>
      <c r="Q1144" s="38" t="s">
        <v>3678</v>
      </c>
      <c r="R1144" s="38">
        <v>1</v>
      </c>
      <c r="S1144" s="38" t="s">
        <v>75</v>
      </c>
      <c r="T1144" s="38" t="s">
        <v>53</v>
      </c>
      <c r="U1144" s="38" t="s">
        <v>54</v>
      </c>
      <c r="V1144" s="38" t="s">
        <v>141</v>
      </c>
      <c r="Y1144" s="38">
        <v>56.24</v>
      </c>
      <c r="Z1144" s="38">
        <v>1</v>
      </c>
      <c r="AF1144" s="38">
        <v>56.24</v>
      </c>
      <c r="AI1144" s="38">
        <v>1</v>
      </c>
      <c r="AJ1144" s="38">
        <v>1</v>
      </c>
      <c r="AK1144" s="14">
        <f t="shared" si="5"/>
        <v>1</v>
      </c>
      <c r="AM1144" s="38"/>
      <c r="AO1144" s="28"/>
    </row>
    <row r="1145" spans="1:41" ht="12.5">
      <c r="A1145" s="28" t="s">
        <v>4203</v>
      </c>
      <c r="B1145" s="37">
        <v>45795</v>
      </c>
      <c r="C1145" s="29">
        <v>45805</v>
      </c>
      <c r="D1145" s="38" t="s">
        <v>41</v>
      </c>
      <c r="E1145" s="38"/>
      <c r="G1145" s="38" t="s">
        <v>137</v>
      </c>
      <c r="H1145" s="38">
        <v>0</v>
      </c>
      <c r="I1145" s="38"/>
      <c r="J1145" s="38"/>
      <c r="K1145" s="38"/>
      <c r="L1145" s="30" t="s">
        <v>58</v>
      </c>
      <c r="M1145" s="38" t="s">
        <v>48</v>
      </c>
      <c r="N1145" s="38" t="s">
        <v>48</v>
      </c>
      <c r="O1145" s="31" t="s">
        <v>4204</v>
      </c>
      <c r="P1145" s="28" t="s">
        <v>4205</v>
      </c>
      <c r="Q1145" s="38" t="s">
        <v>4206</v>
      </c>
      <c r="R1145" s="38">
        <v>1</v>
      </c>
      <c r="S1145" s="38" t="s">
        <v>3878</v>
      </c>
      <c r="T1145" s="38" t="s">
        <v>53</v>
      </c>
      <c r="U1145" s="38" t="s">
        <v>54</v>
      </c>
      <c r="V1145" s="38" t="s">
        <v>141</v>
      </c>
      <c r="Y1145" s="38">
        <v>30.22</v>
      </c>
      <c r="Z1145" s="38">
        <v>1</v>
      </c>
      <c r="AF1145" s="38">
        <v>30.22</v>
      </c>
      <c r="AI1145" s="38">
        <v>1</v>
      </c>
      <c r="AJ1145" s="38">
        <v>2</v>
      </c>
      <c r="AK1145" s="14">
        <f t="shared" si="5"/>
        <v>0.5</v>
      </c>
      <c r="AM1145" s="38"/>
      <c r="AO1145" s="28"/>
    </row>
    <row r="1146" spans="1:41" ht="12.5">
      <c r="A1146" s="28" t="s">
        <v>4207</v>
      </c>
      <c r="B1146" s="37">
        <v>45797</v>
      </c>
      <c r="C1146" s="29">
        <v>45802</v>
      </c>
      <c r="D1146" s="38" t="s">
        <v>41</v>
      </c>
      <c r="E1146" s="38" t="s">
        <v>4208</v>
      </c>
      <c r="G1146" s="38" t="s">
        <v>43</v>
      </c>
      <c r="H1146" s="38">
        <v>58.14</v>
      </c>
      <c r="I1146" s="38" t="s">
        <v>44</v>
      </c>
      <c r="J1146" s="38" t="s">
        <v>45</v>
      </c>
      <c r="K1146" s="38" t="s">
        <v>4209</v>
      </c>
      <c r="L1146" s="30" t="s">
        <v>58</v>
      </c>
      <c r="M1146" s="38" t="s">
        <v>48</v>
      </c>
      <c r="N1146" s="38" t="s">
        <v>48</v>
      </c>
      <c r="O1146" s="31" t="s">
        <v>283</v>
      </c>
      <c r="P1146" s="28" t="s">
        <v>284</v>
      </c>
      <c r="Q1146" s="38" t="s">
        <v>285</v>
      </c>
      <c r="R1146" s="38">
        <v>1</v>
      </c>
      <c r="S1146" s="38" t="s">
        <v>3878</v>
      </c>
      <c r="T1146" s="38" t="s">
        <v>53</v>
      </c>
      <c r="U1146" s="38" t="s">
        <v>54</v>
      </c>
      <c r="V1146" s="38" t="s">
        <v>61</v>
      </c>
      <c r="Y1146" s="38">
        <v>201.08</v>
      </c>
      <c r="Z1146" s="38">
        <v>1</v>
      </c>
      <c r="AF1146" s="38"/>
      <c r="AI1146" s="38">
        <v>1</v>
      </c>
      <c r="AJ1146" s="38">
        <v>8</v>
      </c>
      <c r="AK1146" s="14">
        <f t="shared" si="5"/>
        <v>0.125</v>
      </c>
      <c r="AM1146" s="38"/>
      <c r="AO1146" s="28"/>
    </row>
    <row r="1147" spans="1:41" ht="12.5">
      <c r="A1147" s="28" t="s">
        <v>4210</v>
      </c>
      <c r="B1147" s="37">
        <v>45770</v>
      </c>
      <c r="C1147" s="29">
        <v>45795</v>
      </c>
      <c r="D1147" s="38" t="s">
        <v>41</v>
      </c>
      <c r="E1147" s="38" t="s">
        <v>4211</v>
      </c>
      <c r="G1147" s="38" t="s">
        <v>43</v>
      </c>
      <c r="H1147" s="38">
        <v>14.12</v>
      </c>
      <c r="I1147" s="38" t="s">
        <v>44</v>
      </c>
      <c r="J1147" s="38" t="s">
        <v>45</v>
      </c>
      <c r="K1147" s="38" t="s">
        <v>4212</v>
      </c>
      <c r="L1147" s="30" t="s">
        <v>58</v>
      </c>
      <c r="M1147" s="38" t="s">
        <v>48</v>
      </c>
      <c r="N1147" s="38" t="s">
        <v>48</v>
      </c>
      <c r="O1147" s="31" t="s">
        <v>2873</v>
      </c>
      <c r="P1147" s="28" t="s">
        <v>2874</v>
      </c>
      <c r="Q1147" s="38" t="s">
        <v>2875</v>
      </c>
      <c r="R1147" s="38">
        <v>1</v>
      </c>
      <c r="S1147" s="38" t="s">
        <v>3884</v>
      </c>
      <c r="T1147" s="38" t="s">
        <v>53</v>
      </c>
      <c r="U1147" s="38" t="s">
        <v>54</v>
      </c>
      <c r="V1147" s="38" t="s">
        <v>55</v>
      </c>
      <c r="Y1147" s="38">
        <v>104.14</v>
      </c>
      <c r="Z1147" s="38">
        <v>1</v>
      </c>
      <c r="AF1147" s="38">
        <v>89.27</v>
      </c>
      <c r="AI1147" s="38">
        <v>1</v>
      </c>
      <c r="AJ1147" s="38">
        <v>0</v>
      </c>
      <c r="AK1147" s="14" t="e">
        <f t="shared" si="5"/>
        <v>#DIV/0!</v>
      </c>
      <c r="AM1147" s="38"/>
      <c r="AO1147" s="28"/>
    </row>
    <row r="1148" spans="1:41" ht="12.5">
      <c r="A1148" s="28" t="s">
        <v>4213</v>
      </c>
      <c r="B1148" s="37">
        <v>45791</v>
      </c>
      <c r="C1148" s="29">
        <v>45798</v>
      </c>
      <c r="D1148" s="38" t="s">
        <v>41</v>
      </c>
      <c r="E1148" s="38"/>
      <c r="G1148" s="38" t="s">
        <v>137</v>
      </c>
      <c r="H1148" s="38">
        <v>0</v>
      </c>
      <c r="I1148" s="38"/>
      <c r="J1148" s="38"/>
      <c r="K1148" s="38"/>
      <c r="L1148" s="30" t="s">
        <v>47</v>
      </c>
      <c r="M1148" s="38" t="s">
        <v>48</v>
      </c>
      <c r="N1148" s="38" t="s">
        <v>48</v>
      </c>
      <c r="O1148" s="31" t="s">
        <v>3680</v>
      </c>
      <c r="P1148" s="28" t="s">
        <v>3681</v>
      </c>
      <c r="Q1148" s="38" t="s">
        <v>3682</v>
      </c>
      <c r="R1148" s="38">
        <v>1</v>
      </c>
      <c r="S1148" s="38" t="s">
        <v>92</v>
      </c>
      <c r="T1148" s="38" t="s">
        <v>53</v>
      </c>
      <c r="U1148" s="38" t="s">
        <v>54</v>
      </c>
      <c r="V1148" s="38" t="s">
        <v>141</v>
      </c>
      <c r="Y1148" s="38">
        <v>17.559999999999999</v>
      </c>
      <c r="Z1148" s="38">
        <v>1</v>
      </c>
      <c r="AF1148" s="38">
        <v>17.559999999999999</v>
      </c>
      <c r="AI1148" s="38">
        <v>1</v>
      </c>
      <c r="AJ1148" s="38">
        <v>3</v>
      </c>
      <c r="AK1148" s="14">
        <f t="shared" si="5"/>
        <v>0.33333333333333331</v>
      </c>
      <c r="AM1148" s="38"/>
      <c r="AO1148" s="51" t="s">
        <v>4214</v>
      </c>
    </row>
    <row r="1149" spans="1:41" ht="12.5">
      <c r="A1149" s="28" t="s">
        <v>4215</v>
      </c>
      <c r="B1149" s="37">
        <v>45803</v>
      </c>
      <c r="C1149" s="29">
        <v>45807</v>
      </c>
      <c r="D1149" s="38" t="s">
        <v>41</v>
      </c>
      <c r="E1149" s="38" t="s">
        <v>4216</v>
      </c>
      <c r="G1149" s="38" t="s">
        <v>43</v>
      </c>
      <c r="H1149" s="38">
        <v>6.31</v>
      </c>
      <c r="I1149" s="38" t="s">
        <v>44</v>
      </c>
      <c r="J1149" s="38" t="s">
        <v>45</v>
      </c>
      <c r="K1149" s="38" t="s">
        <v>4217</v>
      </c>
      <c r="L1149" s="30" t="s">
        <v>58</v>
      </c>
      <c r="M1149" s="38" t="s">
        <v>48</v>
      </c>
      <c r="N1149" s="38" t="s">
        <v>48</v>
      </c>
      <c r="O1149" s="31" t="s">
        <v>1116</v>
      </c>
      <c r="P1149" s="28" t="s">
        <v>1117</v>
      </c>
      <c r="Q1149" s="38" t="s">
        <v>1833</v>
      </c>
      <c r="R1149" s="38">
        <v>1</v>
      </c>
      <c r="S1149" s="38" t="s">
        <v>3878</v>
      </c>
      <c r="T1149" s="38" t="s">
        <v>53</v>
      </c>
      <c r="U1149" s="38" t="s">
        <v>54</v>
      </c>
      <c r="V1149" s="38" t="s">
        <v>55</v>
      </c>
      <c r="Y1149" s="38">
        <v>79.400000000000006</v>
      </c>
      <c r="Z1149" s="38">
        <v>1</v>
      </c>
      <c r="AF1149" s="38">
        <v>73.09</v>
      </c>
      <c r="AI1149" s="38">
        <v>2</v>
      </c>
      <c r="AJ1149" s="38">
        <v>6</v>
      </c>
      <c r="AK1149" s="14">
        <f t="shared" si="5"/>
        <v>0.33333333333333331</v>
      </c>
      <c r="AM1149" s="38"/>
      <c r="AO1149" s="28"/>
    </row>
    <row r="1150" spans="1:41" ht="12.5">
      <c r="A1150" s="28" t="s">
        <v>4218</v>
      </c>
      <c r="B1150" s="37">
        <v>45799</v>
      </c>
      <c r="C1150" s="29">
        <v>45806</v>
      </c>
      <c r="D1150" s="38" t="s">
        <v>41</v>
      </c>
      <c r="E1150" s="38" t="s">
        <v>4219</v>
      </c>
      <c r="G1150" s="38" t="s">
        <v>43</v>
      </c>
      <c r="H1150" s="38">
        <v>6.31</v>
      </c>
      <c r="I1150" s="38" t="s">
        <v>44</v>
      </c>
      <c r="J1150" s="38" t="s">
        <v>45</v>
      </c>
      <c r="K1150" s="38" t="s">
        <v>4220</v>
      </c>
      <c r="L1150" s="30" t="s">
        <v>58</v>
      </c>
      <c r="M1150" s="38" t="s">
        <v>48</v>
      </c>
      <c r="N1150" s="38" t="s">
        <v>48</v>
      </c>
      <c r="O1150" s="31" t="s">
        <v>1116</v>
      </c>
      <c r="P1150" s="28" t="s">
        <v>1117</v>
      </c>
      <c r="Q1150" s="38" t="s">
        <v>1833</v>
      </c>
      <c r="R1150" s="38">
        <v>1</v>
      </c>
      <c r="S1150" s="38" t="s">
        <v>75</v>
      </c>
      <c r="T1150" s="38" t="s">
        <v>53</v>
      </c>
      <c r="U1150" s="38" t="s">
        <v>54</v>
      </c>
      <c r="V1150" s="38" t="s">
        <v>55</v>
      </c>
      <c r="Y1150" s="38">
        <v>81.08</v>
      </c>
      <c r="Z1150" s="38">
        <v>1</v>
      </c>
      <c r="AF1150" s="38">
        <v>74.77</v>
      </c>
      <c r="AK1150" s="14" t="e">
        <f t="shared" si="5"/>
        <v>#DIV/0!</v>
      </c>
      <c r="AM1150" s="38"/>
      <c r="AO1150" s="28"/>
    </row>
    <row r="1151" spans="1:41" ht="12.5">
      <c r="A1151" s="28" t="s">
        <v>4221</v>
      </c>
      <c r="B1151" s="37">
        <v>45795</v>
      </c>
      <c r="C1151" s="29">
        <v>45807</v>
      </c>
      <c r="D1151" s="38" t="s">
        <v>41</v>
      </c>
      <c r="E1151" s="38"/>
      <c r="G1151" s="38" t="s">
        <v>137</v>
      </c>
      <c r="H1151" s="38">
        <v>0</v>
      </c>
      <c r="I1151" s="38"/>
      <c r="J1151" s="38"/>
      <c r="K1151" s="38"/>
      <c r="L1151" s="30" t="s">
        <v>47</v>
      </c>
      <c r="M1151" s="38" t="s">
        <v>48</v>
      </c>
      <c r="N1151" s="38" t="s">
        <v>48</v>
      </c>
      <c r="O1151" s="31" t="s">
        <v>2515</v>
      </c>
      <c r="P1151" s="28" t="s">
        <v>2516</v>
      </c>
      <c r="Q1151" s="38" t="s">
        <v>2517</v>
      </c>
      <c r="R1151" s="38">
        <v>1</v>
      </c>
      <c r="S1151" s="38" t="s">
        <v>82</v>
      </c>
      <c r="T1151" s="38" t="s">
        <v>53</v>
      </c>
      <c r="U1151" s="38" t="s">
        <v>54</v>
      </c>
      <c r="V1151" s="38" t="s">
        <v>141</v>
      </c>
      <c r="Y1151" s="38">
        <v>14.93</v>
      </c>
      <c r="Z1151" s="38">
        <v>1</v>
      </c>
      <c r="AF1151" s="38">
        <v>14.93</v>
      </c>
      <c r="AI1151" s="38">
        <v>2</v>
      </c>
      <c r="AJ1151" s="38">
        <v>2</v>
      </c>
      <c r="AK1151" s="14">
        <f t="shared" si="5"/>
        <v>1</v>
      </c>
      <c r="AM1151" s="38"/>
      <c r="AO1151" s="51" t="s">
        <v>4222</v>
      </c>
    </row>
    <row r="1152" spans="1:41" ht="12.5">
      <c r="A1152" s="28" t="s">
        <v>4223</v>
      </c>
      <c r="B1152" s="37">
        <v>45786</v>
      </c>
      <c r="C1152" s="29">
        <v>45795</v>
      </c>
      <c r="D1152" s="38" t="s">
        <v>41</v>
      </c>
      <c r="E1152" s="38"/>
      <c r="G1152" s="38" t="s">
        <v>137</v>
      </c>
      <c r="H1152" s="38">
        <v>0</v>
      </c>
      <c r="I1152" s="38"/>
      <c r="J1152" s="38"/>
      <c r="K1152" s="38"/>
      <c r="L1152" s="30" t="s">
        <v>58</v>
      </c>
      <c r="M1152" s="38" t="s">
        <v>48</v>
      </c>
      <c r="N1152" s="38" t="s">
        <v>48</v>
      </c>
      <c r="O1152" s="31" t="s">
        <v>2515</v>
      </c>
      <c r="P1152" s="28" t="s">
        <v>2516</v>
      </c>
      <c r="Q1152" s="38" t="s">
        <v>2517</v>
      </c>
      <c r="R1152" s="38">
        <v>1</v>
      </c>
      <c r="S1152" s="38" t="s">
        <v>68</v>
      </c>
      <c r="T1152" s="38" t="s">
        <v>53</v>
      </c>
      <c r="U1152" s="38" t="s">
        <v>54</v>
      </c>
      <c r="V1152" s="38" t="s">
        <v>141</v>
      </c>
      <c r="Y1152" s="38">
        <v>14.79</v>
      </c>
      <c r="Z1152" s="38">
        <v>1</v>
      </c>
      <c r="AF1152" s="38">
        <v>14.79</v>
      </c>
      <c r="AK1152" s="14" t="e">
        <f t="shared" si="5"/>
        <v>#DIV/0!</v>
      </c>
      <c r="AM1152" s="38"/>
      <c r="AO1152" s="28"/>
    </row>
    <row r="1153" spans="1:41" ht="12.5">
      <c r="A1153" s="28" t="s">
        <v>4224</v>
      </c>
      <c r="B1153" s="37">
        <v>45785</v>
      </c>
      <c r="C1153" s="29">
        <v>45793</v>
      </c>
      <c r="D1153" s="38" t="s">
        <v>41</v>
      </c>
      <c r="E1153" s="38" t="s">
        <v>4225</v>
      </c>
      <c r="G1153" s="38" t="s">
        <v>43</v>
      </c>
      <c r="H1153" s="38">
        <v>10.44</v>
      </c>
      <c r="I1153" s="38" t="s">
        <v>44</v>
      </c>
      <c r="J1153" s="38" t="s">
        <v>45</v>
      </c>
      <c r="K1153" s="38" t="s">
        <v>4226</v>
      </c>
      <c r="L1153" s="30" t="s">
        <v>58</v>
      </c>
      <c r="M1153" s="38" t="s">
        <v>48</v>
      </c>
      <c r="N1153" s="38" t="s">
        <v>48</v>
      </c>
      <c r="O1153" s="31" t="s">
        <v>337</v>
      </c>
      <c r="P1153" s="28" t="s">
        <v>338</v>
      </c>
      <c r="Q1153" s="38" t="s">
        <v>1846</v>
      </c>
      <c r="R1153" s="38">
        <v>1</v>
      </c>
      <c r="S1153" s="38" t="s">
        <v>3868</v>
      </c>
      <c r="T1153" s="38" t="s">
        <v>53</v>
      </c>
      <c r="U1153" s="38" t="s">
        <v>54</v>
      </c>
      <c r="V1153" s="38" t="s">
        <v>61</v>
      </c>
      <c r="Y1153" s="38">
        <v>74.58</v>
      </c>
      <c r="Z1153" s="38">
        <v>1</v>
      </c>
      <c r="AF1153" s="38"/>
      <c r="AI1153" s="38">
        <v>1</v>
      </c>
      <c r="AJ1153" s="38">
        <v>6</v>
      </c>
      <c r="AK1153" s="14">
        <f t="shared" si="5"/>
        <v>0.16666666666666666</v>
      </c>
      <c r="AM1153" s="38"/>
      <c r="AO1153" s="28"/>
    </row>
    <row r="1154" spans="1:41" ht="12.5">
      <c r="A1154" s="28" t="s">
        <v>4227</v>
      </c>
      <c r="B1154" s="37">
        <v>45775</v>
      </c>
      <c r="C1154" s="29">
        <v>45808</v>
      </c>
      <c r="D1154" s="38" t="s">
        <v>41</v>
      </c>
      <c r="E1154" s="38" t="s">
        <v>4228</v>
      </c>
      <c r="G1154" s="38" t="s">
        <v>43</v>
      </c>
      <c r="H1154" s="38">
        <v>10.44</v>
      </c>
      <c r="I1154" s="38" t="s">
        <v>44</v>
      </c>
      <c r="J1154" s="38" t="s">
        <v>45</v>
      </c>
      <c r="K1154" s="38" t="s">
        <v>4229</v>
      </c>
      <c r="L1154" s="30" t="s">
        <v>58</v>
      </c>
      <c r="M1154" s="38" t="s">
        <v>48</v>
      </c>
      <c r="N1154" s="38" t="s">
        <v>48</v>
      </c>
      <c r="O1154" s="31" t="s">
        <v>363</v>
      </c>
      <c r="P1154" s="28" t="s">
        <v>364</v>
      </c>
      <c r="Q1154" s="38" t="s">
        <v>4230</v>
      </c>
      <c r="R1154" s="38">
        <v>1</v>
      </c>
      <c r="S1154" s="38" t="s">
        <v>3884</v>
      </c>
      <c r="T1154" s="38" t="s">
        <v>53</v>
      </c>
      <c r="U1154" s="38" t="s">
        <v>54</v>
      </c>
      <c r="V1154" s="38" t="s">
        <v>61</v>
      </c>
      <c r="Y1154" s="38">
        <v>65.61</v>
      </c>
      <c r="Z1154" s="38">
        <v>1</v>
      </c>
      <c r="AF1154" s="38"/>
      <c r="AI1154" s="38">
        <v>1</v>
      </c>
      <c r="AJ1154" s="38">
        <v>2</v>
      </c>
      <c r="AK1154" s="14">
        <f t="shared" si="5"/>
        <v>0.5</v>
      </c>
      <c r="AM1154" s="38"/>
      <c r="AO1154" s="28"/>
    </row>
    <row r="1155" spans="1:41" ht="12.5">
      <c r="A1155" s="28" t="s">
        <v>4231</v>
      </c>
      <c r="B1155" s="37">
        <v>45792</v>
      </c>
      <c r="C1155" s="29">
        <v>45798</v>
      </c>
      <c r="D1155" s="38" t="s">
        <v>41</v>
      </c>
      <c r="E1155" s="38" t="s">
        <v>4232</v>
      </c>
      <c r="G1155" s="38" t="s">
        <v>43</v>
      </c>
      <c r="H1155" s="38">
        <v>7.36</v>
      </c>
      <c r="I1155" s="38" t="s">
        <v>44</v>
      </c>
      <c r="J1155" s="38" t="s">
        <v>45</v>
      </c>
      <c r="K1155" s="38" t="s">
        <v>4233</v>
      </c>
      <c r="L1155" s="30" t="s">
        <v>47</v>
      </c>
      <c r="M1155" s="38" t="s">
        <v>48</v>
      </c>
      <c r="N1155" s="38" t="s">
        <v>48</v>
      </c>
      <c r="O1155" s="31" t="s">
        <v>390</v>
      </c>
      <c r="P1155" s="28" t="s">
        <v>391</v>
      </c>
      <c r="Q1155" s="38" t="s">
        <v>4234</v>
      </c>
      <c r="R1155" s="38">
        <v>1</v>
      </c>
      <c r="S1155" s="38" t="s">
        <v>92</v>
      </c>
      <c r="T1155" s="38" t="s">
        <v>53</v>
      </c>
      <c r="U1155" s="38" t="s">
        <v>54</v>
      </c>
      <c r="V1155" s="38" t="s">
        <v>560</v>
      </c>
      <c r="Y1155" s="38">
        <v>45.93</v>
      </c>
      <c r="Z1155" s="38">
        <v>1</v>
      </c>
      <c r="AF1155" s="38"/>
      <c r="AI1155" s="38">
        <v>1</v>
      </c>
      <c r="AJ1155" s="38">
        <v>6</v>
      </c>
      <c r="AK1155" s="14">
        <f t="shared" si="5"/>
        <v>0.16666666666666666</v>
      </c>
      <c r="AM1155" s="38"/>
      <c r="AO1155" s="51" t="s">
        <v>4235</v>
      </c>
    </row>
    <row r="1156" spans="1:41" ht="12.5">
      <c r="A1156" s="28" t="s">
        <v>4236</v>
      </c>
      <c r="B1156" s="37">
        <v>45792</v>
      </c>
      <c r="C1156" s="29">
        <v>45796</v>
      </c>
      <c r="D1156" s="38" t="s">
        <v>41</v>
      </c>
      <c r="E1156" s="38" t="s">
        <v>4237</v>
      </c>
      <c r="G1156" s="38" t="s">
        <v>43</v>
      </c>
      <c r="H1156" s="38">
        <v>9.68</v>
      </c>
      <c r="I1156" s="38" t="s">
        <v>44</v>
      </c>
      <c r="J1156" s="38" t="s">
        <v>45</v>
      </c>
      <c r="K1156" s="38" t="s">
        <v>4238</v>
      </c>
      <c r="L1156" s="30" t="s">
        <v>58</v>
      </c>
      <c r="M1156" s="38" t="s">
        <v>48</v>
      </c>
      <c r="N1156" s="38" t="s">
        <v>48</v>
      </c>
      <c r="O1156" s="31" t="s">
        <v>2554</v>
      </c>
      <c r="P1156" s="28" t="s">
        <v>2555</v>
      </c>
      <c r="Q1156" s="38" t="s">
        <v>2556</v>
      </c>
      <c r="R1156" s="38">
        <v>1</v>
      </c>
      <c r="S1156" s="38" t="s">
        <v>59</v>
      </c>
      <c r="T1156" s="38" t="s">
        <v>53</v>
      </c>
      <c r="U1156" s="38" t="s">
        <v>54</v>
      </c>
      <c r="V1156" s="38" t="s">
        <v>55</v>
      </c>
      <c r="Y1156" s="38">
        <v>80.55</v>
      </c>
      <c r="Z1156" s="38">
        <v>1</v>
      </c>
      <c r="AF1156" s="38">
        <v>70.87</v>
      </c>
      <c r="AI1156" s="38">
        <v>2</v>
      </c>
      <c r="AJ1156" s="38">
        <v>5</v>
      </c>
      <c r="AK1156" s="14">
        <f t="shared" si="5"/>
        <v>0.4</v>
      </c>
      <c r="AM1156" s="38"/>
      <c r="AO1156" s="28"/>
    </row>
    <row r="1157" spans="1:41" ht="12.5">
      <c r="A1157" s="28" t="s">
        <v>4239</v>
      </c>
      <c r="B1157" s="37">
        <v>45787</v>
      </c>
      <c r="C1157" s="29">
        <v>45793</v>
      </c>
      <c r="D1157" s="38" t="s">
        <v>41</v>
      </c>
      <c r="E1157" s="38" t="s">
        <v>4240</v>
      </c>
      <c r="G1157" s="38" t="s">
        <v>43</v>
      </c>
      <c r="H1157" s="38">
        <v>9.68</v>
      </c>
      <c r="I1157" s="38" t="s">
        <v>44</v>
      </c>
      <c r="J1157" s="38" t="s">
        <v>45</v>
      </c>
      <c r="K1157" s="38" t="s">
        <v>4241</v>
      </c>
      <c r="L1157" s="30" t="s">
        <v>58</v>
      </c>
      <c r="M1157" s="38" t="s">
        <v>48</v>
      </c>
      <c r="N1157" s="38" t="s">
        <v>48</v>
      </c>
      <c r="O1157" s="31" t="s">
        <v>2554</v>
      </c>
      <c r="P1157" s="28" t="s">
        <v>2555</v>
      </c>
      <c r="Q1157" s="38" t="s">
        <v>2556</v>
      </c>
      <c r="R1157" s="38">
        <v>1</v>
      </c>
      <c r="S1157" s="38" t="s">
        <v>68</v>
      </c>
      <c r="T1157" s="38" t="s">
        <v>53</v>
      </c>
      <c r="U1157" s="38" t="s">
        <v>54</v>
      </c>
      <c r="V1157" s="38" t="s">
        <v>55</v>
      </c>
      <c r="Y1157" s="38">
        <v>78.55</v>
      </c>
      <c r="Z1157" s="38">
        <v>1</v>
      </c>
      <c r="AF1157" s="38">
        <v>68.87</v>
      </c>
      <c r="AK1157" s="14" t="e">
        <f t="shared" si="5"/>
        <v>#DIV/0!</v>
      </c>
      <c r="AM1157" s="38"/>
      <c r="AO1157" s="28"/>
    </row>
    <row r="1158" spans="1:41" ht="12.5">
      <c r="A1158" s="28" t="s">
        <v>4242</v>
      </c>
      <c r="B1158" s="37">
        <v>45793</v>
      </c>
      <c r="C1158" s="29">
        <v>45798</v>
      </c>
      <c r="D1158" s="38" t="s">
        <v>41</v>
      </c>
      <c r="E1158" s="38" t="s">
        <v>4243</v>
      </c>
      <c r="G1158" s="38" t="s">
        <v>43</v>
      </c>
      <c r="H1158" s="38">
        <v>17.55</v>
      </c>
      <c r="I1158" s="38" t="s">
        <v>44</v>
      </c>
      <c r="J1158" s="38" t="s">
        <v>45</v>
      </c>
      <c r="K1158" s="38" t="s">
        <v>4244</v>
      </c>
      <c r="L1158" s="30" t="s">
        <v>58</v>
      </c>
      <c r="M1158" s="38" t="s">
        <v>48</v>
      </c>
      <c r="N1158" s="38" t="s">
        <v>48</v>
      </c>
      <c r="O1158" s="31" t="s">
        <v>431</v>
      </c>
      <c r="P1158" s="28" t="s">
        <v>432</v>
      </c>
      <c r="Q1158" s="38" t="s">
        <v>2242</v>
      </c>
      <c r="R1158" s="38">
        <v>1</v>
      </c>
      <c r="S1158" s="38" t="s">
        <v>3878</v>
      </c>
      <c r="T1158" s="38" t="s">
        <v>53</v>
      </c>
      <c r="U1158" s="38" t="s">
        <v>54</v>
      </c>
      <c r="V1158" s="38" t="s">
        <v>61</v>
      </c>
      <c r="Y1158" s="38">
        <v>123.72</v>
      </c>
      <c r="Z1158" s="38">
        <v>1</v>
      </c>
      <c r="AF1158" s="38"/>
      <c r="AI1158" s="38">
        <v>1</v>
      </c>
      <c r="AJ1158" s="38">
        <v>2</v>
      </c>
      <c r="AK1158" s="14">
        <f t="shared" si="5"/>
        <v>0.5</v>
      </c>
      <c r="AM1158" s="38"/>
      <c r="AO1158" s="28"/>
    </row>
    <row r="1159" spans="1:41" ht="12.5">
      <c r="A1159" s="28" t="s">
        <v>4245</v>
      </c>
      <c r="B1159" s="37">
        <v>45786</v>
      </c>
      <c r="C1159" s="29">
        <v>45796</v>
      </c>
      <c r="D1159" s="38" t="s">
        <v>41</v>
      </c>
      <c r="E1159" s="38" t="s">
        <v>4246</v>
      </c>
      <c r="G1159" s="38" t="s">
        <v>43</v>
      </c>
      <c r="H1159" s="38">
        <v>17.55</v>
      </c>
      <c r="I1159" s="38" t="s">
        <v>44</v>
      </c>
      <c r="J1159" s="38" t="s">
        <v>45</v>
      </c>
      <c r="K1159" s="38" t="s">
        <v>4247</v>
      </c>
      <c r="L1159" s="30" t="s">
        <v>47</v>
      </c>
      <c r="M1159" s="38" t="s">
        <v>48</v>
      </c>
      <c r="N1159" s="38" t="s">
        <v>48</v>
      </c>
      <c r="O1159" s="31" t="s">
        <v>437</v>
      </c>
      <c r="P1159" s="28" t="s">
        <v>438</v>
      </c>
      <c r="Q1159" s="38" t="s">
        <v>2246</v>
      </c>
      <c r="R1159" s="38">
        <v>1</v>
      </c>
      <c r="S1159" s="38" t="s">
        <v>52</v>
      </c>
      <c r="T1159" s="38" t="s">
        <v>53</v>
      </c>
      <c r="U1159" s="38" t="s">
        <v>54</v>
      </c>
      <c r="V1159" s="38" t="s">
        <v>61</v>
      </c>
      <c r="Y1159" s="38">
        <v>115.9</v>
      </c>
      <c r="Z1159" s="38">
        <v>1</v>
      </c>
      <c r="AF1159" s="38">
        <v>100.95</v>
      </c>
      <c r="AI1159" s="38">
        <v>1</v>
      </c>
      <c r="AJ1159" s="38">
        <v>7</v>
      </c>
      <c r="AK1159" s="14">
        <f t="shared" si="5"/>
        <v>0.14285714285714285</v>
      </c>
      <c r="AM1159" s="38"/>
      <c r="AO1159" s="52" t="s">
        <v>4248</v>
      </c>
    </row>
    <row r="1160" spans="1:41" ht="12.5">
      <c r="A1160" s="28" t="s">
        <v>4249</v>
      </c>
      <c r="B1160" s="37">
        <v>45780</v>
      </c>
      <c r="C1160" s="29">
        <v>45796</v>
      </c>
      <c r="D1160" s="38" t="s">
        <v>41</v>
      </c>
      <c r="E1160" s="38" t="s">
        <v>4250</v>
      </c>
      <c r="G1160" s="38" t="s">
        <v>43</v>
      </c>
      <c r="H1160" s="38">
        <v>10.44</v>
      </c>
      <c r="I1160" s="38" t="s">
        <v>44</v>
      </c>
      <c r="J1160" s="38" t="s">
        <v>45</v>
      </c>
      <c r="K1160" s="38" t="s">
        <v>4251</v>
      </c>
      <c r="L1160" s="30" t="s">
        <v>47</v>
      </c>
      <c r="M1160" s="38" t="s">
        <v>48</v>
      </c>
      <c r="N1160" s="38" t="s">
        <v>48</v>
      </c>
      <c r="O1160" s="31" t="s">
        <v>463</v>
      </c>
      <c r="P1160" s="28" t="s">
        <v>464</v>
      </c>
      <c r="Q1160" s="38" t="s">
        <v>465</v>
      </c>
      <c r="R1160" s="38">
        <v>1</v>
      </c>
      <c r="S1160" s="38" t="s">
        <v>52</v>
      </c>
      <c r="T1160" s="38" t="s">
        <v>53</v>
      </c>
      <c r="U1160" s="38" t="s">
        <v>54</v>
      </c>
      <c r="V1160" s="38" t="s">
        <v>61</v>
      </c>
      <c r="Y1160" s="38">
        <v>81.08</v>
      </c>
      <c r="Z1160" s="38">
        <v>1</v>
      </c>
      <c r="AF1160" s="38">
        <v>81.08</v>
      </c>
      <c r="AI1160" s="38">
        <v>1</v>
      </c>
      <c r="AJ1160" s="38">
        <v>2</v>
      </c>
      <c r="AK1160" s="14">
        <f t="shared" si="5"/>
        <v>0.5</v>
      </c>
      <c r="AM1160" s="38"/>
      <c r="AO1160" s="51" t="s">
        <v>4252</v>
      </c>
    </row>
    <row r="1161" spans="1:41" ht="12.5">
      <c r="A1161" s="28" t="s">
        <v>4253</v>
      </c>
      <c r="B1161" s="37">
        <v>45779</v>
      </c>
      <c r="C1161" s="29">
        <v>45805</v>
      </c>
      <c r="D1161" s="38" t="s">
        <v>41</v>
      </c>
      <c r="E1161" s="38" t="s">
        <v>4254</v>
      </c>
      <c r="G1161" s="38" t="s">
        <v>43</v>
      </c>
      <c r="H1161" s="38">
        <v>17.190000000000001</v>
      </c>
      <c r="I1161" s="38" t="s">
        <v>44</v>
      </c>
      <c r="J1161" s="38" t="s">
        <v>45</v>
      </c>
      <c r="K1161" s="38" t="s">
        <v>4255</v>
      </c>
      <c r="L1161" s="30" t="s">
        <v>58</v>
      </c>
      <c r="M1161" s="38" t="s">
        <v>48</v>
      </c>
      <c r="N1161" s="38" t="s">
        <v>48</v>
      </c>
      <c r="O1161" s="31" t="s">
        <v>469</v>
      </c>
      <c r="P1161" s="28" t="s">
        <v>470</v>
      </c>
      <c r="Q1161" s="38" t="s">
        <v>471</v>
      </c>
      <c r="R1161" s="38">
        <v>1</v>
      </c>
      <c r="S1161" s="38" t="s">
        <v>3868</v>
      </c>
      <c r="T1161" s="38" t="s">
        <v>53</v>
      </c>
      <c r="U1161" s="38" t="s">
        <v>54</v>
      </c>
      <c r="V1161" s="38" t="s">
        <v>55</v>
      </c>
      <c r="Y1161" s="38">
        <v>104.35</v>
      </c>
      <c r="Z1161" s="38">
        <v>1</v>
      </c>
      <c r="AF1161" s="38">
        <v>87.16</v>
      </c>
      <c r="AI1161" s="38">
        <v>1</v>
      </c>
      <c r="AJ1161" s="38">
        <v>3</v>
      </c>
      <c r="AK1161" s="14">
        <f t="shared" si="5"/>
        <v>0.33333333333333331</v>
      </c>
      <c r="AM1161" s="38"/>
      <c r="AO1161" s="28"/>
    </row>
    <row r="1162" spans="1:41" ht="12.5">
      <c r="A1162" s="28" t="s">
        <v>4256</v>
      </c>
      <c r="B1162" s="37">
        <v>45796</v>
      </c>
      <c r="C1162" s="29">
        <v>45798</v>
      </c>
      <c r="D1162" s="38" t="s">
        <v>41</v>
      </c>
      <c r="E1162" s="38" t="s">
        <v>4257</v>
      </c>
      <c r="G1162" s="38" t="s">
        <v>43</v>
      </c>
      <c r="H1162" s="38">
        <v>15.04</v>
      </c>
      <c r="I1162" s="38" t="s">
        <v>44</v>
      </c>
      <c r="J1162" s="38" t="s">
        <v>45</v>
      </c>
      <c r="K1162" s="38" t="s">
        <v>4258</v>
      </c>
      <c r="L1162" s="30" t="s">
        <v>58</v>
      </c>
      <c r="M1162" s="38" t="s">
        <v>48</v>
      </c>
      <c r="N1162" s="38" t="s">
        <v>48</v>
      </c>
      <c r="O1162" s="31" t="s">
        <v>1891</v>
      </c>
      <c r="P1162" s="28" t="s">
        <v>1892</v>
      </c>
      <c r="Q1162" s="38" t="s">
        <v>1893</v>
      </c>
      <c r="R1162" s="38">
        <v>1</v>
      </c>
      <c r="S1162" s="38" t="s">
        <v>3878</v>
      </c>
      <c r="T1162" s="38" t="s">
        <v>53</v>
      </c>
      <c r="U1162" s="38" t="s">
        <v>54</v>
      </c>
      <c r="V1162" s="38" t="s">
        <v>55</v>
      </c>
      <c r="Y1162" s="38">
        <v>94.24</v>
      </c>
      <c r="Z1162" s="38">
        <v>1</v>
      </c>
      <c r="AF1162" s="38">
        <v>79.2</v>
      </c>
      <c r="AI1162" s="38">
        <v>1</v>
      </c>
      <c r="AJ1162" s="38">
        <v>1</v>
      </c>
      <c r="AK1162" s="14">
        <f t="shared" si="5"/>
        <v>1</v>
      </c>
      <c r="AM1162" s="38"/>
      <c r="AO1162" s="28"/>
    </row>
    <row r="1163" spans="1:41" ht="12.5">
      <c r="A1163" s="28" t="s">
        <v>4259</v>
      </c>
      <c r="B1163" s="37">
        <v>45781</v>
      </c>
      <c r="C1163" s="29">
        <v>45796</v>
      </c>
      <c r="D1163" s="38" t="s">
        <v>41</v>
      </c>
      <c r="E1163" s="38" t="s">
        <v>4260</v>
      </c>
      <c r="G1163" s="38" t="s">
        <v>43</v>
      </c>
      <c r="H1163" s="38">
        <v>11.17</v>
      </c>
      <c r="I1163" s="38" t="s">
        <v>44</v>
      </c>
      <c r="J1163" s="38" t="s">
        <v>45</v>
      </c>
      <c r="K1163" s="38" t="s">
        <v>4261</v>
      </c>
      <c r="L1163" s="30" t="s">
        <v>58</v>
      </c>
      <c r="M1163" s="38" t="s">
        <v>48</v>
      </c>
      <c r="N1163" s="38" t="s">
        <v>48</v>
      </c>
      <c r="O1163" s="31" t="s">
        <v>511</v>
      </c>
      <c r="P1163" s="28" t="s">
        <v>512</v>
      </c>
      <c r="Q1163" s="38" t="s">
        <v>513</v>
      </c>
      <c r="R1163" s="38">
        <v>1</v>
      </c>
      <c r="S1163" s="38" t="s">
        <v>75</v>
      </c>
      <c r="T1163" s="38" t="s">
        <v>53</v>
      </c>
      <c r="U1163" s="38" t="s">
        <v>54</v>
      </c>
      <c r="V1163" s="38" t="s">
        <v>55</v>
      </c>
      <c r="Y1163" s="38">
        <v>74.819999999999993</v>
      </c>
      <c r="Z1163" s="38">
        <v>1</v>
      </c>
      <c r="AF1163" s="38">
        <v>63.65</v>
      </c>
      <c r="AI1163" s="38">
        <v>1</v>
      </c>
      <c r="AJ1163" s="38">
        <v>9</v>
      </c>
      <c r="AK1163" s="14">
        <f t="shared" si="5"/>
        <v>0.1111111111111111</v>
      </c>
      <c r="AM1163" s="38"/>
      <c r="AO1163" s="28"/>
    </row>
    <row r="1164" spans="1:41" ht="12.5">
      <c r="A1164" s="28" t="s">
        <v>4262</v>
      </c>
      <c r="B1164" s="37">
        <v>45779</v>
      </c>
      <c r="C1164" s="29">
        <v>45794</v>
      </c>
      <c r="D1164" s="38" t="s">
        <v>41</v>
      </c>
      <c r="E1164" s="38"/>
      <c r="G1164" s="38" t="s">
        <v>137</v>
      </c>
      <c r="H1164" s="38">
        <v>0</v>
      </c>
      <c r="I1164" s="38"/>
      <c r="J1164" s="38"/>
      <c r="K1164" s="38"/>
      <c r="L1164" s="30" t="s">
        <v>58</v>
      </c>
      <c r="M1164" s="38" t="s">
        <v>48</v>
      </c>
      <c r="N1164" s="38" t="s">
        <v>48</v>
      </c>
      <c r="O1164" s="31" t="s">
        <v>4263</v>
      </c>
      <c r="P1164" s="28" t="s">
        <v>4264</v>
      </c>
      <c r="Q1164" s="38" t="s">
        <v>4265</v>
      </c>
      <c r="R1164" s="38">
        <v>1</v>
      </c>
      <c r="S1164" s="38" t="s">
        <v>59</v>
      </c>
      <c r="T1164" s="38" t="s">
        <v>53</v>
      </c>
      <c r="U1164" s="38" t="s">
        <v>54</v>
      </c>
      <c r="V1164" s="38" t="s">
        <v>141</v>
      </c>
      <c r="Y1164" s="38">
        <v>83.3</v>
      </c>
      <c r="Z1164" s="38">
        <v>1</v>
      </c>
      <c r="AF1164" s="38">
        <v>83.3</v>
      </c>
      <c r="AI1164" s="38">
        <v>1</v>
      </c>
      <c r="AJ1164" s="38">
        <v>0</v>
      </c>
      <c r="AK1164" s="14" t="e">
        <f t="shared" si="5"/>
        <v>#DIV/0!</v>
      </c>
      <c r="AM1164" s="38"/>
      <c r="AO1164" s="28"/>
    </row>
    <row r="1165" spans="1:41" ht="12.5">
      <c r="A1165" s="28" t="s">
        <v>4266</v>
      </c>
      <c r="B1165" s="37">
        <v>45789</v>
      </c>
      <c r="C1165" s="29">
        <v>45798</v>
      </c>
      <c r="D1165" s="38" t="s">
        <v>41</v>
      </c>
      <c r="E1165" s="38"/>
      <c r="G1165" s="38" t="s">
        <v>137</v>
      </c>
      <c r="H1165" s="38">
        <v>0</v>
      </c>
      <c r="I1165" s="38"/>
      <c r="J1165" s="38"/>
      <c r="K1165" s="38"/>
      <c r="L1165" s="30" t="s">
        <v>58</v>
      </c>
      <c r="M1165" s="38" t="s">
        <v>48</v>
      </c>
      <c r="N1165" s="38" t="s">
        <v>48</v>
      </c>
      <c r="O1165" s="31" t="s">
        <v>4267</v>
      </c>
      <c r="P1165" s="28" t="s">
        <v>4268</v>
      </c>
      <c r="Q1165" s="38" t="s">
        <v>4269</v>
      </c>
      <c r="R1165" s="38">
        <v>1</v>
      </c>
      <c r="S1165" s="38" t="s">
        <v>59</v>
      </c>
      <c r="T1165" s="38" t="s">
        <v>53</v>
      </c>
      <c r="U1165" s="38" t="s">
        <v>54</v>
      </c>
      <c r="V1165" s="38" t="s">
        <v>141</v>
      </c>
      <c r="Y1165" s="38">
        <v>36.53</v>
      </c>
      <c r="Z1165" s="38">
        <v>1</v>
      </c>
      <c r="AF1165" s="38">
        <v>36.53</v>
      </c>
      <c r="AI1165" s="38">
        <v>1</v>
      </c>
      <c r="AJ1165" s="38">
        <v>2</v>
      </c>
      <c r="AK1165" s="14">
        <f t="shared" si="5"/>
        <v>0.5</v>
      </c>
      <c r="AM1165" s="38"/>
      <c r="AO1165" s="28"/>
    </row>
    <row r="1166" spans="1:41" ht="12.5">
      <c r="A1166" s="28" t="s">
        <v>4270</v>
      </c>
      <c r="B1166" s="37">
        <v>45799</v>
      </c>
      <c r="C1166" s="29">
        <v>45806</v>
      </c>
      <c r="D1166" s="38" t="s">
        <v>41</v>
      </c>
      <c r="E1166" s="38" t="s">
        <v>4271</v>
      </c>
      <c r="G1166" s="38" t="s">
        <v>43</v>
      </c>
      <c r="H1166" s="38">
        <v>14.12</v>
      </c>
      <c r="I1166" s="38" t="s">
        <v>44</v>
      </c>
      <c r="J1166" s="38" t="s">
        <v>45</v>
      </c>
      <c r="K1166" s="38" t="s">
        <v>4272</v>
      </c>
      <c r="L1166" s="30" t="s">
        <v>47</v>
      </c>
      <c r="M1166" s="38" t="s">
        <v>48</v>
      </c>
      <c r="N1166" s="38" t="s">
        <v>48</v>
      </c>
      <c r="O1166" s="31" t="s">
        <v>2593</v>
      </c>
      <c r="P1166" s="28" t="s">
        <v>2594</v>
      </c>
      <c r="Q1166" s="38" t="s">
        <v>2595</v>
      </c>
      <c r="R1166" s="38">
        <v>1</v>
      </c>
      <c r="S1166" s="38" t="s">
        <v>156</v>
      </c>
      <c r="T1166" s="38" t="s">
        <v>53</v>
      </c>
      <c r="U1166" s="38" t="s">
        <v>54</v>
      </c>
      <c r="V1166" s="38" t="s">
        <v>61</v>
      </c>
      <c r="Y1166" s="38"/>
      <c r="Z1166" s="38">
        <v>1</v>
      </c>
      <c r="AF1166" s="38"/>
      <c r="AI1166" s="38">
        <v>2</v>
      </c>
      <c r="AJ1166" s="38">
        <v>4</v>
      </c>
      <c r="AK1166" s="14">
        <f t="shared" si="5"/>
        <v>0.5</v>
      </c>
      <c r="AM1166" s="38"/>
      <c r="AO1166" s="28"/>
    </row>
    <row r="1167" spans="1:41" ht="12.5">
      <c r="A1167" s="28" t="s">
        <v>4273</v>
      </c>
      <c r="B1167" s="37">
        <v>45796</v>
      </c>
      <c r="C1167" s="29">
        <v>45799</v>
      </c>
      <c r="D1167" s="38" t="s">
        <v>41</v>
      </c>
      <c r="E1167" s="38" t="s">
        <v>4274</v>
      </c>
      <c r="G1167" s="38" t="s">
        <v>43</v>
      </c>
      <c r="H1167" s="38">
        <v>14.12</v>
      </c>
      <c r="I1167" s="38" t="s">
        <v>44</v>
      </c>
      <c r="J1167" s="38" t="s">
        <v>45</v>
      </c>
      <c r="K1167" s="38" t="s">
        <v>4275</v>
      </c>
      <c r="L1167" s="30" t="s">
        <v>47</v>
      </c>
      <c r="M1167" s="38" t="s">
        <v>48</v>
      </c>
      <c r="N1167" s="38" t="s">
        <v>48</v>
      </c>
      <c r="O1167" s="31" t="s">
        <v>2593</v>
      </c>
      <c r="P1167" s="28" t="s">
        <v>2594</v>
      </c>
      <c r="Q1167" s="38" t="s">
        <v>2595</v>
      </c>
      <c r="R1167" s="38">
        <v>1</v>
      </c>
      <c r="S1167" s="38" t="s">
        <v>92</v>
      </c>
      <c r="T1167" s="38" t="s">
        <v>53</v>
      </c>
      <c r="U1167" s="38" t="s">
        <v>54</v>
      </c>
      <c r="V1167" s="38" t="s">
        <v>560</v>
      </c>
      <c r="Y1167" s="38">
        <v>80.930000000000007</v>
      </c>
      <c r="Z1167" s="38">
        <v>1</v>
      </c>
      <c r="AF1167" s="38"/>
      <c r="AK1167" s="14" t="e">
        <f t="shared" si="5"/>
        <v>#DIV/0!</v>
      </c>
      <c r="AM1167" s="38"/>
      <c r="AO1167" s="51" t="s">
        <v>4276</v>
      </c>
    </row>
    <row r="1168" spans="1:41" ht="12.5">
      <c r="A1168" s="28" t="s">
        <v>4277</v>
      </c>
      <c r="B1168" s="37">
        <v>45801</v>
      </c>
      <c r="C1168" s="29">
        <v>45807</v>
      </c>
      <c r="D1168" s="38" t="s">
        <v>41</v>
      </c>
      <c r="E1168" s="38" t="s">
        <v>4278</v>
      </c>
      <c r="G1168" s="38" t="s">
        <v>43</v>
      </c>
      <c r="H1168" s="38">
        <v>11.17</v>
      </c>
      <c r="I1168" s="38" t="s">
        <v>44</v>
      </c>
      <c r="J1168" s="38" t="s">
        <v>45</v>
      </c>
      <c r="K1168" s="38" t="s">
        <v>4279</v>
      </c>
      <c r="L1168" s="30" t="s">
        <v>58</v>
      </c>
      <c r="M1168" s="38" t="s">
        <v>48</v>
      </c>
      <c r="N1168" s="38" t="s">
        <v>48</v>
      </c>
      <c r="O1168" s="31" t="s">
        <v>517</v>
      </c>
      <c r="P1168" s="28" t="s">
        <v>518</v>
      </c>
      <c r="Q1168" s="38" t="s">
        <v>4280</v>
      </c>
      <c r="R1168" s="38">
        <v>1</v>
      </c>
      <c r="S1168" s="38" t="s">
        <v>3878</v>
      </c>
      <c r="T1168" s="38" t="s">
        <v>53</v>
      </c>
      <c r="U1168" s="38" t="s">
        <v>54</v>
      </c>
      <c r="V1168" s="38" t="s">
        <v>61</v>
      </c>
      <c r="Y1168" s="38">
        <v>74.02</v>
      </c>
      <c r="Z1168" s="38">
        <v>1</v>
      </c>
      <c r="AF1168" s="38"/>
      <c r="AI1168" s="38">
        <v>3</v>
      </c>
      <c r="AJ1168" s="38">
        <v>4</v>
      </c>
      <c r="AK1168" s="14">
        <f t="shared" si="5"/>
        <v>0.75</v>
      </c>
      <c r="AM1168" s="38"/>
      <c r="AO1168" s="28"/>
    </row>
    <row r="1169" spans="1:41" ht="12.5">
      <c r="A1169" s="28" t="s">
        <v>4281</v>
      </c>
      <c r="B1169" s="37">
        <v>45803</v>
      </c>
      <c r="C1169" s="29">
        <v>45806</v>
      </c>
      <c r="D1169" s="38" t="s">
        <v>41</v>
      </c>
      <c r="E1169" s="38" t="s">
        <v>4282</v>
      </c>
      <c r="G1169" s="38" t="s">
        <v>43</v>
      </c>
      <c r="H1169" s="38">
        <v>11.17</v>
      </c>
      <c r="I1169" s="38" t="s">
        <v>44</v>
      </c>
      <c r="J1169" s="38" t="s">
        <v>45</v>
      </c>
      <c r="K1169" s="38" t="s">
        <v>4283</v>
      </c>
      <c r="L1169" s="30" t="s">
        <v>47</v>
      </c>
      <c r="M1169" s="38" t="s">
        <v>48</v>
      </c>
      <c r="N1169" s="38" t="s">
        <v>48</v>
      </c>
      <c r="O1169" s="31" t="s">
        <v>517</v>
      </c>
      <c r="P1169" s="28" t="s">
        <v>518</v>
      </c>
      <c r="Q1169" s="38" t="s">
        <v>4280</v>
      </c>
      <c r="R1169" s="38">
        <v>1</v>
      </c>
      <c r="S1169" s="38" t="s">
        <v>92</v>
      </c>
      <c r="T1169" s="38" t="s">
        <v>53</v>
      </c>
      <c r="U1169" s="38" t="s">
        <v>54</v>
      </c>
      <c r="V1169" s="38" t="s">
        <v>55</v>
      </c>
      <c r="Y1169" s="38">
        <v>71.98</v>
      </c>
      <c r="Z1169" s="38">
        <v>1</v>
      </c>
      <c r="AF1169" s="38">
        <v>71.98</v>
      </c>
      <c r="AK1169" s="14" t="e">
        <f t="shared" si="5"/>
        <v>#DIV/0!</v>
      </c>
      <c r="AM1169" s="38"/>
      <c r="AO1169" s="51" t="s">
        <v>4284</v>
      </c>
    </row>
    <row r="1170" spans="1:41" ht="12.5">
      <c r="A1170" s="28" t="s">
        <v>4285</v>
      </c>
      <c r="B1170" s="37">
        <v>45787</v>
      </c>
      <c r="C1170" s="29">
        <v>45794</v>
      </c>
      <c r="D1170" s="38" t="s">
        <v>41</v>
      </c>
      <c r="E1170" s="38" t="s">
        <v>4286</v>
      </c>
      <c r="G1170" s="38" t="s">
        <v>43</v>
      </c>
      <c r="H1170" s="38">
        <v>11.17</v>
      </c>
      <c r="I1170" s="38" t="s">
        <v>44</v>
      </c>
      <c r="J1170" s="38" t="s">
        <v>45</v>
      </c>
      <c r="K1170" s="38" t="s">
        <v>4287</v>
      </c>
      <c r="L1170" s="30" t="s">
        <v>58</v>
      </c>
      <c r="M1170" s="38" t="s">
        <v>48</v>
      </c>
      <c r="N1170" s="38" t="s">
        <v>48</v>
      </c>
      <c r="O1170" s="31" t="s">
        <v>517</v>
      </c>
      <c r="P1170" s="28" t="s">
        <v>518</v>
      </c>
      <c r="Q1170" s="38" t="s">
        <v>519</v>
      </c>
      <c r="R1170" s="38">
        <v>1</v>
      </c>
      <c r="S1170" s="38" t="s">
        <v>3884</v>
      </c>
      <c r="T1170" s="38" t="s">
        <v>53</v>
      </c>
      <c r="U1170" s="38" t="s">
        <v>54</v>
      </c>
      <c r="V1170" s="38" t="s">
        <v>55</v>
      </c>
      <c r="Y1170" s="38">
        <v>71.98</v>
      </c>
      <c r="Z1170" s="38">
        <v>1</v>
      </c>
      <c r="AF1170" s="38">
        <v>60.81</v>
      </c>
      <c r="AK1170" s="14" t="e">
        <f t="shared" si="5"/>
        <v>#DIV/0!</v>
      </c>
      <c r="AM1170" s="38"/>
      <c r="AO1170" s="28"/>
    </row>
    <row r="1171" spans="1:41" ht="12.5">
      <c r="A1171" s="28" t="s">
        <v>4288</v>
      </c>
      <c r="B1171" s="37">
        <v>45776</v>
      </c>
      <c r="C1171" s="29">
        <v>45806</v>
      </c>
      <c r="D1171" s="38" t="s">
        <v>41</v>
      </c>
      <c r="E1171" s="38" t="s">
        <v>4289</v>
      </c>
      <c r="G1171" s="38" t="s">
        <v>43</v>
      </c>
      <c r="H1171" s="38">
        <v>11.17</v>
      </c>
      <c r="I1171" s="38" t="s">
        <v>44</v>
      </c>
      <c r="J1171" s="38" t="s">
        <v>45</v>
      </c>
      <c r="K1171" s="38" t="s">
        <v>4290</v>
      </c>
      <c r="L1171" s="30" t="s">
        <v>58</v>
      </c>
      <c r="M1171" s="38" t="s">
        <v>48</v>
      </c>
      <c r="N1171" s="38" t="s">
        <v>48</v>
      </c>
      <c r="O1171" s="31" t="s">
        <v>536</v>
      </c>
      <c r="P1171" s="28" t="s">
        <v>537</v>
      </c>
      <c r="Q1171" s="38" t="s">
        <v>4291</v>
      </c>
      <c r="R1171" s="38">
        <v>1</v>
      </c>
      <c r="S1171" s="38" t="s">
        <v>3878</v>
      </c>
      <c r="T1171" s="38" t="s">
        <v>53</v>
      </c>
      <c r="U1171" s="38" t="s">
        <v>54</v>
      </c>
      <c r="V1171" s="38" t="s">
        <v>55</v>
      </c>
      <c r="Y1171" s="38">
        <v>83.64</v>
      </c>
      <c r="Z1171" s="38">
        <v>1</v>
      </c>
      <c r="AF1171" s="38">
        <v>72.47</v>
      </c>
      <c r="AI1171" s="38">
        <v>1</v>
      </c>
      <c r="AJ1171" s="38">
        <v>4</v>
      </c>
      <c r="AK1171" s="14">
        <f t="shared" si="5"/>
        <v>0.25</v>
      </c>
      <c r="AM1171" s="38"/>
      <c r="AO1171" s="28"/>
    </row>
    <row r="1172" spans="1:41" ht="12.5">
      <c r="A1172" s="28" t="s">
        <v>4292</v>
      </c>
      <c r="B1172" s="37">
        <v>45798</v>
      </c>
      <c r="C1172" s="29">
        <v>45801</v>
      </c>
      <c r="D1172" s="38" t="s">
        <v>41</v>
      </c>
      <c r="E1172" s="38" t="s">
        <v>4293</v>
      </c>
      <c r="G1172" s="38" t="s">
        <v>43</v>
      </c>
      <c r="H1172" s="38">
        <v>20.65</v>
      </c>
      <c r="I1172" s="38" t="s">
        <v>44</v>
      </c>
      <c r="J1172" s="38" t="s">
        <v>45</v>
      </c>
      <c r="K1172" s="38" t="s">
        <v>4294</v>
      </c>
      <c r="L1172" s="30" t="s">
        <v>47</v>
      </c>
      <c r="M1172" s="38" t="s">
        <v>48</v>
      </c>
      <c r="N1172" s="38" t="s">
        <v>48</v>
      </c>
      <c r="O1172" s="31" t="s">
        <v>551</v>
      </c>
      <c r="P1172" s="28" t="s">
        <v>552</v>
      </c>
      <c r="Q1172" s="38" t="s">
        <v>553</v>
      </c>
      <c r="R1172" s="38">
        <v>1</v>
      </c>
      <c r="S1172" s="38" t="s">
        <v>99</v>
      </c>
      <c r="T1172" s="38" t="s">
        <v>53</v>
      </c>
      <c r="U1172" s="38" t="s">
        <v>54</v>
      </c>
      <c r="V1172" s="38" t="s">
        <v>61</v>
      </c>
      <c r="Y1172" s="38">
        <v>99.86</v>
      </c>
      <c r="Z1172" s="38">
        <v>1</v>
      </c>
      <c r="AF1172" s="38"/>
      <c r="AI1172" s="38">
        <v>1</v>
      </c>
      <c r="AJ1172" s="38">
        <v>3</v>
      </c>
      <c r="AK1172" s="14">
        <f t="shared" si="5"/>
        <v>0.33333333333333331</v>
      </c>
      <c r="AM1172" s="38"/>
      <c r="AO1172" s="28"/>
    </row>
    <row r="1173" spans="1:41" ht="12.5">
      <c r="A1173" s="28" t="s">
        <v>4295</v>
      </c>
      <c r="B1173" s="37">
        <v>45791</v>
      </c>
      <c r="C1173" s="29">
        <v>45796</v>
      </c>
      <c r="D1173" s="38" t="s">
        <v>41</v>
      </c>
      <c r="E1173" s="38" t="s">
        <v>4296</v>
      </c>
      <c r="G1173" s="38" t="s">
        <v>43</v>
      </c>
      <c r="H1173" s="38">
        <v>18.12</v>
      </c>
      <c r="I1173" s="38" t="s">
        <v>44</v>
      </c>
      <c r="J1173" s="38" t="s">
        <v>45</v>
      </c>
      <c r="K1173" s="38" t="s">
        <v>4297</v>
      </c>
      <c r="L1173" s="30" t="s">
        <v>47</v>
      </c>
      <c r="M1173" s="38" t="s">
        <v>48</v>
      </c>
      <c r="N1173" s="38" t="s">
        <v>48</v>
      </c>
      <c r="O1173" s="31" t="s">
        <v>4298</v>
      </c>
      <c r="P1173" s="28" t="s">
        <v>4299</v>
      </c>
      <c r="Q1173" s="38" t="s">
        <v>4300</v>
      </c>
      <c r="R1173" s="38">
        <v>1</v>
      </c>
      <c r="S1173" s="38" t="s">
        <v>52</v>
      </c>
      <c r="T1173" s="38" t="s">
        <v>53</v>
      </c>
      <c r="U1173" s="38" t="s">
        <v>54</v>
      </c>
      <c r="V1173" s="38" t="s">
        <v>61</v>
      </c>
      <c r="Y1173" s="38">
        <v>99.63</v>
      </c>
      <c r="Z1173" s="38">
        <v>1</v>
      </c>
      <c r="AF1173" s="38"/>
      <c r="AI1173" s="38">
        <v>1</v>
      </c>
      <c r="AJ1173" s="38">
        <v>1</v>
      </c>
      <c r="AK1173" s="14">
        <f t="shared" si="5"/>
        <v>1</v>
      </c>
      <c r="AM1173" s="38"/>
      <c r="AO1173" s="51" t="s">
        <v>4301</v>
      </c>
    </row>
    <row r="1174" spans="1:41" ht="12.5">
      <c r="A1174" s="28" t="s">
        <v>4302</v>
      </c>
      <c r="B1174" s="37">
        <v>45802</v>
      </c>
      <c r="C1174" s="29">
        <v>45805</v>
      </c>
      <c r="D1174" s="38" t="s">
        <v>41</v>
      </c>
      <c r="E1174" s="38" t="s">
        <v>4303</v>
      </c>
      <c r="G1174" s="38" t="s">
        <v>43</v>
      </c>
      <c r="H1174" s="38">
        <v>15.43</v>
      </c>
      <c r="I1174" s="38" t="s">
        <v>44</v>
      </c>
      <c r="J1174" s="38" t="s">
        <v>45</v>
      </c>
      <c r="K1174" s="38" t="s">
        <v>4304</v>
      </c>
      <c r="L1174" s="30" t="s">
        <v>47</v>
      </c>
      <c r="M1174" s="38" t="s">
        <v>48</v>
      </c>
      <c r="N1174" s="38" t="s">
        <v>48</v>
      </c>
      <c r="O1174" s="40" t="s">
        <v>557</v>
      </c>
      <c r="P1174" s="28" t="s">
        <v>558</v>
      </c>
      <c r="Q1174" s="38" t="s">
        <v>559</v>
      </c>
      <c r="R1174" s="38">
        <v>1</v>
      </c>
      <c r="S1174" s="38" t="s">
        <v>92</v>
      </c>
      <c r="T1174" s="38" t="s">
        <v>53</v>
      </c>
      <c r="U1174" s="38" t="s">
        <v>54</v>
      </c>
      <c r="V1174" s="38" t="s">
        <v>560</v>
      </c>
      <c r="Y1174" s="38">
        <v>101.15</v>
      </c>
      <c r="Z1174" s="38">
        <v>1</v>
      </c>
      <c r="AF1174" s="38"/>
      <c r="AI1174" s="38">
        <v>1</v>
      </c>
      <c r="AJ1174" s="38">
        <v>4</v>
      </c>
      <c r="AK1174" s="14">
        <f t="shared" si="5"/>
        <v>0.25</v>
      </c>
      <c r="AM1174" s="38"/>
      <c r="AO1174" s="51" t="s">
        <v>4305</v>
      </c>
    </row>
    <row r="1175" spans="1:41" ht="12.5">
      <c r="A1175" s="28" t="s">
        <v>4306</v>
      </c>
      <c r="B1175" s="37">
        <v>45782</v>
      </c>
      <c r="C1175" s="29">
        <v>45796</v>
      </c>
      <c r="D1175" s="38" t="s">
        <v>41</v>
      </c>
      <c r="E1175" s="38" t="s">
        <v>4307</v>
      </c>
      <c r="G1175" s="38" t="s">
        <v>43</v>
      </c>
      <c r="H1175" s="38">
        <v>13.65</v>
      </c>
      <c r="I1175" s="38" t="s">
        <v>44</v>
      </c>
      <c r="J1175" s="38" t="s">
        <v>45</v>
      </c>
      <c r="K1175" s="38" t="s">
        <v>4308</v>
      </c>
      <c r="L1175" s="30" t="s">
        <v>58</v>
      </c>
      <c r="M1175" s="38" t="s">
        <v>48</v>
      </c>
      <c r="N1175" s="38" t="s">
        <v>48</v>
      </c>
      <c r="O1175" s="31" t="s">
        <v>1349</v>
      </c>
      <c r="P1175" s="28" t="s">
        <v>1350</v>
      </c>
      <c r="Q1175" s="38" t="s">
        <v>1351</v>
      </c>
      <c r="R1175" s="38">
        <v>1</v>
      </c>
      <c r="S1175" s="38" t="s">
        <v>3878</v>
      </c>
      <c r="T1175" s="38" t="s">
        <v>53</v>
      </c>
      <c r="U1175" s="38" t="s">
        <v>54</v>
      </c>
      <c r="V1175" s="38" t="s">
        <v>61</v>
      </c>
      <c r="Y1175" s="38">
        <v>129.66</v>
      </c>
      <c r="Z1175" s="38">
        <v>1</v>
      </c>
      <c r="AF1175" s="38">
        <v>113.89</v>
      </c>
      <c r="AI1175" s="38">
        <v>1</v>
      </c>
      <c r="AJ1175" s="38">
        <v>3</v>
      </c>
      <c r="AK1175" s="14">
        <f t="shared" si="5"/>
        <v>0.33333333333333331</v>
      </c>
      <c r="AM1175" s="38"/>
      <c r="AO1175" s="28"/>
    </row>
    <row r="1176" spans="1:41" ht="12.5">
      <c r="A1176" s="28" t="s">
        <v>4309</v>
      </c>
      <c r="B1176" s="37">
        <v>45802</v>
      </c>
      <c r="C1176" s="29">
        <v>45805</v>
      </c>
      <c r="D1176" s="38" t="s">
        <v>41</v>
      </c>
      <c r="E1176" s="38" t="s">
        <v>4310</v>
      </c>
      <c r="G1176" s="38" t="s">
        <v>43</v>
      </c>
      <c r="H1176" s="38">
        <v>13.65</v>
      </c>
      <c r="I1176" s="38" t="s">
        <v>44</v>
      </c>
      <c r="J1176" s="38" t="s">
        <v>45</v>
      </c>
      <c r="K1176" s="38" t="s">
        <v>4311</v>
      </c>
      <c r="L1176" s="30" t="s">
        <v>58</v>
      </c>
      <c r="M1176" s="38" t="s">
        <v>48</v>
      </c>
      <c r="N1176" s="38" t="s">
        <v>48</v>
      </c>
      <c r="O1176" s="31" t="s">
        <v>3493</v>
      </c>
      <c r="P1176" s="28" t="s">
        <v>3494</v>
      </c>
      <c r="Q1176" s="38" t="s">
        <v>3495</v>
      </c>
      <c r="R1176" s="38">
        <v>1</v>
      </c>
      <c r="S1176" s="38" t="s">
        <v>59</v>
      </c>
      <c r="T1176" s="38" t="s">
        <v>53</v>
      </c>
      <c r="U1176" s="38" t="s">
        <v>54</v>
      </c>
      <c r="V1176" s="38" t="s">
        <v>61</v>
      </c>
      <c r="Y1176" s="38">
        <v>113.55</v>
      </c>
      <c r="Z1176" s="38">
        <v>1</v>
      </c>
      <c r="AF1176" s="38"/>
      <c r="AI1176" s="38">
        <v>1</v>
      </c>
      <c r="AJ1176" s="38">
        <v>6</v>
      </c>
      <c r="AK1176" s="14">
        <f t="shared" si="5"/>
        <v>0.16666666666666666</v>
      </c>
      <c r="AM1176" s="38"/>
      <c r="AO1176" s="28"/>
    </row>
    <row r="1177" spans="1:41" ht="12.5">
      <c r="A1177" s="28" t="s">
        <v>4312</v>
      </c>
      <c r="B1177" s="37">
        <v>45789</v>
      </c>
      <c r="C1177" s="29">
        <v>45804</v>
      </c>
      <c r="D1177" s="38" t="s">
        <v>41</v>
      </c>
      <c r="E1177" s="38" t="s">
        <v>4313</v>
      </c>
      <c r="G1177" s="38" t="s">
        <v>43</v>
      </c>
      <c r="H1177" s="38">
        <v>11.82</v>
      </c>
      <c r="I1177" s="38" t="s">
        <v>44</v>
      </c>
      <c r="J1177" s="38" t="s">
        <v>45</v>
      </c>
      <c r="K1177" s="38" t="s">
        <v>4314</v>
      </c>
      <c r="L1177" s="30" t="s">
        <v>58</v>
      </c>
      <c r="M1177" s="38" t="s">
        <v>48</v>
      </c>
      <c r="N1177" s="38" t="s">
        <v>48</v>
      </c>
      <c r="O1177" s="31" t="s">
        <v>566</v>
      </c>
      <c r="P1177" s="28" t="s">
        <v>567</v>
      </c>
      <c r="Q1177" s="38" t="s">
        <v>568</v>
      </c>
      <c r="R1177" s="38">
        <v>1</v>
      </c>
      <c r="S1177" s="38" t="s">
        <v>3884</v>
      </c>
      <c r="T1177" s="38" t="s">
        <v>53</v>
      </c>
      <c r="U1177" s="38" t="s">
        <v>54</v>
      </c>
      <c r="V1177" s="38" t="s">
        <v>61</v>
      </c>
      <c r="Y1177" s="38">
        <v>134.12</v>
      </c>
      <c r="Z1177" s="38">
        <v>1</v>
      </c>
      <c r="AF1177" s="38"/>
      <c r="AI1177" s="38">
        <v>2</v>
      </c>
      <c r="AJ1177" s="38">
        <v>1</v>
      </c>
      <c r="AK1177" s="14">
        <f t="shared" si="5"/>
        <v>2</v>
      </c>
      <c r="AM1177" s="38"/>
      <c r="AO1177" s="28"/>
    </row>
    <row r="1178" spans="1:41" ht="12.5">
      <c r="A1178" s="28" t="s">
        <v>4315</v>
      </c>
      <c r="B1178" s="37">
        <v>45794</v>
      </c>
      <c r="C1178" s="29">
        <v>45802</v>
      </c>
      <c r="D1178" s="38" t="s">
        <v>41</v>
      </c>
      <c r="E1178" s="38" t="s">
        <v>4316</v>
      </c>
      <c r="G1178" s="38" t="s">
        <v>43</v>
      </c>
      <c r="H1178" s="38">
        <v>11.82</v>
      </c>
      <c r="I1178" s="38" t="s">
        <v>44</v>
      </c>
      <c r="J1178" s="38" t="s">
        <v>45</v>
      </c>
      <c r="K1178" s="38" t="s">
        <v>4317</v>
      </c>
      <c r="L1178" s="30" t="s">
        <v>58</v>
      </c>
      <c r="M1178" s="38" t="s">
        <v>48</v>
      </c>
      <c r="N1178" s="38" t="s">
        <v>48</v>
      </c>
      <c r="O1178" s="31" t="s">
        <v>566</v>
      </c>
      <c r="P1178" s="28" t="s">
        <v>567</v>
      </c>
      <c r="Q1178" s="38" t="s">
        <v>568</v>
      </c>
      <c r="R1178" s="38">
        <v>1</v>
      </c>
      <c r="S1178" s="38" t="s">
        <v>3868</v>
      </c>
      <c r="T1178" s="38" t="s">
        <v>53</v>
      </c>
      <c r="U1178" s="38" t="s">
        <v>54</v>
      </c>
      <c r="V1178" s="38" t="s">
        <v>61</v>
      </c>
      <c r="Y1178" s="38">
        <v>131.34</v>
      </c>
      <c r="Z1178" s="38">
        <v>1</v>
      </c>
      <c r="AF1178" s="38"/>
      <c r="AK1178" s="14" t="e">
        <f t="shared" si="5"/>
        <v>#DIV/0!</v>
      </c>
      <c r="AM1178" s="38"/>
      <c r="AO1178" s="28"/>
    </row>
    <row r="1179" spans="1:41" ht="12.5">
      <c r="A1179" s="28" t="s">
        <v>4318</v>
      </c>
      <c r="B1179" s="37">
        <v>45796</v>
      </c>
      <c r="C1179" s="29">
        <v>45799</v>
      </c>
      <c r="D1179" s="38" t="s">
        <v>41</v>
      </c>
      <c r="E1179" s="38" t="s">
        <v>4319</v>
      </c>
      <c r="G1179" s="38" t="s">
        <v>43</v>
      </c>
      <c r="H1179" s="38">
        <v>16.91</v>
      </c>
      <c r="I1179" s="38" t="s">
        <v>44</v>
      </c>
      <c r="J1179" s="38" t="s">
        <v>45</v>
      </c>
      <c r="K1179" s="38" t="s">
        <v>4320</v>
      </c>
      <c r="L1179" s="30" t="s">
        <v>58</v>
      </c>
      <c r="M1179" s="38" t="s">
        <v>48</v>
      </c>
      <c r="N1179" s="38" t="s">
        <v>48</v>
      </c>
      <c r="O1179" s="31" t="s">
        <v>587</v>
      </c>
      <c r="P1179" s="28" t="s">
        <v>588</v>
      </c>
      <c r="Q1179" s="38" t="s">
        <v>3180</v>
      </c>
      <c r="R1179" s="38">
        <v>1</v>
      </c>
      <c r="S1179" s="38" t="s">
        <v>3884</v>
      </c>
      <c r="T1179" s="38" t="s">
        <v>53</v>
      </c>
      <c r="U1179" s="38" t="s">
        <v>54</v>
      </c>
      <c r="V1179" s="38" t="s">
        <v>55</v>
      </c>
      <c r="Y1179" s="38">
        <v>116.55</v>
      </c>
      <c r="Z1179" s="38">
        <v>1</v>
      </c>
      <c r="AF1179" s="38">
        <v>99.64</v>
      </c>
      <c r="AI1179" s="38">
        <v>1</v>
      </c>
      <c r="AJ1179" s="38">
        <v>4</v>
      </c>
      <c r="AK1179" s="14">
        <f t="shared" si="5"/>
        <v>0.25</v>
      </c>
      <c r="AM1179" s="38"/>
      <c r="AO1179" s="28"/>
    </row>
    <row r="1180" spans="1:41" ht="12.5">
      <c r="A1180" s="28" t="s">
        <v>4321</v>
      </c>
      <c r="B1180" s="37">
        <v>45792</v>
      </c>
      <c r="C1180" s="29">
        <v>45796</v>
      </c>
      <c r="D1180" s="38" t="s">
        <v>41</v>
      </c>
      <c r="E1180" s="38" t="s">
        <v>4322</v>
      </c>
      <c r="G1180" s="38" t="s">
        <v>137</v>
      </c>
      <c r="H1180" s="38">
        <v>0</v>
      </c>
      <c r="I1180" s="38"/>
      <c r="J1180" s="38"/>
      <c r="K1180" s="38"/>
      <c r="L1180" s="30" t="s">
        <v>58</v>
      </c>
      <c r="M1180" s="38" t="s">
        <v>48</v>
      </c>
      <c r="N1180" s="38" t="s">
        <v>48</v>
      </c>
      <c r="O1180" s="31" t="s">
        <v>4323</v>
      </c>
      <c r="P1180" s="28" t="s">
        <v>4324</v>
      </c>
      <c r="Q1180" s="38" t="s">
        <v>4325</v>
      </c>
      <c r="R1180" s="38">
        <v>1</v>
      </c>
      <c r="S1180" s="38" t="s">
        <v>3878</v>
      </c>
      <c r="T1180" s="38" t="s">
        <v>53</v>
      </c>
      <c r="U1180" s="38" t="s">
        <v>54</v>
      </c>
      <c r="V1180" s="38" t="s">
        <v>61</v>
      </c>
      <c r="Y1180" s="38">
        <v>130.71</v>
      </c>
      <c r="Z1180" s="38">
        <v>1</v>
      </c>
      <c r="AF1180" s="38"/>
      <c r="AI1180" s="38">
        <v>1</v>
      </c>
      <c r="AJ1180" s="38">
        <v>0</v>
      </c>
      <c r="AK1180" s="14" t="e">
        <f t="shared" si="5"/>
        <v>#DIV/0!</v>
      </c>
      <c r="AM1180" s="38"/>
      <c r="AO1180" s="28"/>
    </row>
    <row r="1181" spans="1:41" ht="12.5">
      <c r="A1181" s="28" t="s">
        <v>4326</v>
      </c>
      <c r="B1181" s="37">
        <v>45800</v>
      </c>
      <c r="C1181" s="29">
        <v>45807</v>
      </c>
      <c r="D1181" s="38" t="s">
        <v>41</v>
      </c>
      <c r="E1181" s="38" t="s">
        <v>4327</v>
      </c>
      <c r="G1181" s="38" t="s">
        <v>43</v>
      </c>
      <c r="H1181" s="38">
        <v>9.68</v>
      </c>
      <c r="I1181" s="38" t="s">
        <v>44</v>
      </c>
      <c r="J1181" s="38" t="s">
        <v>45</v>
      </c>
      <c r="K1181" s="38" t="s">
        <v>4328</v>
      </c>
      <c r="L1181" s="30" t="s">
        <v>58</v>
      </c>
      <c r="M1181" s="38" t="s">
        <v>48</v>
      </c>
      <c r="N1181" s="38" t="s">
        <v>48</v>
      </c>
      <c r="O1181" s="31" t="s">
        <v>2635</v>
      </c>
      <c r="P1181" s="28" t="s">
        <v>2636</v>
      </c>
      <c r="Q1181" s="38" t="s">
        <v>2637</v>
      </c>
      <c r="R1181" s="38">
        <v>1</v>
      </c>
      <c r="S1181" s="38" t="s">
        <v>3868</v>
      </c>
      <c r="T1181" s="38" t="s">
        <v>53</v>
      </c>
      <c r="U1181" s="38" t="s">
        <v>54</v>
      </c>
      <c r="V1181" s="38" t="s">
        <v>61</v>
      </c>
      <c r="Y1181" s="38">
        <v>148.52000000000001</v>
      </c>
      <c r="Z1181" s="38">
        <v>1</v>
      </c>
      <c r="AF1181" s="38"/>
      <c r="AI1181" s="38">
        <v>1</v>
      </c>
      <c r="AJ1181" s="38">
        <v>1</v>
      </c>
      <c r="AK1181" s="14">
        <f t="shared" si="5"/>
        <v>1</v>
      </c>
      <c r="AM1181" s="38"/>
      <c r="AO1181" s="28"/>
    </row>
    <row r="1182" spans="1:41" ht="12.5">
      <c r="A1182" s="28" t="s">
        <v>4329</v>
      </c>
      <c r="B1182" s="37">
        <v>45797</v>
      </c>
      <c r="C1182" s="29">
        <v>45799</v>
      </c>
      <c r="D1182" s="38" t="s">
        <v>41</v>
      </c>
      <c r="E1182" s="38" t="s">
        <v>4330</v>
      </c>
      <c r="G1182" s="38" t="s">
        <v>43</v>
      </c>
      <c r="H1182" s="38">
        <v>54.74</v>
      </c>
      <c r="I1182" s="38" t="s">
        <v>44</v>
      </c>
      <c r="J1182" s="38" t="s">
        <v>45</v>
      </c>
      <c r="K1182" s="38" t="s">
        <v>4331</v>
      </c>
      <c r="L1182" s="30" t="s">
        <v>47</v>
      </c>
      <c r="M1182" s="38" t="s">
        <v>48</v>
      </c>
      <c r="N1182" s="38" t="s">
        <v>48</v>
      </c>
      <c r="O1182" s="31" t="s">
        <v>4332</v>
      </c>
      <c r="P1182" s="28" t="s">
        <v>4333</v>
      </c>
      <c r="Q1182" s="38" t="s">
        <v>4334</v>
      </c>
      <c r="R1182" s="38">
        <v>1</v>
      </c>
      <c r="S1182" s="38" t="s">
        <v>82</v>
      </c>
      <c r="T1182" s="38" t="s">
        <v>53</v>
      </c>
      <c r="U1182" s="38" t="s">
        <v>54</v>
      </c>
      <c r="V1182" s="38" t="s">
        <v>560</v>
      </c>
      <c r="Y1182" s="38">
        <v>160.13999999999999</v>
      </c>
      <c r="Z1182" s="38">
        <v>1</v>
      </c>
      <c r="AF1182" s="38"/>
      <c r="AI1182" s="38">
        <v>1</v>
      </c>
      <c r="AJ1182" s="38">
        <v>2</v>
      </c>
      <c r="AK1182" s="14">
        <f t="shared" si="5"/>
        <v>0.5</v>
      </c>
      <c r="AM1182" s="38"/>
      <c r="AO1182" s="28"/>
    </row>
    <row r="1183" spans="1:41" ht="12.5">
      <c r="A1183" s="28" t="s">
        <v>4335</v>
      </c>
      <c r="B1183" s="37">
        <v>45772</v>
      </c>
      <c r="C1183" s="29">
        <v>45802</v>
      </c>
      <c r="D1183" s="38" t="s">
        <v>41</v>
      </c>
      <c r="E1183" s="38" t="s">
        <v>4336</v>
      </c>
      <c r="G1183" s="38" t="s">
        <v>43</v>
      </c>
      <c r="H1183" s="38">
        <v>10.44</v>
      </c>
      <c r="I1183" s="38" t="s">
        <v>44</v>
      </c>
      <c r="J1183" s="38" t="s">
        <v>45</v>
      </c>
      <c r="K1183" s="38" t="s">
        <v>4337</v>
      </c>
      <c r="L1183" s="30" t="s">
        <v>58</v>
      </c>
      <c r="M1183" s="38" t="s">
        <v>48</v>
      </c>
      <c r="N1183" s="38" t="s">
        <v>48</v>
      </c>
      <c r="O1183" s="31" t="s">
        <v>1659</v>
      </c>
      <c r="P1183" s="28" t="s">
        <v>1660</v>
      </c>
      <c r="Q1183" s="38" t="s">
        <v>3533</v>
      </c>
      <c r="R1183" s="38">
        <v>1</v>
      </c>
      <c r="S1183" s="38" t="s">
        <v>3868</v>
      </c>
      <c r="T1183" s="38" t="s">
        <v>53</v>
      </c>
      <c r="U1183" s="38" t="s">
        <v>54</v>
      </c>
      <c r="V1183" s="38" t="s">
        <v>61</v>
      </c>
      <c r="Y1183" s="38">
        <v>69.930000000000007</v>
      </c>
      <c r="Z1183" s="38">
        <v>1</v>
      </c>
      <c r="AF1183" s="38"/>
      <c r="AI1183" s="38">
        <v>3</v>
      </c>
      <c r="AJ1183" s="38">
        <v>20</v>
      </c>
      <c r="AK1183" s="14">
        <f t="shared" si="5"/>
        <v>0.15</v>
      </c>
      <c r="AM1183" s="38"/>
      <c r="AO1183" s="28"/>
    </row>
    <row r="1184" spans="1:41" ht="12.5">
      <c r="A1184" s="28" t="s">
        <v>4338</v>
      </c>
      <c r="B1184" s="37">
        <v>45785</v>
      </c>
      <c r="C1184" s="29">
        <v>45798</v>
      </c>
      <c r="D1184" s="38" t="s">
        <v>41</v>
      </c>
      <c r="E1184" s="38" t="s">
        <v>4339</v>
      </c>
      <c r="G1184" s="38" t="s">
        <v>43</v>
      </c>
      <c r="H1184" s="38">
        <v>10.44</v>
      </c>
      <c r="I1184" s="38" t="s">
        <v>44</v>
      </c>
      <c r="J1184" s="38" t="s">
        <v>45</v>
      </c>
      <c r="K1184" s="38" t="s">
        <v>4340</v>
      </c>
      <c r="L1184" s="30" t="s">
        <v>47</v>
      </c>
      <c r="M1184" s="38" t="s">
        <v>48</v>
      </c>
      <c r="N1184" s="38" t="s">
        <v>48</v>
      </c>
      <c r="O1184" s="31" t="s">
        <v>1659</v>
      </c>
      <c r="P1184" s="28" t="s">
        <v>1660</v>
      </c>
      <c r="Q1184" s="38" t="s">
        <v>3533</v>
      </c>
      <c r="R1184" s="38">
        <v>1</v>
      </c>
      <c r="S1184" s="38" t="s">
        <v>99</v>
      </c>
      <c r="T1184" s="38" t="s">
        <v>53</v>
      </c>
      <c r="U1184" s="38" t="s">
        <v>54</v>
      </c>
      <c r="V1184" s="38" t="s">
        <v>55</v>
      </c>
      <c r="Y1184" s="38">
        <v>68.650000000000006</v>
      </c>
      <c r="Z1184" s="38">
        <v>1</v>
      </c>
      <c r="AF1184" s="38">
        <v>68.650000000000006</v>
      </c>
      <c r="AK1184" s="14" t="e">
        <f t="shared" si="5"/>
        <v>#DIV/0!</v>
      </c>
      <c r="AM1184" s="38"/>
      <c r="AO1184" s="28"/>
    </row>
    <row r="1185" spans="1:60" ht="12.5">
      <c r="A1185" s="28" t="s">
        <v>4341</v>
      </c>
      <c r="B1185" s="37">
        <v>45796</v>
      </c>
      <c r="C1185" s="29">
        <v>45797</v>
      </c>
      <c r="D1185" s="38" t="s">
        <v>41</v>
      </c>
      <c r="E1185" s="38" t="s">
        <v>4342</v>
      </c>
      <c r="G1185" s="38" t="s">
        <v>43</v>
      </c>
      <c r="H1185" s="38">
        <v>10.44</v>
      </c>
      <c r="I1185" s="38" t="s">
        <v>44</v>
      </c>
      <c r="J1185" s="38" t="s">
        <v>45</v>
      </c>
      <c r="K1185" s="38" t="s">
        <v>4343</v>
      </c>
      <c r="L1185" s="30" t="s">
        <v>47</v>
      </c>
      <c r="M1185" s="38" t="s">
        <v>48</v>
      </c>
      <c r="N1185" s="38" t="s">
        <v>48</v>
      </c>
      <c r="O1185" s="31" t="s">
        <v>1659</v>
      </c>
      <c r="P1185" s="28" t="s">
        <v>1660</v>
      </c>
      <c r="Q1185" s="38" t="s">
        <v>3533</v>
      </c>
      <c r="R1185" s="38">
        <v>1</v>
      </c>
      <c r="S1185" s="38" t="s">
        <v>52</v>
      </c>
      <c r="T1185" s="38" t="s">
        <v>53</v>
      </c>
      <c r="U1185" s="38" t="s">
        <v>54</v>
      </c>
      <c r="V1185" s="38" t="s">
        <v>61</v>
      </c>
      <c r="Y1185" s="38">
        <v>71.709999999999994</v>
      </c>
      <c r="Z1185" s="38">
        <v>1</v>
      </c>
      <c r="AF1185" s="38">
        <v>71.709999999999994</v>
      </c>
      <c r="AK1185" s="14" t="e">
        <f t="shared" si="5"/>
        <v>#DIV/0!</v>
      </c>
      <c r="AM1185" s="38"/>
      <c r="AO1185" s="51" t="s">
        <v>4344</v>
      </c>
    </row>
    <row r="1186" spans="1:60" ht="12.5">
      <c r="A1186" s="28" t="s">
        <v>4345</v>
      </c>
      <c r="B1186" s="37">
        <v>45797</v>
      </c>
      <c r="C1186" s="29">
        <v>45802</v>
      </c>
      <c r="D1186" s="38" t="s">
        <v>41</v>
      </c>
      <c r="E1186" s="38" t="s">
        <v>4346</v>
      </c>
      <c r="G1186" s="38" t="s">
        <v>43</v>
      </c>
      <c r="H1186" s="38">
        <v>37.36</v>
      </c>
      <c r="I1186" s="38" t="s">
        <v>44</v>
      </c>
      <c r="J1186" s="38" t="s">
        <v>45</v>
      </c>
      <c r="K1186" s="38" t="s">
        <v>4347</v>
      </c>
      <c r="L1186" s="30" t="s">
        <v>58</v>
      </c>
      <c r="M1186" s="38" t="s">
        <v>48</v>
      </c>
      <c r="N1186" s="38" t="s">
        <v>48</v>
      </c>
      <c r="O1186" s="31" t="s">
        <v>4348</v>
      </c>
      <c r="P1186" s="28" t="s">
        <v>4349</v>
      </c>
      <c r="Q1186" s="38" t="s">
        <v>4350</v>
      </c>
      <c r="R1186" s="38">
        <v>1</v>
      </c>
      <c r="S1186" s="38" t="s">
        <v>68</v>
      </c>
      <c r="T1186" s="38" t="s">
        <v>53</v>
      </c>
      <c r="U1186" s="38" t="s">
        <v>54</v>
      </c>
      <c r="V1186" s="38" t="s">
        <v>61</v>
      </c>
      <c r="Y1186" s="38">
        <v>151.56</v>
      </c>
      <c r="Z1186" s="38">
        <v>1</v>
      </c>
      <c r="AF1186" s="38"/>
      <c r="AI1186" s="38">
        <v>1</v>
      </c>
      <c r="AJ1186" s="38">
        <v>1</v>
      </c>
      <c r="AK1186" s="14">
        <f t="shared" si="5"/>
        <v>1</v>
      </c>
      <c r="AM1186" s="38"/>
      <c r="AO1186" s="28"/>
    </row>
    <row r="1187" spans="1:60" ht="12.5">
      <c r="A1187" s="28" t="s">
        <v>4351</v>
      </c>
      <c r="B1187" s="37">
        <v>45763</v>
      </c>
      <c r="C1187" s="29">
        <v>45797</v>
      </c>
      <c r="D1187" s="38" t="s">
        <v>41</v>
      </c>
      <c r="E1187" s="38" t="s">
        <v>4352</v>
      </c>
      <c r="G1187" s="38" t="s">
        <v>43</v>
      </c>
      <c r="H1187" s="38">
        <v>20.23</v>
      </c>
      <c r="I1187" s="38" t="s">
        <v>44</v>
      </c>
      <c r="J1187" s="38" t="s">
        <v>45</v>
      </c>
      <c r="K1187" s="38" t="s">
        <v>4353</v>
      </c>
      <c r="L1187" s="30" t="s">
        <v>58</v>
      </c>
      <c r="M1187" s="38" t="s">
        <v>48</v>
      </c>
      <c r="N1187" s="38" t="s">
        <v>48</v>
      </c>
      <c r="O1187" s="31" t="s">
        <v>911</v>
      </c>
      <c r="P1187" s="28" t="s">
        <v>912</v>
      </c>
      <c r="Q1187" s="38" t="s">
        <v>913</v>
      </c>
      <c r="R1187" s="38">
        <v>1</v>
      </c>
      <c r="S1187" s="38" t="s">
        <v>3868</v>
      </c>
      <c r="T1187" s="38" t="s">
        <v>53</v>
      </c>
      <c r="U1187" s="38" t="s">
        <v>54</v>
      </c>
      <c r="V1187" s="38" t="s">
        <v>61</v>
      </c>
      <c r="Y1187" s="38">
        <v>268.54000000000002</v>
      </c>
      <c r="Z1187" s="38">
        <v>1</v>
      </c>
      <c r="AF1187" s="38">
        <v>238.59</v>
      </c>
      <c r="AI1187" s="38">
        <v>1</v>
      </c>
      <c r="AJ1187" s="38">
        <v>4</v>
      </c>
      <c r="AK1187" s="14">
        <f t="shared" si="5"/>
        <v>0.25</v>
      </c>
      <c r="AM1187" s="38"/>
      <c r="AO1187" s="28"/>
    </row>
    <row r="1188" spans="1:60" ht="12.5">
      <c r="A1188" s="28" t="s">
        <v>4354</v>
      </c>
      <c r="B1188" s="37">
        <v>45769</v>
      </c>
      <c r="C1188" s="29">
        <v>45796</v>
      </c>
      <c r="D1188" s="38" t="s">
        <v>41</v>
      </c>
      <c r="E1188" s="38" t="s">
        <v>4355</v>
      </c>
      <c r="G1188" s="38" t="s">
        <v>43</v>
      </c>
      <c r="H1188" s="38">
        <v>17.190000000000001</v>
      </c>
      <c r="I1188" s="38" t="s">
        <v>44</v>
      </c>
      <c r="J1188" s="38" t="s">
        <v>45</v>
      </c>
      <c r="K1188" s="38" t="s">
        <v>4356</v>
      </c>
      <c r="L1188" s="30" t="s">
        <v>58</v>
      </c>
      <c r="M1188" s="38" t="s">
        <v>48</v>
      </c>
      <c r="N1188" s="38" t="s">
        <v>48</v>
      </c>
      <c r="O1188" s="31" t="s">
        <v>4357</v>
      </c>
      <c r="P1188" s="28" t="s">
        <v>4358</v>
      </c>
      <c r="Q1188" s="38" t="s">
        <v>4359</v>
      </c>
      <c r="R1188" s="38">
        <v>1</v>
      </c>
      <c r="S1188" s="38" t="s">
        <v>3868</v>
      </c>
      <c r="T1188" s="38" t="s">
        <v>53</v>
      </c>
      <c r="U1188" s="38" t="s">
        <v>54</v>
      </c>
      <c r="V1188" s="38" t="s">
        <v>61</v>
      </c>
      <c r="Y1188" s="38">
        <v>153.63</v>
      </c>
      <c r="Z1188" s="38">
        <v>1</v>
      </c>
      <c r="AF1188" s="38">
        <v>121.88</v>
      </c>
      <c r="AI1188" s="38">
        <v>1</v>
      </c>
      <c r="AJ1188" s="38">
        <v>0</v>
      </c>
      <c r="AK1188" s="14" t="e">
        <f t="shared" si="5"/>
        <v>#DIV/0!</v>
      </c>
      <c r="AM1188" s="38"/>
      <c r="AO1188" s="28"/>
    </row>
    <row r="1189" spans="1:60" ht="12.5">
      <c r="A1189" s="32"/>
      <c r="B1189" s="48"/>
      <c r="C1189" s="34"/>
      <c r="D1189" s="33"/>
      <c r="E1189" s="33"/>
      <c r="F1189" s="33"/>
      <c r="G1189" s="33"/>
      <c r="H1189" s="33"/>
      <c r="I1189" s="33"/>
      <c r="J1189" s="33"/>
      <c r="K1189" s="33"/>
      <c r="L1189" s="35"/>
      <c r="M1189" s="33"/>
      <c r="N1189" s="33"/>
      <c r="O1189" s="35"/>
      <c r="P1189" s="32"/>
      <c r="Q1189" s="33"/>
      <c r="R1189" s="33"/>
      <c r="S1189" s="33"/>
      <c r="T1189" s="33"/>
      <c r="U1189" s="33"/>
      <c r="V1189" s="33"/>
      <c r="W1189" s="33"/>
      <c r="X1189" s="33"/>
      <c r="Y1189" s="33"/>
      <c r="Z1189" s="33"/>
      <c r="AA1189" s="33"/>
      <c r="AB1189" s="33"/>
      <c r="AC1189" s="33"/>
      <c r="AD1189" s="33"/>
      <c r="AE1189" s="33"/>
      <c r="AF1189" s="33"/>
      <c r="AG1189" s="33"/>
      <c r="AH1189" s="33"/>
      <c r="AI1189" s="33"/>
      <c r="AJ1189" s="33"/>
      <c r="AK1189" s="36" t="e">
        <f t="shared" si="5"/>
        <v>#DIV/0!</v>
      </c>
      <c r="AL1189" s="33"/>
      <c r="AM1189" s="38"/>
      <c r="AN1189" s="33"/>
      <c r="AO1189" s="32"/>
      <c r="AP1189" s="33"/>
      <c r="AQ1189" s="33"/>
      <c r="AR1189" s="33"/>
      <c r="AS1189" s="33"/>
      <c r="AT1189" s="33"/>
      <c r="AU1189" s="33"/>
      <c r="AV1189" s="33"/>
      <c r="AW1189" s="33"/>
      <c r="AX1189" s="33"/>
      <c r="AY1189" s="33"/>
      <c r="AZ1189" s="33"/>
      <c r="BA1189" s="33"/>
      <c r="BB1189" s="33"/>
      <c r="BC1189" s="33"/>
      <c r="BD1189" s="33"/>
      <c r="BE1189" s="33"/>
      <c r="BF1189" s="33"/>
      <c r="BG1189" s="33"/>
      <c r="BH1189" s="33"/>
    </row>
    <row r="1190" spans="1:60" ht="14">
      <c r="A1190" s="28" t="s">
        <v>4360</v>
      </c>
      <c r="B1190" s="37">
        <v>45805</v>
      </c>
      <c r="C1190" s="29">
        <v>45823</v>
      </c>
      <c r="D1190" s="38" t="s">
        <v>41</v>
      </c>
      <c r="E1190" s="38" t="s">
        <v>4361</v>
      </c>
      <c r="G1190" s="38" t="s">
        <v>43</v>
      </c>
      <c r="H1190" s="38">
        <v>7.42</v>
      </c>
      <c r="I1190" s="38" t="s">
        <v>44</v>
      </c>
      <c r="J1190" s="38" t="s">
        <v>45</v>
      </c>
      <c r="K1190" s="38" t="s">
        <v>4362</v>
      </c>
      <c r="L1190" s="30" t="s">
        <v>58</v>
      </c>
      <c r="M1190" s="38" t="s">
        <v>48</v>
      </c>
      <c r="N1190" s="38" t="s">
        <v>48</v>
      </c>
      <c r="O1190" s="40" t="s">
        <v>3244</v>
      </c>
      <c r="P1190" s="28" t="s">
        <v>3245</v>
      </c>
      <c r="Q1190" s="38" t="s">
        <v>3246</v>
      </c>
      <c r="R1190" s="38">
        <v>1</v>
      </c>
      <c r="S1190" s="38" t="s">
        <v>68</v>
      </c>
      <c r="T1190" s="38" t="s">
        <v>53</v>
      </c>
      <c r="U1190" s="38" t="s">
        <v>54</v>
      </c>
      <c r="V1190" s="38" t="s">
        <v>61</v>
      </c>
      <c r="Y1190" s="38">
        <v>41.49</v>
      </c>
      <c r="Z1190" s="38">
        <v>1</v>
      </c>
      <c r="AF1190" s="38"/>
      <c r="AI1190" s="38">
        <v>3</v>
      </c>
      <c r="AJ1190" s="38">
        <v>2</v>
      </c>
      <c r="AK1190" s="14">
        <f t="shared" si="5"/>
        <v>1.5</v>
      </c>
      <c r="AL1190" s="53">
        <v>1000021879</v>
      </c>
      <c r="AM1190" s="38"/>
      <c r="AO1190" s="28" t="s">
        <v>4363</v>
      </c>
    </row>
    <row r="1191" spans="1:60" ht="12.5">
      <c r="A1191" s="28" t="s">
        <v>4364</v>
      </c>
      <c r="B1191" s="37">
        <v>45809</v>
      </c>
      <c r="C1191" s="29">
        <v>45821</v>
      </c>
      <c r="D1191" s="38" t="s">
        <v>41</v>
      </c>
      <c r="E1191" s="38" t="s">
        <v>4365</v>
      </c>
      <c r="G1191" s="38" t="s">
        <v>43</v>
      </c>
      <c r="H1191" s="38">
        <v>7.42</v>
      </c>
      <c r="I1191" s="38" t="s">
        <v>44</v>
      </c>
      <c r="J1191" s="38" t="s">
        <v>45</v>
      </c>
      <c r="K1191" s="38" t="s">
        <v>4366</v>
      </c>
      <c r="L1191" s="30" t="s">
        <v>58</v>
      </c>
      <c r="M1191" s="38" t="s">
        <v>48</v>
      </c>
      <c r="N1191" s="38" t="s">
        <v>48</v>
      </c>
      <c r="O1191" s="40" t="s">
        <v>3244</v>
      </c>
      <c r="P1191" s="28" t="s">
        <v>3245</v>
      </c>
      <c r="Q1191" s="38" t="s">
        <v>3246</v>
      </c>
      <c r="R1191" s="38">
        <v>1</v>
      </c>
      <c r="S1191" s="38" t="s">
        <v>59</v>
      </c>
      <c r="T1191" s="38" t="s">
        <v>53</v>
      </c>
      <c r="U1191" s="38" t="s">
        <v>54</v>
      </c>
      <c r="V1191" s="38" t="s">
        <v>61</v>
      </c>
      <c r="Y1191" s="38">
        <v>40.82</v>
      </c>
      <c r="Z1191" s="38">
        <v>1</v>
      </c>
      <c r="AF1191" s="38"/>
      <c r="AK1191" s="14" t="e">
        <f t="shared" si="5"/>
        <v>#DIV/0!</v>
      </c>
      <c r="AM1191" s="38"/>
      <c r="AO1191" s="28" t="s">
        <v>4367</v>
      </c>
    </row>
    <row r="1192" spans="1:60" ht="12.5">
      <c r="A1192" s="28" t="s">
        <v>4368</v>
      </c>
      <c r="B1192" s="37">
        <v>45803</v>
      </c>
      <c r="C1192" s="29">
        <v>45810</v>
      </c>
      <c r="D1192" s="38" t="s">
        <v>41</v>
      </c>
      <c r="E1192" s="38" t="s">
        <v>4369</v>
      </c>
      <c r="G1192" s="38" t="s">
        <v>43</v>
      </c>
      <c r="H1192" s="38">
        <v>7.36</v>
      </c>
      <c r="I1192" s="38" t="s">
        <v>44</v>
      </c>
      <c r="J1192" s="38" t="s">
        <v>45</v>
      </c>
      <c r="K1192" s="38" t="s">
        <v>4370</v>
      </c>
      <c r="L1192" s="30" t="s">
        <v>58</v>
      </c>
      <c r="M1192" s="38" t="s">
        <v>48</v>
      </c>
      <c r="N1192" s="38" t="s">
        <v>48</v>
      </c>
      <c r="O1192" s="40" t="s">
        <v>3244</v>
      </c>
      <c r="P1192" s="28" t="s">
        <v>3245</v>
      </c>
      <c r="Q1192" s="38" t="s">
        <v>3246</v>
      </c>
      <c r="R1192" s="38">
        <v>1</v>
      </c>
      <c r="S1192" s="38" t="s">
        <v>59</v>
      </c>
      <c r="T1192" s="38" t="s">
        <v>53</v>
      </c>
      <c r="U1192" s="38" t="s">
        <v>54</v>
      </c>
      <c r="V1192" s="38" t="s">
        <v>55</v>
      </c>
      <c r="Y1192" s="38">
        <v>41.97</v>
      </c>
      <c r="Z1192" s="38">
        <v>1</v>
      </c>
      <c r="AF1192" s="38">
        <v>34.61</v>
      </c>
      <c r="AK1192" s="14" t="e">
        <f t="shared" si="5"/>
        <v>#DIV/0!</v>
      </c>
      <c r="AM1192" s="38"/>
      <c r="AO1192" s="28" t="s">
        <v>4371</v>
      </c>
    </row>
    <row r="1193" spans="1:60" ht="14">
      <c r="A1193" s="28" t="s">
        <v>4372</v>
      </c>
      <c r="B1193" s="37">
        <v>45809</v>
      </c>
      <c r="C1193" s="29">
        <v>45816</v>
      </c>
      <c r="D1193" s="38" t="s">
        <v>41</v>
      </c>
      <c r="E1193" s="38" t="s">
        <v>4373</v>
      </c>
      <c r="G1193" s="38" t="s">
        <v>43</v>
      </c>
      <c r="H1193" s="38">
        <v>14.23</v>
      </c>
      <c r="I1193" s="38" t="s">
        <v>44</v>
      </c>
      <c r="J1193" s="38" t="s">
        <v>45</v>
      </c>
      <c r="K1193" s="38" t="s">
        <v>4374</v>
      </c>
      <c r="L1193" s="30" t="s">
        <v>47</v>
      </c>
      <c r="M1193" s="38" t="s">
        <v>48</v>
      </c>
      <c r="N1193" s="38" t="s">
        <v>48</v>
      </c>
      <c r="O1193" s="31" t="s">
        <v>49</v>
      </c>
      <c r="P1193" s="28" t="s">
        <v>50</v>
      </c>
      <c r="Q1193" s="38" t="s">
        <v>51</v>
      </c>
      <c r="R1193" s="38">
        <v>1</v>
      </c>
      <c r="S1193" s="38" t="s">
        <v>82</v>
      </c>
      <c r="T1193" s="38" t="s">
        <v>53</v>
      </c>
      <c r="U1193" s="38" t="s">
        <v>54</v>
      </c>
      <c r="V1193" s="38" t="s">
        <v>560</v>
      </c>
      <c r="Y1193" s="38">
        <v>96.64</v>
      </c>
      <c r="Z1193" s="38">
        <v>1</v>
      </c>
      <c r="AF1193" s="38"/>
      <c r="AI1193" s="38">
        <v>2</v>
      </c>
      <c r="AJ1193" s="38">
        <v>7</v>
      </c>
      <c r="AK1193" s="14">
        <f t="shared" si="5"/>
        <v>0.2857142857142857</v>
      </c>
      <c r="AL1193" s="53">
        <v>1000022163</v>
      </c>
      <c r="AM1193" s="38" t="s">
        <v>953</v>
      </c>
      <c r="AO1193" s="28"/>
    </row>
    <row r="1194" spans="1:60" ht="12.5">
      <c r="A1194" s="28" t="s">
        <v>4375</v>
      </c>
      <c r="B1194" s="37">
        <v>45789</v>
      </c>
      <c r="C1194" s="29">
        <v>45816</v>
      </c>
      <c r="D1194" s="38" t="s">
        <v>41</v>
      </c>
      <c r="E1194" s="38" t="s">
        <v>4376</v>
      </c>
      <c r="G1194" s="38" t="s">
        <v>43</v>
      </c>
      <c r="H1194" s="38">
        <v>14.23</v>
      </c>
      <c r="I1194" s="38" t="s">
        <v>44</v>
      </c>
      <c r="J1194" s="38" t="s">
        <v>45</v>
      </c>
      <c r="K1194" s="38" t="s">
        <v>4377</v>
      </c>
      <c r="L1194" s="30" t="s">
        <v>58</v>
      </c>
      <c r="M1194" s="38" t="s">
        <v>48</v>
      </c>
      <c r="N1194" s="38" t="s">
        <v>48</v>
      </c>
      <c r="O1194" s="31" t="s">
        <v>49</v>
      </c>
      <c r="P1194" s="28" t="s">
        <v>50</v>
      </c>
      <c r="Q1194" s="38" t="s">
        <v>51</v>
      </c>
      <c r="R1194" s="38">
        <v>1</v>
      </c>
      <c r="S1194" s="38" t="s">
        <v>59</v>
      </c>
      <c r="T1194" s="38" t="s">
        <v>53</v>
      </c>
      <c r="U1194" s="38" t="s">
        <v>60</v>
      </c>
      <c r="V1194" s="38" t="s">
        <v>61</v>
      </c>
      <c r="Y1194" s="38">
        <v>95.3</v>
      </c>
      <c r="Z1194" s="38">
        <v>1</v>
      </c>
      <c r="AF1194" s="38"/>
      <c r="AK1194" s="14" t="e">
        <f t="shared" si="5"/>
        <v>#DIV/0!</v>
      </c>
      <c r="AM1194" s="38"/>
      <c r="AO1194" s="28"/>
    </row>
    <row r="1195" spans="1:60" ht="12.5">
      <c r="A1195" s="28" t="s">
        <v>4378</v>
      </c>
      <c r="B1195" s="37">
        <v>45815</v>
      </c>
      <c r="C1195" s="29">
        <v>45822</v>
      </c>
      <c r="D1195" s="38" t="s">
        <v>41</v>
      </c>
      <c r="E1195" s="38" t="s">
        <v>4379</v>
      </c>
      <c r="G1195" s="38" t="s">
        <v>43</v>
      </c>
      <c r="H1195" s="38">
        <v>52.36</v>
      </c>
      <c r="I1195" s="38" t="s">
        <v>44</v>
      </c>
      <c r="J1195" s="38" t="s">
        <v>45</v>
      </c>
      <c r="K1195" s="38" t="s">
        <v>4380</v>
      </c>
      <c r="L1195" s="30" t="s">
        <v>47</v>
      </c>
      <c r="M1195" s="38" t="s">
        <v>48</v>
      </c>
      <c r="N1195" s="38" t="s">
        <v>48</v>
      </c>
      <c r="O1195" s="31" t="s">
        <v>3574</v>
      </c>
      <c r="P1195" s="28" t="s">
        <v>3575</v>
      </c>
      <c r="Q1195" s="38" t="s">
        <v>3576</v>
      </c>
      <c r="R1195" s="38">
        <v>1</v>
      </c>
      <c r="S1195" s="38" t="s">
        <v>82</v>
      </c>
      <c r="T1195" s="38" t="s">
        <v>53</v>
      </c>
      <c r="U1195" s="38" t="s">
        <v>54</v>
      </c>
      <c r="V1195" s="38" t="s">
        <v>61</v>
      </c>
      <c r="Y1195" s="38">
        <v>163.43</v>
      </c>
      <c r="Z1195" s="38">
        <v>1</v>
      </c>
      <c r="AF1195" s="38"/>
      <c r="AI1195" s="38">
        <v>1</v>
      </c>
      <c r="AJ1195" s="38">
        <v>2</v>
      </c>
      <c r="AK1195" s="14">
        <f t="shared" si="5"/>
        <v>0.5</v>
      </c>
      <c r="AM1195" s="38"/>
      <c r="AO1195" s="28" t="s">
        <v>4381</v>
      </c>
    </row>
    <row r="1196" spans="1:60" ht="12.5">
      <c r="A1196" s="28" t="s">
        <v>4382</v>
      </c>
      <c r="B1196" s="37">
        <v>45816</v>
      </c>
      <c r="C1196" s="29">
        <v>45819</v>
      </c>
      <c r="D1196" s="38" t="s">
        <v>41</v>
      </c>
      <c r="E1196" s="38" t="s">
        <v>4383</v>
      </c>
      <c r="G1196" s="38" t="s">
        <v>43</v>
      </c>
      <c r="H1196" s="38">
        <v>10.53</v>
      </c>
      <c r="I1196" s="38" t="s">
        <v>44</v>
      </c>
      <c r="J1196" s="38" t="s">
        <v>45</v>
      </c>
      <c r="K1196" s="38" t="s">
        <v>4384</v>
      </c>
      <c r="L1196" s="30" t="s">
        <v>58</v>
      </c>
      <c r="M1196" s="38" t="s">
        <v>48</v>
      </c>
      <c r="N1196" s="38" t="s">
        <v>48</v>
      </c>
      <c r="O1196" s="31" t="s">
        <v>65</v>
      </c>
      <c r="P1196" s="28" t="s">
        <v>66</v>
      </c>
      <c r="Q1196" s="38" t="s">
        <v>67</v>
      </c>
      <c r="R1196" s="38">
        <v>1</v>
      </c>
      <c r="S1196" s="38" t="s">
        <v>59</v>
      </c>
      <c r="T1196" s="38" t="s">
        <v>53</v>
      </c>
      <c r="U1196" s="38" t="s">
        <v>54</v>
      </c>
      <c r="V1196" s="38" t="s">
        <v>61</v>
      </c>
      <c r="Y1196" s="38">
        <v>78.180000000000007</v>
      </c>
      <c r="Z1196" s="38">
        <v>1</v>
      </c>
      <c r="AF1196" s="38"/>
      <c r="AI1196" s="38">
        <v>1</v>
      </c>
      <c r="AJ1196" s="38">
        <v>4</v>
      </c>
      <c r="AK1196" s="14">
        <f t="shared" si="5"/>
        <v>0.25</v>
      </c>
      <c r="AM1196" s="38"/>
      <c r="AO1196" s="28"/>
    </row>
    <row r="1197" spans="1:60" ht="12.5">
      <c r="A1197" s="28" t="s">
        <v>4385</v>
      </c>
      <c r="B1197" s="37">
        <v>45812</v>
      </c>
      <c r="C1197" s="29">
        <v>45817</v>
      </c>
      <c r="D1197" s="38" t="s">
        <v>41</v>
      </c>
      <c r="E1197" s="38" t="s">
        <v>4386</v>
      </c>
      <c r="G1197" s="38" t="s">
        <v>43</v>
      </c>
      <c r="H1197" s="38">
        <v>10.53</v>
      </c>
      <c r="I1197" s="38" t="s">
        <v>44</v>
      </c>
      <c r="J1197" s="38" t="s">
        <v>45</v>
      </c>
      <c r="K1197" s="38" t="s">
        <v>4387</v>
      </c>
      <c r="L1197" s="30" t="s">
        <v>58</v>
      </c>
      <c r="M1197" s="38" t="s">
        <v>48</v>
      </c>
      <c r="N1197" s="38" t="s">
        <v>48</v>
      </c>
      <c r="O1197" s="31" t="s">
        <v>3580</v>
      </c>
      <c r="P1197" s="28" t="s">
        <v>3581</v>
      </c>
      <c r="Q1197" s="38" t="s">
        <v>4139</v>
      </c>
      <c r="R1197" s="38">
        <v>1</v>
      </c>
      <c r="S1197" s="38" t="s">
        <v>3878</v>
      </c>
      <c r="T1197" s="38" t="s">
        <v>53</v>
      </c>
      <c r="U1197" s="38" t="s">
        <v>54</v>
      </c>
      <c r="V1197" s="38" t="s">
        <v>61</v>
      </c>
      <c r="Y1197" s="38">
        <v>73</v>
      </c>
      <c r="Z1197" s="38">
        <v>1</v>
      </c>
      <c r="AF1197" s="38">
        <v>56.69</v>
      </c>
      <c r="AI1197" s="38">
        <v>1</v>
      </c>
      <c r="AJ1197" s="38">
        <v>2</v>
      </c>
      <c r="AK1197" s="14">
        <f t="shared" si="5"/>
        <v>0.5</v>
      </c>
      <c r="AM1197" s="38"/>
      <c r="AO1197" s="28"/>
    </row>
    <row r="1198" spans="1:60" ht="12.5">
      <c r="A1198" s="28" t="s">
        <v>4388</v>
      </c>
      <c r="B1198" s="37">
        <v>45817</v>
      </c>
      <c r="C1198" s="29">
        <v>45822</v>
      </c>
      <c r="D1198" s="38" t="s">
        <v>41</v>
      </c>
      <c r="E1198" s="38" t="s">
        <v>4389</v>
      </c>
      <c r="G1198" s="38" t="s">
        <v>43</v>
      </c>
      <c r="H1198" s="38">
        <v>11.26</v>
      </c>
      <c r="I1198" s="38" t="s">
        <v>44</v>
      </c>
      <c r="J1198" s="38" t="s">
        <v>45</v>
      </c>
      <c r="K1198" s="38" t="s">
        <v>4390</v>
      </c>
      <c r="L1198" s="30" t="s">
        <v>58</v>
      </c>
      <c r="M1198" s="38" t="s">
        <v>48</v>
      </c>
      <c r="N1198" s="38" t="s">
        <v>48</v>
      </c>
      <c r="O1198" s="31" t="s">
        <v>72</v>
      </c>
      <c r="P1198" s="28" t="s">
        <v>73</v>
      </c>
      <c r="Q1198" s="38" t="s">
        <v>4143</v>
      </c>
      <c r="R1198" s="38">
        <v>1</v>
      </c>
      <c r="S1198" s="38" t="s">
        <v>75</v>
      </c>
      <c r="T1198" s="38" t="s">
        <v>53</v>
      </c>
      <c r="U1198" s="38" t="s">
        <v>54</v>
      </c>
      <c r="V1198" s="38" t="s">
        <v>61</v>
      </c>
      <c r="Y1198" s="38">
        <v>55.42</v>
      </c>
      <c r="Z1198" s="38">
        <v>1</v>
      </c>
      <c r="AF1198" s="38"/>
      <c r="AI1198" s="38">
        <v>1</v>
      </c>
      <c r="AJ1198" s="38">
        <v>5</v>
      </c>
      <c r="AK1198" s="14">
        <f t="shared" si="5"/>
        <v>0.2</v>
      </c>
      <c r="AM1198" s="38"/>
      <c r="AO1198" s="28"/>
    </row>
    <row r="1199" spans="1:60" ht="12.5">
      <c r="A1199" s="28" t="s">
        <v>4391</v>
      </c>
      <c r="B1199" s="37">
        <v>45815</v>
      </c>
      <c r="C1199" s="29">
        <v>45820</v>
      </c>
      <c r="D1199" s="38" t="s">
        <v>41</v>
      </c>
      <c r="E1199" s="38" t="s">
        <v>4392</v>
      </c>
      <c r="G1199" s="38" t="s">
        <v>43</v>
      </c>
      <c r="H1199" s="38">
        <v>12.37</v>
      </c>
      <c r="I1199" s="38" t="s">
        <v>44</v>
      </c>
      <c r="J1199" s="38" t="s">
        <v>45</v>
      </c>
      <c r="K1199" s="38" t="s">
        <v>4393</v>
      </c>
      <c r="L1199" s="30" t="s">
        <v>58</v>
      </c>
      <c r="M1199" s="38" t="s">
        <v>48</v>
      </c>
      <c r="N1199" s="38" t="s">
        <v>48</v>
      </c>
      <c r="O1199" s="31" t="s">
        <v>96</v>
      </c>
      <c r="P1199" s="28" t="s">
        <v>97</v>
      </c>
      <c r="Q1199" s="38" t="s">
        <v>4150</v>
      </c>
      <c r="R1199" s="38">
        <v>1</v>
      </c>
      <c r="S1199" s="38" t="s">
        <v>59</v>
      </c>
      <c r="T1199" s="38" t="s">
        <v>53</v>
      </c>
      <c r="U1199" s="38" t="s">
        <v>54</v>
      </c>
      <c r="V1199" s="38" t="s">
        <v>61</v>
      </c>
      <c r="Y1199" s="38">
        <v>81.8</v>
      </c>
      <c r="Z1199" s="38">
        <v>1</v>
      </c>
      <c r="AF1199" s="38"/>
      <c r="AI1199" s="38">
        <v>2</v>
      </c>
      <c r="AJ1199" s="38">
        <v>11</v>
      </c>
      <c r="AK1199" s="14">
        <f t="shared" si="5"/>
        <v>0.18181818181818182</v>
      </c>
      <c r="AM1199" s="38"/>
      <c r="AO1199" s="28"/>
    </row>
    <row r="1200" spans="1:60" ht="12.5">
      <c r="A1200" s="28" t="s">
        <v>4394</v>
      </c>
      <c r="B1200" s="37">
        <v>45790</v>
      </c>
      <c r="C1200" s="29">
        <v>45812</v>
      </c>
      <c r="D1200" s="38" t="s">
        <v>41</v>
      </c>
      <c r="E1200" s="38" t="s">
        <v>4395</v>
      </c>
      <c r="G1200" s="38" t="s">
        <v>43</v>
      </c>
      <c r="H1200" s="38">
        <v>12.37</v>
      </c>
      <c r="I1200" s="38" t="s">
        <v>44</v>
      </c>
      <c r="J1200" s="38" t="s">
        <v>45</v>
      </c>
      <c r="K1200" s="38" t="s">
        <v>4396</v>
      </c>
      <c r="L1200" s="30" t="s">
        <v>58</v>
      </c>
      <c r="M1200" s="38" t="s">
        <v>48</v>
      </c>
      <c r="N1200" s="38" t="s">
        <v>48</v>
      </c>
      <c r="O1200" s="31" t="s">
        <v>96</v>
      </c>
      <c r="P1200" s="28" t="s">
        <v>97</v>
      </c>
      <c r="Q1200" s="38" t="s">
        <v>4150</v>
      </c>
      <c r="R1200" s="38">
        <v>1</v>
      </c>
      <c r="S1200" s="38" t="s">
        <v>75</v>
      </c>
      <c r="T1200" s="38" t="s">
        <v>53</v>
      </c>
      <c r="U1200" s="38" t="s">
        <v>54</v>
      </c>
      <c r="V1200" s="38" t="s">
        <v>55</v>
      </c>
      <c r="Y1200" s="38">
        <v>82.58</v>
      </c>
      <c r="Z1200" s="38">
        <v>1</v>
      </c>
      <c r="AF1200" s="38">
        <v>70.209999999999994</v>
      </c>
      <c r="AK1200" s="14" t="e">
        <f t="shared" si="5"/>
        <v>#DIV/0!</v>
      </c>
      <c r="AM1200" s="38"/>
      <c r="AO1200" s="28"/>
    </row>
    <row r="1201" spans="1:41" ht="12.5">
      <c r="A1201" s="28" t="s">
        <v>4397</v>
      </c>
      <c r="B1201" s="37">
        <v>45816</v>
      </c>
      <c r="C1201" s="29">
        <v>45821</v>
      </c>
      <c r="D1201" s="38" t="s">
        <v>41</v>
      </c>
      <c r="E1201" s="38" t="s">
        <v>4398</v>
      </c>
      <c r="G1201" s="38" t="s">
        <v>43</v>
      </c>
      <c r="H1201" s="38">
        <v>13.76</v>
      </c>
      <c r="I1201" s="38" t="s">
        <v>44</v>
      </c>
      <c r="J1201" s="38" t="s">
        <v>45</v>
      </c>
      <c r="K1201" s="38" t="s">
        <v>4399</v>
      </c>
      <c r="L1201" s="30" t="s">
        <v>58</v>
      </c>
      <c r="M1201" s="38" t="s">
        <v>48</v>
      </c>
      <c r="N1201" s="38" t="s">
        <v>48</v>
      </c>
      <c r="O1201" s="31" t="s">
        <v>3294</v>
      </c>
      <c r="P1201" s="28" t="s">
        <v>3295</v>
      </c>
      <c r="Q1201" s="38" t="s">
        <v>3296</v>
      </c>
      <c r="R1201" s="38">
        <v>1</v>
      </c>
      <c r="S1201" s="38" t="s">
        <v>3868</v>
      </c>
      <c r="T1201" s="38" t="s">
        <v>53</v>
      </c>
      <c r="U1201" s="38" t="s">
        <v>54</v>
      </c>
      <c r="V1201" s="38" t="s">
        <v>55</v>
      </c>
      <c r="Y1201" s="38">
        <v>95.33</v>
      </c>
      <c r="Z1201" s="38">
        <v>1</v>
      </c>
      <c r="AF1201" s="38">
        <v>81.569999999999993</v>
      </c>
      <c r="AI1201" s="38">
        <v>1</v>
      </c>
      <c r="AJ1201" s="38">
        <v>1</v>
      </c>
      <c r="AK1201" s="14">
        <f t="shared" si="5"/>
        <v>1</v>
      </c>
      <c r="AM1201" s="38"/>
      <c r="AO1201" s="28"/>
    </row>
    <row r="1202" spans="1:41" ht="12.5">
      <c r="A1202" s="28" t="s">
        <v>4400</v>
      </c>
      <c r="B1202" s="37">
        <v>45818</v>
      </c>
      <c r="C1202" s="29">
        <v>45820</v>
      </c>
      <c r="D1202" s="38" t="s">
        <v>41</v>
      </c>
      <c r="E1202" s="38" t="s">
        <v>4401</v>
      </c>
      <c r="G1202" s="38" t="s">
        <v>43</v>
      </c>
      <c r="H1202" s="38">
        <v>9.76</v>
      </c>
      <c r="I1202" s="38" t="s">
        <v>44</v>
      </c>
      <c r="J1202" s="38" t="s">
        <v>45</v>
      </c>
      <c r="K1202" s="38" t="s">
        <v>4402</v>
      </c>
      <c r="L1202" s="30" t="s">
        <v>58</v>
      </c>
      <c r="M1202" s="38" t="s">
        <v>48</v>
      </c>
      <c r="N1202" s="38" t="s">
        <v>48</v>
      </c>
      <c r="O1202" s="31" t="s">
        <v>972</v>
      </c>
      <c r="P1202" s="28" t="s">
        <v>973</v>
      </c>
      <c r="Q1202" s="38" t="s">
        <v>4153</v>
      </c>
      <c r="R1202" s="38">
        <v>1</v>
      </c>
      <c r="S1202" s="38" t="s">
        <v>3884</v>
      </c>
      <c r="T1202" s="38" t="s">
        <v>53</v>
      </c>
      <c r="U1202" s="38" t="s">
        <v>54</v>
      </c>
      <c r="V1202" s="38" t="s">
        <v>61</v>
      </c>
      <c r="Y1202" s="38">
        <v>56.24</v>
      </c>
      <c r="Z1202" s="38">
        <v>1</v>
      </c>
      <c r="AF1202" s="38"/>
      <c r="AI1202" s="38">
        <v>2</v>
      </c>
      <c r="AJ1202" s="38">
        <v>15</v>
      </c>
      <c r="AK1202" s="14">
        <f t="shared" si="5"/>
        <v>0.13333333333333333</v>
      </c>
      <c r="AM1202" s="38"/>
      <c r="AO1202" s="28"/>
    </row>
    <row r="1203" spans="1:41" ht="12.5">
      <c r="A1203" s="28" t="s">
        <v>4403</v>
      </c>
      <c r="B1203" s="37">
        <v>45810</v>
      </c>
      <c r="C1203" s="29">
        <v>45812</v>
      </c>
      <c r="D1203" s="38" t="s">
        <v>41</v>
      </c>
      <c r="E1203" s="38" t="s">
        <v>4404</v>
      </c>
      <c r="G1203" s="38" t="s">
        <v>43</v>
      </c>
      <c r="H1203" s="38">
        <v>9.76</v>
      </c>
      <c r="I1203" s="38" t="s">
        <v>44</v>
      </c>
      <c r="J1203" s="38" t="s">
        <v>45</v>
      </c>
      <c r="K1203" s="38" t="s">
        <v>4405</v>
      </c>
      <c r="L1203" s="30" t="s">
        <v>58</v>
      </c>
      <c r="M1203" s="38" t="s">
        <v>48</v>
      </c>
      <c r="N1203" s="38" t="s">
        <v>48</v>
      </c>
      <c r="O1203" s="31" t="s">
        <v>972</v>
      </c>
      <c r="P1203" s="28" t="s">
        <v>973</v>
      </c>
      <c r="Q1203" s="38" t="s">
        <v>4153</v>
      </c>
      <c r="R1203" s="38">
        <v>1</v>
      </c>
      <c r="S1203" s="38" t="s">
        <v>3878</v>
      </c>
      <c r="T1203" s="38" t="s">
        <v>53</v>
      </c>
      <c r="U1203" s="38" t="s">
        <v>54</v>
      </c>
      <c r="V1203" s="38" t="s">
        <v>55</v>
      </c>
      <c r="Y1203" s="38">
        <v>57.02</v>
      </c>
      <c r="Z1203" s="38">
        <v>1</v>
      </c>
      <c r="AF1203" s="38">
        <v>47.26</v>
      </c>
      <c r="AK1203" s="14" t="e">
        <f t="shared" si="5"/>
        <v>#DIV/0!</v>
      </c>
      <c r="AM1203" s="38"/>
      <c r="AO1203" s="28"/>
    </row>
    <row r="1204" spans="1:41" ht="12.5">
      <c r="A1204" s="28" t="s">
        <v>4406</v>
      </c>
      <c r="B1204" s="37">
        <v>45804</v>
      </c>
      <c r="C1204" s="29">
        <v>45810</v>
      </c>
      <c r="D1204" s="38" t="s">
        <v>41</v>
      </c>
      <c r="E1204" s="38" t="s">
        <v>4407</v>
      </c>
      <c r="G1204" s="38" t="s">
        <v>43</v>
      </c>
      <c r="H1204" s="38">
        <v>10.08</v>
      </c>
      <c r="I1204" s="38" t="s">
        <v>44</v>
      </c>
      <c r="J1204" s="38" t="s">
        <v>45</v>
      </c>
      <c r="K1204" s="38" t="s">
        <v>4408</v>
      </c>
      <c r="L1204" s="30" t="s">
        <v>47</v>
      </c>
      <c r="M1204" s="38" t="s">
        <v>48</v>
      </c>
      <c r="N1204" s="38" t="s">
        <v>48</v>
      </c>
      <c r="O1204" s="31" t="s">
        <v>121</v>
      </c>
      <c r="P1204" s="28" t="s">
        <v>122</v>
      </c>
      <c r="Q1204" s="38" t="s">
        <v>4409</v>
      </c>
      <c r="R1204" s="38">
        <v>1</v>
      </c>
      <c r="S1204" s="38" t="s">
        <v>99</v>
      </c>
      <c r="T1204" s="38" t="s">
        <v>53</v>
      </c>
      <c r="U1204" s="38" t="s">
        <v>60</v>
      </c>
      <c r="V1204" s="38" t="s">
        <v>55</v>
      </c>
      <c r="Y1204" s="38">
        <v>72.84</v>
      </c>
      <c r="Z1204" s="38">
        <v>1</v>
      </c>
      <c r="AF1204" s="38">
        <v>72.84</v>
      </c>
      <c r="AI1204" s="38">
        <v>1</v>
      </c>
      <c r="AJ1204" s="38">
        <v>0</v>
      </c>
      <c r="AK1204" s="14" t="e">
        <f t="shared" si="5"/>
        <v>#DIV/0!</v>
      </c>
      <c r="AM1204" s="38"/>
      <c r="AO1204" s="28"/>
    </row>
    <row r="1205" spans="1:41" ht="12.5">
      <c r="A1205" s="28" t="s">
        <v>4410</v>
      </c>
      <c r="B1205" s="37">
        <v>45807</v>
      </c>
      <c r="C1205" s="29">
        <v>45814</v>
      </c>
      <c r="D1205" s="38" t="s">
        <v>41</v>
      </c>
      <c r="E1205" s="38" t="s">
        <v>4411</v>
      </c>
      <c r="G1205" s="38" t="s">
        <v>43</v>
      </c>
      <c r="H1205" s="38">
        <v>57.61</v>
      </c>
      <c r="I1205" s="38" t="s">
        <v>44</v>
      </c>
      <c r="J1205" s="38" t="s">
        <v>45</v>
      </c>
      <c r="K1205" s="38" t="s">
        <v>4412</v>
      </c>
      <c r="L1205" s="30" t="s">
        <v>47</v>
      </c>
      <c r="M1205" s="38" t="s">
        <v>48</v>
      </c>
      <c r="N1205" s="38" t="s">
        <v>48</v>
      </c>
      <c r="O1205" s="31" t="s">
        <v>4413</v>
      </c>
      <c r="P1205" s="28" t="s">
        <v>4414</v>
      </c>
      <c r="Q1205" s="38" t="s">
        <v>4415</v>
      </c>
      <c r="R1205" s="38">
        <v>1</v>
      </c>
      <c r="S1205" s="38" t="s">
        <v>52</v>
      </c>
      <c r="T1205" s="38" t="s">
        <v>53</v>
      </c>
      <c r="U1205" s="38" t="s">
        <v>54</v>
      </c>
      <c r="V1205" s="38" t="s">
        <v>61</v>
      </c>
      <c r="Y1205" s="38">
        <v>126.26</v>
      </c>
      <c r="Z1205" s="38">
        <v>1</v>
      </c>
      <c r="AF1205" s="38"/>
      <c r="AI1205" s="38">
        <v>1</v>
      </c>
      <c r="AJ1205" s="38">
        <v>2</v>
      </c>
      <c r="AK1205" s="14">
        <f t="shared" si="5"/>
        <v>0.5</v>
      </c>
      <c r="AM1205" s="38"/>
      <c r="AO1205" s="28" t="s">
        <v>4416</v>
      </c>
    </row>
    <row r="1206" spans="1:41" ht="12.5">
      <c r="A1206" s="28" t="s">
        <v>4417</v>
      </c>
      <c r="B1206" s="37">
        <v>45803</v>
      </c>
      <c r="C1206" s="29">
        <v>45814</v>
      </c>
      <c r="D1206" s="38" t="s">
        <v>41</v>
      </c>
      <c r="E1206" s="38"/>
      <c r="G1206" s="38" t="s">
        <v>137</v>
      </c>
      <c r="H1206" s="38">
        <v>0</v>
      </c>
      <c r="I1206" s="38"/>
      <c r="J1206" s="38"/>
      <c r="K1206" s="38"/>
      <c r="L1206" s="30" t="s">
        <v>58</v>
      </c>
      <c r="M1206" s="38" t="s">
        <v>48</v>
      </c>
      <c r="N1206" s="38" t="s">
        <v>48</v>
      </c>
      <c r="O1206" s="31" t="s">
        <v>4418</v>
      </c>
      <c r="P1206" s="28" t="s">
        <v>4419</v>
      </c>
      <c r="Q1206" s="38" t="s">
        <v>4420</v>
      </c>
      <c r="R1206" s="38">
        <v>1</v>
      </c>
      <c r="S1206" s="38" t="s">
        <v>59</v>
      </c>
      <c r="T1206" s="38" t="s">
        <v>53</v>
      </c>
      <c r="U1206" s="38" t="s">
        <v>54</v>
      </c>
      <c r="V1206" s="38" t="s">
        <v>141</v>
      </c>
      <c r="Y1206" s="38">
        <v>22.45</v>
      </c>
      <c r="Z1206" s="38">
        <v>1</v>
      </c>
      <c r="AF1206" s="38">
        <v>22.45</v>
      </c>
      <c r="AI1206" s="38">
        <v>1</v>
      </c>
      <c r="AJ1206" s="38">
        <v>4</v>
      </c>
      <c r="AK1206" s="14">
        <f t="shared" si="5"/>
        <v>0.25</v>
      </c>
      <c r="AM1206" s="38"/>
      <c r="AO1206" s="28"/>
    </row>
    <row r="1207" spans="1:41" ht="12.5">
      <c r="A1207" s="28" t="s">
        <v>4421</v>
      </c>
      <c r="B1207" s="37">
        <v>45788</v>
      </c>
      <c r="C1207" s="29">
        <v>45810</v>
      </c>
      <c r="D1207" s="38" t="s">
        <v>41</v>
      </c>
      <c r="E1207" s="38" t="s">
        <v>4422</v>
      </c>
      <c r="G1207" s="38" t="s">
        <v>137</v>
      </c>
      <c r="H1207" s="38">
        <v>0</v>
      </c>
      <c r="I1207" s="38"/>
      <c r="J1207" s="38"/>
      <c r="K1207" s="38"/>
      <c r="L1207" s="30" t="s">
        <v>58</v>
      </c>
      <c r="M1207" s="38" t="s">
        <v>48</v>
      </c>
      <c r="N1207" s="38" t="s">
        <v>48</v>
      </c>
      <c r="O1207" s="31" t="s">
        <v>1020</v>
      </c>
      <c r="P1207" s="28" t="s">
        <v>1021</v>
      </c>
      <c r="Q1207" s="38" t="s">
        <v>1022</v>
      </c>
      <c r="R1207" s="38">
        <v>1</v>
      </c>
      <c r="S1207" s="38" t="s">
        <v>3884</v>
      </c>
      <c r="T1207" s="38" t="s">
        <v>53</v>
      </c>
      <c r="U1207" s="38" t="s">
        <v>54</v>
      </c>
      <c r="V1207" s="38" t="s">
        <v>61</v>
      </c>
      <c r="Y1207" s="38">
        <v>303.38</v>
      </c>
      <c r="Z1207" s="38">
        <v>1</v>
      </c>
      <c r="AF1207" s="38"/>
      <c r="AI1207" s="38">
        <v>1</v>
      </c>
      <c r="AJ1207" s="38">
        <v>5</v>
      </c>
      <c r="AK1207" s="14">
        <f t="shared" si="5"/>
        <v>0.2</v>
      </c>
      <c r="AM1207" s="38"/>
      <c r="AO1207" s="28"/>
    </row>
    <row r="1208" spans="1:41" ht="12.5">
      <c r="A1208" s="28" t="s">
        <v>4423</v>
      </c>
      <c r="B1208" s="37">
        <v>45820</v>
      </c>
      <c r="C1208" s="29">
        <v>45821</v>
      </c>
      <c r="D1208" s="38" t="s">
        <v>41</v>
      </c>
      <c r="E1208" s="38" t="s">
        <v>4424</v>
      </c>
      <c r="G1208" s="38" t="s">
        <v>43</v>
      </c>
      <c r="H1208" s="38">
        <v>11.91</v>
      </c>
      <c r="I1208" s="38" t="s">
        <v>44</v>
      </c>
      <c r="J1208" s="38" t="s">
        <v>45</v>
      </c>
      <c r="K1208" s="38" t="s">
        <v>4425</v>
      </c>
      <c r="L1208" s="30" t="s">
        <v>47</v>
      </c>
      <c r="M1208" s="38" t="s">
        <v>48</v>
      </c>
      <c r="N1208" s="38" t="s">
        <v>48</v>
      </c>
      <c r="O1208" s="40" t="s">
        <v>160</v>
      </c>
      <c r="P1208" s="28" t="s">
        <v>161</v>
      </c>
      <c r="Q1208" s="38" t="s">
        <v>4426</v>
      </c>
      <c r="R1208" s="38">
        <v>1</v>
      </c>
      <c r="S1208" s="38" t="s">
        <v>92</v>
      </c>
      <c r="T1208" s="38" t="s">
        <v>53</v>
      </c>
      <c r="U1208" s="38" t="s">
        <v>60</v>
      </c>
      <c r="V1208" s="38" t="s">
        <v>61</v>
      </c>
      <c r="Y1208" s="38">
        <v>54.58</v>
      </c>
      <c r="Z1208" s="38">
        <v>1</v>
      </c>
      <c r="AF1208" s="38"/>
      <c r="AI1208" s="38">
        <v>6</v>
      </c>
      <c r="AJ1208" s="38">
        <v>16</v>
      </c>
      <c r="AK1208" s="14">
        <f t="shared" si="5"/>
        <v>0.375</v>
      </c>
      <c r="AM1208" s="38"/>
      <c r="AO1208" s="28" t="s">
        <v>4427</v>
      </c>
    </row>
    <row r="1209" spans="1:41" ht="12.5">
      <c r="A1209" s="28" t="s">
        <v>4428</v>
      </c>
      <c r="B1209" s="37">
        <v>45810</v>
      </c>
      <c r="C1209" s="29">
        <v>45820</v>
      </c>
      <c r="D1209" s="38" t="s">
        <v>41</v>
      </c>
      <c r="E1209" s="38" t="s">
        <v>4429</v>
      </c>
      <c r="G1209" s="38" t="s">
        <v>43</v>
      </c>
      <c r="H1209" s="38">
        <v>11.91</v>
      </c>
      <c r="I1209" s="38" t="s">
        <v>44</v>
      </c>
      <c r="J1209" s="38" t="s">
        <v>45</v>
      </c>
      <c r="K1209" s="38" t="s">
        <v>4430</v>
      </c>
      <c r="L1209" s="30" t="s">
        <v>58</v>
      </c>
      <c r="M1209" s="38" t="s">
        <v>48</v>
      </c>
      <c r="N1209" s="38" t="s">
        <v>48</v>
      </c>
      <c r="O1209" s="40" t="s">
        <v>160</v>
      </c>
      <c r="P1209" s="28" t="s">
        <v>161</v>
      </c>
      <c r="Q1209" s="38" t="s">
        <v>4426</v>
      </c>
      <c r="R1209" s="38">
        <v>1</v>
      </c>
      <c r="S1209" s="38" t="s">
        <v>3878</v>
      </c>
      <c r="T1209" s="38" t="s">
        <v>53</v>
      </c>
      <c r="U1209" s="38" t="s">
        <v>54</v>
      </c>
      <c r="V1209" s="38" t="s">
        <v>55</v>
      </c>
      <c r="Y1209" s="38">
        <v>54.47</v>
      </c>
      <c r="Z1209" s="38">
        <v>1</v>
      </c>
      <c r="AF1209" s="38">
        <v>42.56</v>
      </c>
      <c r="AK1209" s="14" t="e">
        <f t="shared" si="5"/>
        <v>#DIV/0!</v>
      </c>
      <c r="AM1209" s="38"/>
      <c r="AO1209" s="28" t="s">
        <v>4431</v>
      </c>
    </row>
    <row r="1210" spans="1:41" ht="12.5">
      <c r="A1210" s="28" t="s">
        <v>4432</v>
      </c>
      <c r="B1210" s="37">
        <v>45816</v>
      </c>
      <c r="C1210" s="29">
        <v>45819</v>
      </c>
      <c r="D1210" s="38" t="s">
        <v>41</v>
      </c>
      <c r="E1210" s="38" t="s">
        <v>4433</v>
      </c>
      <c r="G1210" s="38" t="s">
        <v>43</v>
      </c>
      <c r="H1210" s="38">
        <v>11.91</v>
      </c>
      <c r="I1210" s="38" t="s">
        <v>44</v>
      </c>
      <c r="J1210" s="38" t="s">
        <v>45</v>
      </c>
      <c r="K1210" s="38" t="s">
        <v>4434</v>
      </c>
      <c r="L1210" s="30" t="s">
        <v>58</v>
      </c>
      <c r="M1210" s="38" t="s">
        <v>48</v>
      </c>
      <c r="N1210" s="38" t="s">
        <v>48</v>
      </c>
      <c r="O1210" s="40" t="s">
        <v>160</v>
      </c>
      <c r="P1210" s="28" t="s">
        <v>161</v>
      </c>
      <c r="Q1210" s="38" t="s">
        <v>4426</v>
      </c>
      <c r="R1210" s="38">
        <v>1</v>
      </c>
      <c r="S1210" s="38" t="s">
        <v>68</v>
      </c>
      <c r="T1210" s="38" t="s">
        <v>53</v>
      </c>
      <c r="U1210" s="38" t="s">
        <v>54</v>
      </c>
      <c r="V1210" s="38" t="s">
        <v>55</v>
      </c>
      <c r="Y1210" s="38">
        <v>53.6</v>
      </c>
      <c r="Z1210" s="38">
        <v>1</v>
      </c>
      <c r="AF1210" s="38">
        <v>41.69</v>
      </c>
      <c r="AK1210" s="14" t="e">
        <f t="shared" si="5"/>
        <v>#DIV/0!</v>
      </c>
      <c r="AM1210" s="38"/>
      <c r="AO1210" s="28" t="s">
        <v>4435</v>
      </c>
    </row>
    <row r="1211" spans="1:41" ht="12.5">
      <c r="A1211" s="28" t="s">
        <v>4436</v>
      </c>
      <c r="B1211" s="37">
        <v>45806</v>
      </c>
      <c r="C1211" s="29">
        <v>45814</v>
      </c>
      <c r="D1211" s="38" t="s">
        <v>41</v>
      </c>
      <c r="E1211" s="38" t="s">
        <v>4437</v>
      </c>
      <c r="G1211" s="38" t="s">
        <v>43</v>
      </c>
      <c r="H1211" s="38">
        <v>11.91</v>
      </c>
      <c r="I1211" s="38" t="s">
        <v>44</v>
      </c>
      <c r="J1211" s="38" t="s">
        <v>45</v>
      </c>
      <c r="K1211" s="38" t="s">
        <v>4438</v>
      </c>
      <c r="L1211" s="30" t="s">
        <v>58</v>
      </c>
      <c r="M1211" s="38" t="s">
        <v>48</v>
      </c>
      <c r="N1211" s="38" t="s">
        <v>48</v>
      </c>
      <c r="O1211" s="40" t="s">
        <v>160</v>
      </c>
      <c r="P1211" s="28" t="s">
        <v>161</v>
      </c>
      <c r="Q1211" s="38" t="s">
        <v>4426</v>
      </c>
      <c r="R1211" s="38">
        <v>1</v>
      </c>
      <c r="S1211" s="38" t="s">
        <v>3868</v>
      </c>
      <c r="T1211" s="38" t="s">
        <v>53</v>
      </c>
      <c r="U1211" s="38" t="s">
        <v>54</v>
      </c>
      <c r="V1211" s="38" t="s">
        <v>61</v>
      </c>
      <c r="Y1211" s="38">
        <v>55.67</v>
      </c>
      <c r="Z1211" s="38">
        <v>1</v>
      </c>
      <c r="AF1211" s="38"/>
      <c r="AK1211" s="14" t="e">
        <f t="shared" si="5"/>
        <v>#DIV/0!</v>
      </c>
      <c r="AM1211" s="38"/>
      <c r="AO1211" s="51" t="s">
        <v>4439</v>
      </c>
    </row>
    <row r="1212" spans="1:41" ht="12.5">
      <c r="A1212" s="28" t="s">
        <v>4440</v>
      </c>
      <c r="B1212" s="37">
        <v>45811</v>
      </c>
      <c r="C1212" s="29">
        <v>45812</v>
      </c>
      <c r="D1212" s="38" t="s">
        <v>41</v>
      </c>
      <c r="E1212" s="38" t="s">
        <v>4441</v>
      </c>
      <c r="G1212" s="38" t="s">
        <v>43</v>
      </c>
      <c r="H1212" s="38">
        <v>11.91</v>
      </c>
      <c r="I1212" s="38" t="s">
        <v>44</v>
      </c>
      <c r="J1212" s="38" t="s">
        <v>45</v>
      </c>
      <c r="K1212" s="38" t="s">
        <v>4442</v>
      </c>
      <c r="L1212" s="30" t="s">
        <v>58</v>
      </c>
      <c r="M1212" s="38" t="s">
        <v>48</v>
      </c>
      <c r="N1212" s="38" t="s">
        <v>48</v>
      </c>
      <c r="O1212" s="40" t="s">
        <v>160</v>
      </c>
      <c r="P1212" s="28" t="s">
        <v>161</v>
      </c>
      <c r="Q1212" s="38" t="s">
        <v>4426</v>
      </c>
      <c r="R1212" s="38">
        <v>1</v>
      </c>
      <c r="S1212" s="38" t="s">
        <v>68</v>
      </c>
      <c r="T1212" s="38" t="s">
        <v>53</v>
      </c>
      <c r="U1212" s="38" t="s">
        <v>54</v>
      </c>
      <c r="V1212" s="38" t="s">
        <v>55</v>
      </c>
      <c r="Y1212" s="38">
        <v>53.96</v>
      </c>
      <c r="Z1212" s="38">
        <v>1</v>
      </c>
      <c r="AF1212" s="38">
        <v>42.05</v>
      </c>
      <c r="AK1212" s="14" t="e">
        <f t="shared" si="5"/>
        <v>#DIV/0!</v>
      </c>
      <c r="AM1212" s="38"/>
      <c r="AO1212" s="51" t="s">
        <v>4443</v>
      </c>
    </row>
    <row r="1213" spans="1:41" ht="12.5">
      <c r="A1213" s="28" t="s">
        <v>4444</v>
      </c>
      <c r="B1213" s="37">
        <v>45809</v>
      </c>
      <c r="C1213" s="29">
        <v>45812</v>
      </c>
      <c r="D1213" s="38" t="s">
        <v>41</v>
      </c>
      <c r="E1213" s="38" t="s">
        <v>4445</v>
      </c>
      <c r="G1213" s="38" t="s">
        <v>43</v>
      </c>
      <c r="H1213" s="38">
        <v>11.91</v>
      </c>
      <c r="I1213" s="38" t="s">
        <v>44</v>
      </c>
      <c r="J1213" s="38" t="s">
        <v>45</v>
      </c>
      <c r="K1213" s="38" t="s">
        <v>4446</v>
      </c>
      <c r="L1213" s="30" t="s">
        <v>58</v>
      </c>
      <c r="M1213" s="38" t="s">
        <v>48</v>
      </c>
      <c r="N1213" s="38" t="s">
        <v>48</v>
      </c>
      <c r="O1213" s="40" t="s">
        <v>160</v>
      </c>
      <c r="P1213" s="28" t="s">
        <v>161</v>
      </c>
      <c r="Q1213" s="38" t="s">
        <v>4426</v>
      </c>
      <c r="R1213" s="38">
        <v>1</v>
      </c>
      <c r="S1213" s="38" t="s">
        <v>3878</v>
      </c>
      <c r="T1213" s="38" t="s">
        <v>53</v>
      </c>
      <c r="U1213" s="38" t="s">
        <v>54</v>
      </c>
      <c r="V1213" s="38" t="s">
        <v>61</v>
      </c>
      <c r="Y1213" s="38">
        <v>55.1</v>
      </c>
      <c r="Z1213" s="38">
        <v>1</v>
      </c>
      <c r="AF1213" s="38">
        <v>38.92</v>
      </c>
      <c r="AK1213" s="14" t="e">
        <f t="shared" si="5"/>
        <v>#DIV/0!</v>
      </c>
      <c r="AM1213" s="38"/>
      <c r="AO1213" s="51" t="s">
        <v>4447</v>
      </c>
    </row>
    <row r="1214" spans="1:41" ht="12.5">
      <c r="A1214" s="28" t="s">
        <v>4448</v>
      </c>
      <c r="B1214" s="37">
        <v>45794</v>
      </c>
      <c r="C1214" s="29">
        <v>45820</v>
      </c>
      <c r="D1214" s="38" t="s">
        <v>41</v>
      </c>
      <c r="E1214" s="38" t="s">
        <v>4449</v>
      </c>
      <c r="G1214" s="38" t="s">
        <v>43</v>
      </c>
      <c r="H1214" s="38">
        <v>13.76</v>
      </c>
      <c r="I1214" s="38" t="s">
        <v>44</v>
      </c>
      <c r="J1214" s="38" t="s">
        <v>45</v>
      </c>
      <c r="K1214" s="38" t="s">
        <v>4450</v>
      </c>
      <c r="L1214" s="30" t="s">
        <v>58</v>
      </c>
      <c r="M1214" s="38" t="s">
        <v>48</v>
      </c>
      <c r="N1214" s="38" t="s">
        <v>48</v>
      </c>
      <c r="O1214" s="31" t="s">
        <v>219</v>
      </c>
      <c r="P1214" s="28" t="s">
        <v>220</v>
      </c>
      <c r="Q1214" s="38" t="s">
        <v>221</v>
      </c>
      <c r="R1214" s="38">
        <v>1</v>
      </c>
      <c r="S1214" s="38" t="s">
        <v>3878</v>
      </c>
      <c r="T1214" s="38" t="s">
        <v>53</v>
      </c>
      <c r="U1214" s="38" t="s">
        <v>54</v>
      </c>
      <c r="V1214" s="38" t="s">
        <v>55</v>
      </c>
      <c r="Y1214" s="38">
        <v>83.83</v>
      </c>
      <c r="Z1214" s="38">
        <v>1</v>
      </c>
      <c r="AF1214" s="38">
        <v>70.069999999999993</v>
      </c>
      <c r="AI1214" s="38">
        <v>3</v>
      </c>
      <c r="AJ1214" s="38">
        <v>24</v>
      </c>
      <c r="AK1214" s="14">
        <f t="shared" si="5"/>
        <v>0.125</v>
      </c>
      <c r="AM1214" s="38"/>
      <c r="AO1214" s="28"/>
    </row>
    <row r="1215" spans="1:41" ht="12.5">
      <c r="A1215" s="28" t="s">
        <v>4451</v>
      </c>
      <c r="B1215" s="37">
        <v>45802</v>
      </c>
      <c r="C1215" s="29">
        <v>45817</v>
      </c>
      <c r="D1215" s="38" t="s">
        <v>41</v>
      </c>
      <c r="E1215" s="38" t="s">
        <v>4452</v>
      </c>
      <c r="G1215" s="38" t="s">
        <v>43</v>
      </c>
      <c r="H1215" s="38">
        <v>13.76</v>
      </c>
      <c r="I1215" s="38" t="s">
        <v>44</v>
      </c>
      <c r="J1215" s="38" t="s">
        <v>45</v>
      </c>
      <c r="K1215" s="38" t="s">
        <v>4453</v>
      </c>
      <c r="L1215" s="30" t="s">
        <v>58</v>
      </c>
      <c r="M1215" s="38" t="s">
        <v>48</v>
      </c>
      <c r="N1215" s="38" t="s">
        <v>48</v>
      </c>
      <c r="O1215" s="31" t="s">
        <v>219</v>
      </c>
      <c r="P1215" s="28" t="s">
        <v>220</v>
      </c>
      <c r="Q1215" s="38" t="s">
        <v>221</v>
      </c>
      <c r="R1215" s="38">
        <v>1</v>
      </c>
      <c r="S1215" s="38" t="s">
        <v>75</v>
      </c>
      <c r="T1215" s="38" t="s">
        <v>53</v>
      </c>
      <c r="U1215" s="38" t="s">
        <v>54</v>
      </c>
      <c r="V1215" s="38" t="s">
        <v>61</v>
      </c>
      <c r="Y1215" s="38"/>
      <c r="Z1215" s="38">
        <v>1</v>
      </c>
      <c r="AF1215" s="38"/>
      <c r="AK1215" s="14" t="e">
        <f t="shared" si="5"/>
        <v>#DIV/0!</v>
      </c>
      <c r="AM1215" s="38"/>
      <c r="AO1215" s="28"/>
    </row>
    <row r="1216" spans="1:41" ht="12.5">
      <c r="A1216" s="28" t="s">
        <v>4454</v>
      </c>
      <c r="B1216" s="37">
        <v>45801</v>
      </c>
      <c r="C1216" s="29">
        <v>45812</v>
      </c>
      <c r="D1216" s="38" t="s">
        <v>41</v>
      </c>
      <c r="E1216" s="38" t="s">
        <v>4455</v>
      </c>
      <c r="G1216" s="38" t="s">
        <v>43</v>
      </c>
      <c r="H1216" s="38">
        <v>13.76</v>
      </c>
      <c r="I1216" s="38" t="s">
        <v>44</v>
      </c>
      <c r="J1216" s="38" t="s">
        <v>45</v>
      </c>
      <c r="K1216" s="38" t="s">
        <v>4456</v>
      </c>
      <c r="L1216" s="30" t="s">
        <v>58</v>
      </c>
      <c r="M1216" s="38" t="s">
        <v>48</v>
      </c>
      <c r="N1216" s="38" t="s">
        <v>48</v>
      </c>
      <c r="O1216" s="31" t="s">
        <v>219</v>
      </c>
      <c r="P1216" s="28" t="s">
        <v>220</v>
      </c>
      <c r="Q1216" s="38" t="s">
        <v>221</v>
      </c>
      <c r="R1216" s="38">
        <v>1</v>
      </c>
      <c r="S1216" s="38" t="s">
        <v>3878</v>
      </c>
      <c r="T1216" s="38" t="s">
        <v>53</v>
      </c>
      <c r="U1216" s="38" t="s">
        <v>54</v>
      </c>
      <c r="V1216" s="38" t="s">
        <v>55</v>
      </c>
      <c r="Y1216" s="38">
        <v>83.9</v>
      </c>
      <c r="Z1216" s="38">
        <v>1</v>
      </c>
      <c r="AF1216" s="38">
        <v>70.14</v>
      </c>
      <c r="AK1216" s="14" t="e">
        <f t="shared" si="5"/>
        <v>#DIV/0!</v>
      </c>
      <c r="AM1216" s="38"/>
      <c r="AO1216" s="28"/>
    </row>
    <row r="1217" spans="1:41" ht="12.5">
      <c r="A1217" s="28" t="s">
        <v>4457</v>
      </c>
      <c r="B1217" s="37">
        <v>45800</v>
      </c>
      <c r="C1217" s="29">
        <v>45811</v>
      </c>
      <c r="D1217" s="38" t="s">
        <v>41</v>
      </c>
      <c r="E1217" s="38" t="s">
        <v>4458</v>
      </c>
      <c r="G1217" s="38" t="s">
        <v>43</v>
      </c>
      <c r="H1217" s="38">
        <v>7.93</v>
      </c>
      <c r="I1217" s="38" t="s">
        <v>44</v>
      </c>
      <c r="J1217" s="38" t="s">
        <v>45</v>
      </c>
      <c r="K1217" s="38" t="s">
        <v>4459</v>
      </c>
      <c r="L1217" s="30" t="s">
        <v>58</v>
      </c>
      <c r="M1217" s="38" t="s">
        <v>48</v>
      </c>
      <c r="N1217" s="38" t="s">
        <v>48</v>
      </c>
      <c r="O1217" s="31" t="s">
        <v>273</v>
      </c>
      <c r="P1217" s="28" t="s">
        <v>274</v>
      </c>
      <c r="Q1217" s="38" t="s">
        <v>4460</v>
      </c>
      <c r="R1217" s="38">
        <v>1</v>
      </c>
      <c r="S1217" s="38" t="s">
        <v>3878</v>
      </c>
      <c r="T1217" s="38" t="s">
        <v>53</v>
      </c>
      <c r="U1217" s="38" t="s">
        <v>54</v>
      </c>
      <c r="V1217" s="38" t="s">
        <v>55</v>
      </c>
      <c r="Y1217" s="38">
        <v>69.86</v>
      </c>
      <c r="Z1217" s="38">
        <v>1</v>
      </c>
      <c r="AF1217" s="38">
        <v>61.93</v>
      </c>
      <c r="AI1217" s="38">
        <v>1</v>
      </c>
      <c r="AJ1217" s="38">
        <v>2</v>
      </c>
      <c r="AK1217" s="14">
        <f t="shared" si="5"/>
        <v>0.5</v>
      </c>
      <c r="AM1217" s="38"/>
      <c r="AO1217" s="28"/>
    </row>
    <row r="1218" spans="1:41" ht="12.5">
      <c r="A1218" s="28" t="s">
        <v>4461</v>
      </c>
      <c r="B1218" s="37">
        <v>45805</v>
      </c>
      <c r="C1218" s="29">
        <v>45814</v>
      </c>
      <c r="D1218" s="38" t="s">
        <v>41</v>
      </c>
      <c r="E1218" s="38" t="s">
        <v>4462</v>
      </c>
      <c r="G1218" s="38" t="s">
        <v>43</v>
      </c>
      <c r="H1218" s="38">
        <v>7.18</v>
      </c>
      <c r="I1218" s="38" t="s">
        <v>44</v>
      </c>
      <c r="J1218" s="38" t="s">
        <v>45</v>
      </c>
      <c r="K1218" s="38" t="s">
        <v>4463</v>
      </c>
      <c r="L1218" s="30" t="s">
        <v>58</v>
      </c>
      <c r="M1218" s="38" t="s">
        <v>48</v>
      </c>
      <c r="N1218" s="38" t="s">
        <v>48</v>
      </c>
      <c r="O1218" s="31" t="s">
        <v>4464</v>
      </c>
      <c r="P1218" s="28" t="s">
        <v>4465</v>
      </c>
      <c r="Q1218" s="38" t="s">
        <v>4466</v>
      </c>
      <c r="R1218" s="38">
        <v>1</v>
      </c>
      <c r="S1218" s="38" t="s">
        <v>68</v>
      </c>
      <c r="T1218" s="38" t="s">
        <v>53</v>
      </c>
      <c r="U1218" s="38" t="s">
        <v>54</v>
      </c>
      <c r="V1218" s="38" t="s">
        <v>61</v>
      </c>
      <c r="Y1218" s="38">
        <v>57.9</v>
      </c>
      <c r="Z1218" s="38">
        <v>1</v>
      </c>
      <c r="AF1218" s="38"/>
      <c r="AI1218" s="38">
        <v>1</v>
      </c>
      <c r="AJ1218" s="38">
        <v>1</v>
      </c>
      <c r="AK1218" s="14">
        <f t="shared" si="5"/>
        <v>1</v>
      </c>
      <c r="AM1218" s="38"/>
      <c r="AO1218" s="28"/>
    </row>
    <row r="1219" spans="1:41" ht="12.5">
      <c r="A1219" s="28" t="s">
        <v>4467</v>
      </c>
      <c r="B1219" s="37">
        <v>45799</v>
      </c>
      <c r="C1219" s="29">
        <v>45810</v>
      </c>
      <c r="D1219" s="38" t="s">
        <v>41</v>
      </c>
      <c r="E1219" s="38"/>
      <c r="G1219" s="38" t="s">
        <v>137</v>
      </c>
      <c r="H1219" s="38">
        <v>0</v>
      </c>
      <c r="I1219" s="38"/>
      <c r="J1219" s="38"/>
      <c r="K1219" s="38"/>
      <c r="L1219" s="30" t="s">
        <v>58</v>
      </c>
      <c r="M1219" s="38" t="s">
        <v>48</v>
      </c>
      <c r="N1219" s="38" t="s">
        <v>48</v>
      </c>
      <c r="O1219" s="31" t="s">
        <v>4204</v>
      </c>
      <c r="P1219" s="28" t="s">
        <v>4205</v>
      </c>
      <c r="Q1219" s="38" t="s">
        <v>4206</v>
      </c>
      <c r="R1219" s="38">
        <v>1</v>
      </c>
      <c r="S1219" s="38" t="s">
        <v>3868</v>
      </c>
      <c r="T1219" s="38" t="s">
        <v>53</v>
      </c>
      <c r="U1219" s="38" t="s">
        <v>54</v>
      </c>
      <c r="V1219" s="38" t="s">
        <v>141</v>
      </c>
      <c r="Y1219" s="38">
        <v>30.4</v>
      </c>
      <c r="Z1219" s="38">
        <v>1</v>
      </c>
      <c r="AF1219" s="38">
        <v>30.4</v>
      </c>
      <c r="AI1219" s="38">
        <v>1</v>
      </c>
      <c r="AJ1219" s="38">
        <v>1</v>
      </c>
      <c r="AK1219" s="14">
        <f t="shared" si="5"/>
        <v>1</v>
      </c>
      <c r="AM1219" s="38"/>
      <c r="AO1219" s="28"/>
    </row>
    <row r="1220" spans="1:41" ht="12.5">
      <c r="A1220" s="28" t="s">
        <v>4468</v>
      </c>
      <c r="B1220" s="37">
        <v>45784</v>
      </c>
      <c r="C1220" s="29">
        <v>45819</v>
      </c>
      <c r="D1220" s="38" t="s">
        <v>41</v>
      </c>
      <c r="E1220" s="38" t="s">
        <v>4469</v>
      </c>
      <c r="G1220" s="38" t="s">
        <v>43</v>
      </c>
      <c r="H1220" s="38">
        <v>65.709999999999994</v>
      </c>
      <c r="I1220" s="38" t="s">
        <v>44</v>
      </c>
      <c r="J1220" s="38" t="s">
        <v>45</v>
      </c>
      <c r="K1220" s="38" t="s">
        <v>4470</v>
      </c>
      <c r="L1220" s="30" t="s">
        <v>47</v>
      </c>
      <c r="M1220" s="38" t="s">
        <v>48</v>
      </c>
      <c r="N1220" s="38" t="s">
        <v>48</v>
      </c>
      <c r="O1220" s="31" t="s">
        <v>283</v>
      </c>
      <c r="P1220" s="28" t="s">
        <v>284</v>
      </c>
      <c r="Q1220" s="38" t="s">
        <v>285</v>
      </c>
      <c r="R1220" s="38">
        <v>1</v>
      </c>
      <c r="S1220" s="38" t="s">
        <v>99</v>
      </c>
      <c r="T1220" s="38" t="s">
        <v>53</v>
      </c>
      <c r="U1220" s="38" t="s">
        <v>60</v>
      </c>
      <c r="V1220" s="38" t="s">
        <v>61</v>
      </c>
      <c r="Y1220" s="38">
        <v>193.6</v>
      </c>
      <c r="Z1220" s="38"/>
      <c r="AF1220" s="38">
        <v>184.9</v>
      </c>
      <c r="AI1220" s="38">
        <v>1</v>
      </c>
      <c r="AJ1220" s="38">
        <v>1</v>
      </c>
      <c r="AK1220" s="14">
        <f t="shared" si="5"/>
        <v>1</v>
      </c>
      <c r="AM1220" s="38"/>
      <c r="AO1220" s="28" t="s">
        <v>4471</v>
      </c>
    </row>
    <row r="1221" spans="1:41" ht="12.5">
      <c r="A1221" s="28" t="s">
        <v>4472</v>
      </c>
      <c r="B1221" s="37">
        <v>45813</v>
      </c>
      <c r="C1221" s="29">
        <v>45819</v>
      </c>
      <c r="D1221" s="38" t="s">
        <v>41</v>
      </c>
      <c r="E1221" s="38" t="s">
        <v>4473</v>
      </c>
      <c r="G1221" s="38" t="s">
        <v>43</v>
      </c>
      <c r="H1221" s="38">
        <v>12.37</v>
      </c>
      <c r="I1221" s="38" t="s">
        <v>44</v>
      </c>
      <c r="J1221" s="38" t="s">
        <v>45</v>
      </c>
      <c r="K1221" s="38" t="s">
        <v>4474</v>
      </c>
      <c r="L1221" s="30" t="s">
        <v>58</v>
      </c>
      <c r="M1221" s="38" t="s">
        <v>48</v>
      </c>
      <c r="N1221" s="38" t="s">
        <v>48</v>
      </c>
      <c r="O1221" s="31" t="s">
        <v>1077</v>
      </c>
      <c r="P1221" s="28" t="s">
        <v>1078</v>
      </c>
      <c r="Q1221" s="38" t="s">
        <v>1079</v>
      </c>
      <c r="R1221" s="38">
        <v>1</v>
      </c>
      <c r="S1221" s="38" t="s">
        <v>3868</v>
      </c>
      <c r="T1221" s="38" t="s">
        <v>53</v>
      </c>
      <c r="U1221" s="38" t="s">
        <v>54</v>
      </c>
      <c r="V1221" s="38" t="s">
        <v>55</v>
      </c>
      <c r="Y1221" s="38">
        <v>106.9</v>
      </c>
      <c r="Z1221" s="38">
        <v>1</v>
      </c>
      <c r="AF1221" s="38">
        <v>94.53</v>
      </c>
      <c r="AI1221" s="38">
        <v>1</v>
      </c>
      <c r="AJ1221" s="38">
        <v>1</v>
      </c>
      <c r="AK1221" s="14">
        <f t="shared" si="5"/>
        <v>1</v>
      </c>
      <c r="AM1221" s="38"/>
      <c r="AO1221" s="28"/>
    </row>
    <row r="1222" spans="1:41" ht="12.5">
      <c r="A1222" s="28" t="s">
        <v>4475</v>
      </c>
      <c r="B1222" s="37">
        <v>45798</v>
      </c>
      <c r="C1222" s="29">
        <v>45810</v>
      </c>
      <c r="D1222" s="38" t="s">
        <v>41</v>
      </c>
      <c r="E1222" s="38"/>
      <c r="G1222" s="38" t="s">
        <v>137</v>
      </c>
      <c r="H1222" s="38">
        <v>0</v>
      </c>
      <c r="I1222" s="38"/>
      <c r="J1222" s="38"/>
      <c r="K1222" s="38"/>
      <c r="L1222" s="30" t="s">
        <v>47</v>
      </c>
      <c r="M1222" s="38" t="s">
        <v>48</v>
      </c>
      <c r="N1222" s="38" t="s">
        <v>48</v>
      </c>
      <c r="O1222" s="31" t="s">
        <v>3680</v>
      </c>
      <c r="P1222" s="28" t="s">
        <v>3681</v>
      </c>
      <c r="Q1222" s="38" t="s">
        <v>3682</v>
      </c>
      <c r="R1222" s="38">
        <v>1</v>
      </c>
      <c r="S1222" s="38" t="s">
        <v>92</v>
      </c>
      <c r="T1222" s="38" t="s">
        <v>53</v>
      </c>
      <c r="U1222" s="38" t="s">
        <v>54</v>
      </c>
      <c r="V1222" s="38" t="s">
        <v>141</v>
      </c>
      <c r="Y1222" s="38">
        <v>17.559999999999999</v>
      </c>
      <c r="Z1222" s="38">
        <v>1</v>
      </c>
      <c r="AF1222" s="38">
        <v>17.559999999999999</v>
      </c>
      <c r="AI1222" s="38">
        <v>1</v>
      </c>
      <c r="AK1222" s="14" t="e">
        <f t="shared" si="5"/>
        <v>#DIV/0!</v>
      </c>
      <c r="AM1222" s="38"/>
      <c r="AO1222" s="28" t="s">
        <v>4476</v>
      </c>
    </row>
    <row r="1223" spans="1:41" ht="12.5">
      <c r="A1223" s="28" t="s">
        <v>4477</v>
      </c>
      <c r="B1223" s="37">
        <v>45807</v>
      </c>
      <c r="C1223" s="29">
        <v>45812</v>
      </c>
      <c r="D1223" s="38" t="s">
        <v>41</v>
      </c>
      <c r="E1223" s="38" t="s">
        <v>4478</v>
      </c>
      <c r="G1223" s="38" t="s">
        <v>43</v>
      </c>
      <c r="H1223" s="38">
        <v>11.26</v>
      </c>
      <c r="I1223" s="38" t="s">
        <v>44</v>
      </c>
      <c r="J1223" s="38" t="s">
        <v>45</v>
      </c>
      <c r="K1223" s="38" t="s">
        <v>4479</v>
      </c>
      <c r="L1223" s="30" t="s">
        <v>47</v>
      </c>
      <c r="M1223" s="38" t="s">
        <v>48</v>
      </c>
      <c r="N1223" s="38" t="s">
        <v>48</v>
      </c>
      <c r="O1223" s="31" t="s">
        <v>2904</v>
      </c>
      <c r="P1223" s="28" t="s">
        <v>2905</v>
      </c>
      <c r="Q1223" s="38" t="s">
        <v>2906</v>
      </c>
      <c r="R1223" s="38">
        <v>1</v>
      </c>
      <c r="S1223" s="38" t="s">
        <v>99</v>
      </c>
      <c r="T1223" s="38" t="s">
        <v>53</v>
      </c>
      <c r="U1223" s="38" t="s">
        <v>54</v>
      </c>
      <c r="V1223" s="38" t="s">
        <v>560</v>
      </c>
      <c r="Y1223" s="38">
        <v>94.94</v>
      </c>
      <c r="Z1223" s="38">
        <v>1</v>
      </c>
      <c r="AF1223" s="38"/>
      <c r="AI1223" s="38">
        <v>1</v>
      </c>
      <c r="AJ1223" s="38">
        <v>4</v>
      </c>
      <c r="AK1223" s="14">
        <f t="shared" si="5"/>
        <v>0.25</v>
      </c>
      <c r="AM1223" s="38"/>
      <c r="AO1223" s="28"/>
    </row>
    <row r="1224" spans="1:41" ht="12.5">
      <c r="A1224" s="28" t="s">
        <v>4480</v>
      </c>
      <c r="B1224" s="37">
        <v>45815</v>
      </c>
      <c r="C1224" s="29">
        <v>45820</v>
      </c>
      <c r="D1224" s="38" t="s">
        <v>41</v>
      </c>
      <c r="E1224" s="38" t="s">
        <v>4481</v>
      </c>
      <c r="G1224" s="38" t="s">
        <v>43</v>
      </c>
      <c r="H1224" s="38">
        <v>11.26</v>
      </c>
      <c r="I1224" s="38" t="s">
        <v>44</v>
      </c>
      <c r="J1224" s="38" t="s">
        <v>45</v>
      </c>
      <c r="K1224" s="38" t="s">
        <v>4482</v>
      </c>
      <c r="L1224" s="30" t="s">
        <v>58</v>
      </c>
      <c r="M1224" s="38" t="s">
        <v>48</v>
      </c>
      <c r="N1224" s="38" t="s">
        <v>48</v>
      </c>
      <c r="O1224" s="31" t="s">
        <v>2193</v>
      </c>
      <c r="P1224" s="28" t="s">
        <v>2194</v>
      </c>
      <c r="Q1224" s="38" t="s">
        <v>2195</v>
      </c>
      <c r="R1224" s="38">
        <v>1</v>
      </c>
      <c r="S1224" s="38" t="s">
        <v>3868</v>
      </c>
      <c r="T1224" s="38" t="s">
        <v>53</v>
      </c>
      <c r="U1224" s="38" t="s">
        <v>54</v>
      </c>
      <c r="V1224" s="38" t="s">
        <v>55</v>
      </c>
      <c r="Y1224" s="38">
        <v>83.24</v>
      </c>
      <c r="Z1224" s="38">
        <v>1</v>
      </c>
      <c r="AF1224" s="38">
        <v>71.98</v>
      </c>
      <c r="AI1224" s="38">
        <v>1</v>
      </c>
      <c r="AJ1224" s="38">
        <v>23</v>
      </c>
      <c r="AK1224" s="14">
        <f t="shared" si="5"/>
        <v>4.3478260869565216E-2</v>
      </c>
      <c r="AM1224" s="38"/>
      <c r="AO1224" s="28"/>
    </row>
    <row r="1225" spans="1:41" ht="12.5">
      <c r="A1225" s="28" t="s">
        <v>4483</v>
      </c>
      <c r="B1225" s="37">
        <v>45790</v>
      </c>
      <c r="C1225" s="29">
        <v>45812</v>
      </c>
      <c r="D1225" s="38" t="s">
        <v>41</v>
      </c>
      <c r="E1225" s="38" t="s">
        <v>4484</v>
      </c>
      <c r="G1225" s="38" t="s">
        <v>43</v>
      </c>
      <c r="H1225" s="38">
        <v>11.26</v>
      </c>
      <c r="I1225" s="38" t="s">
        <v>44</v>
      </c>
      <c r="J1225" s="38" t="s">
        <v>45</v>
      </c>
      <c r="K1225" s="38" t="s">
        <v>4485</v>
      </c>
      <c r="L1225" s="30" t="s">
        <v>58</v>
      </c>
      <c r="M1225" s="38" t="s">
        <v>48</v>
      </c>
      <c r="N1225" s="38" t="s">
        <v>48</v>
      </c>
      <c r="O1225" s="31" t="s">
        <v>310</v>
      </c>
      <c r="P1225" s="28" t="s">
        <v>311</v>
      </c>
      <c r="Q1225" s="38" t="s">
        <v>312</v>
      </c>
      <c r="R1225" s="38">
        <v>1</v>
      </c>
      <c r="S1225" s="38" t="s">
        <v>68</v>
      </c>
      <c r="T1225" s="38" t="s">
        <v>53</v>
      </c>
      <c r="U1225" s="38" t="s">
        <v>54</v>
      </c>
      <c r="V1225" s="38" t="s">
        <v>61</v>
      </c>
      <c r="Y1225" s="38">
        <v>144.97999999999999</v>
      </c>
      <c r="Z1225" s="38">
        <v>1</v>
      </c>
      <c r="AF1225" s="38"/>
      <c r="AI1225" s="38">
        <v>1</v>
      </c>
      <c r="AJ1225" s="38">
        <v>7</v>
      </c>
      <c r="AK1225" s="14">
        <f t="shared" si="5"/>
        <v>0.14285714285714285</v>
      </c>
      <c r="AM1225" s="38"/>
      <c r="AO1225" s="28"/>
    </row>
    <row r="1226" spans="1:41" ht="12.5">
      <c r="A1226" s="28" t="s">
        <v>4486</v>
      </c>
      <c r="B1226" s="37">
        <v>45800</v>
      </c>
      <c r="C1226" s="29">
        <v>45810</v>
      </c>
      <c r="D1226" s="38" t="s">
        <v>41</v>
      </c>
      <c r="E1226" s="38" t="s">
        <v>4487</v>
      </c>
      <c r="G1226" s="38" t="s">
        <v>43</v>
      </c>
      <c r="H1226" s="38">
        <v>10.44</v>
      </c>
      <c r="I1226" s="38" t="s">
        <v>44</v>
      </c>
      <c r="J1226" s="38" t="s">
        <v>45</v>
      </c>
      <c r="K1226" s="38" t="s">
        <v>4488</v>
      </c>
      <c r="L1226" s="30" t="s">
        <v>58</v>
      </c>
      <c r="M1226" s="38" t="s">
        <v>48</v>
      </c>
      <c r="N1226" s="38" t="s">
        <v>48</v>
      </c>
      <c r="O1226" s="31" t="s">
        <v>337</v>
      </c>
      <c r="P1226" s="28" t="s">
        <v>338</v>
      </c>
      <c r="Q1226" s="38" t="s">
        <v>1846</v>
      </c>
      <c r="R1226" s="38">
        <v>1</v>
      </c>
      <c r="S1226" s="38" t="s">
        <v>59</v>
      </c>
      <c r="T1226" s="38" t="s">
        <v>53</v>
      </c>
      <c r="U1226" s="38" t="s">
        <v>54</v>
      </c>
      <c r="V1226" s="38" t="s">
        <v>55</v>
      </c>
      <c r="Y1226" s="38">
        <v>74.67</v>
      </c>
      <c r="Z1226" s="38">
        <v>1</v>
      </c>
      <c r="AF1226" s="38">
        <v>64.23</v>
      </c>
      <c r="AI1226" s="38">
        <v>1</v>
      </c>
      <c r="AJ1226" s="38">
        <v>7</v>
      </c>
      <c r="AK1226" s="14">
        <f t="shared" si="5"/>
        <v>0.14285714285714285</v>
      </c>
      <c r="AM1226" s="38"/>
      <c r="AO1226" s="28"/>
    </row>
    <row r="1227" spans="1:41" ht="12.5">
      <c r="A1227" s="28" t="s">
        <v>4489</v>
      </c>
      <c r="B1227" s="37">
        <v>45811</v>
      </c>
      <c r="C1227" s="29">
        <v>45817</v>
      </c>
      <c r="D1227" s="38" t="s">
        <v>41</v>
      </c>
      <c r="E1227" s="38" t="s">
        <v>4490</v>
      </c>
      <c r="G1227" s="38" t="s">
        <v>43</v>
      </c>
      <c r="H1227" s="38">
        <v>12.82</v>
      </c>
      <c r="I1227" s="38" t="s">
        <v>44</v>
      </c>
      <c r="J1227" s="38" t="s">
        <v>45</v>
      </c>
      <c r="K1227" s="38" t="s">
        <v>4491</v>
      </c>
      <c r="L1227" s="30" t="s">
        <v>58</v>
      </c>
      <c r="M1227" s="38" t="s">
        <v>48</v>
      </c>
      <c r="N1227" s="38" t="s">
        <v>48</v>
      </c>
      <c r="O1227" s="40" t="s">
        <v>357</v>
      </c>
      <c r="P1227" s="28" t="s">
        <v>358</v>
      </c>
      <c r="Q1227" s="38" t="s">
        <v>359</v>
      </c>
      <c r="R1227" s="38">
        <v>1</v>
      </c>
      <c r="S1227" s="38" t="s">
        <v>59</v>
      </c>
      <c r="T1227" s="38" t="s">
        <v>53</v>
      </c>
      <c r="U1227" s="38" t="s">
        <v>54</v>
      </c>
      <c r="V1227" s="38" t="s">
        <v>61</v>
      </c>
      <c r="Y1227" s="38">
        <v>75.69</v>
      </c>
      <c r="Z1227" s="38">
        <v>1</v>
      </c>
      <c r="AF1227" s="38"/>
      <c r="AI1227" s="38">
        <v>2</v>
      </c>
      <c r="AJ1227" s="38">
        <v>3</v>
      </c>
      <c r="AK1227" s="14">
        <f t="shared" si="5"/>
        <v>0.66666666666666663</v>
      </c>
      <c r="AM1227" s="38"/>
      <c r="AO1227" s="28" t="s">
        <v>4492</v>
      </c>
    </row>
    <row r="1228" spans="1:41" ht="12.5">
      <c r="A1228" s="28" t="s">
        <v>4493</v>
      </c>
      <c r="B1228" s="37">
        <v>45797</v>
      </c>
      <c r="C1228" s="29">
        <v>45816</v>
      </c>
      <c r="D1228" s="38" t="s">
        <v>41</v>
      </c>
      <c r="E1228" s="38" t="s">
        <v>4494</v>
      </c>
      <c r="G1228" s="38" t="s">
        <v>43</v>
      </c>
      <c r="H1228" s="38">
        <v>12.82</v>
      </c>
      <c r="I1228" s="38" t="s">
        <v>44</v>
      </c>
      <c r="J1228" s="38" t="s">
        <v>45</v>
      </c>
      <c r="K1228" s="38" t="s">
        <v>4495</v>
      </c>
      <c r="L1228" s="30" t="s">
        <v>47</v>
      </c>
      <c r="M1228" s="38" t="s">
        <v>48</v>
      </c>
      <c r="N1228" s="38" t="s">
        <v>48</v>
      </c>
      <c r="O1228" s="40" t="s">
        <v>357</v>
      </c>
      <c r="P1228" s="28" t="s">
        <v>358</v>
      </c>
      <c r="Q1228" s="38" t="s">
        <v>359</v>
      </c>
      <c r="R1228" s="38">
        <v>1</v>
      </c>
      <c r="S1228" s="38" t="s">
        <v>52</v>
      </c>
      <c r="T1228" s="38" t="s">
        <v>53</v>
      </c>
      <c r="U1228" s="38" t="s">
        <v>54</v>
      </c>
      <c r="V1228" s="38" t="s">
        <v>55</v>
      </c>
      <c r="Y1228" s="38">
        <v>75.099999999999994</v>
      </c>
      <c r="Z1228" s="38">
        <v>1</v>
      </c>
      <c r="AF1228" s="38">
        <v>75.099999999999994</v>
      </c>
      <c r="AK1228" s="14" t="e">
        <f t="shared" si="5"/>
        <v>#DIV/0!</v>
      </c>
      <c r="AM1228" s="38"/>
      <c r="AO1228" s="28" t="s">
        <v>4496</v>
      </c>
    </row>
    <row r="1229" spans="1:41" ht="12.5">
      <c r="A1229" s="28" t="s">
        <v>4497</v>
      </c>
      <c r="B1229" s="37">
        <v>45814</v>
      </c>
      <c r="C1229" s="29">
        <v>45819</v>
      </c>
      <c r="D1229" s="38" t="s">
        <v>41</v>
      </c>
      <c r="E1229" s="38" t="s">
        <v>4498</v>
      </c>
      <c r="G1229" s="38" t="s">
        <v>43</v>
      </c>
      <c r="H1229" s="38">
        <v>10.53</v>
      </c>
      <c r="I1229" s="38" t="s">
        <v>44</v>
      </c>
      <c r="J1229" s="38" t="s">
        <v>45</v>
      </c>
      <c r="K1229" s="38" t="s">
        <v>4499</v>
      </c>
      <c r="L1229" s="30" t="s">
        <v>47</v>
      </c>
      <c r="M1229" s="38" t="s">
        <v>48</v>
      </c>
      <c r="N1229" s="38" t="s">
        <v>48</v>
      </c>
      <c r="O1229" s="31" t="s">
        <v>1178</v>
      </c>
      <c r="P1229" s="28" t="s">
        <v>1179</v>
      </c>
      <c r="Q1229" s="38" t="s">
        <v>4500</v>
      </c>
      <c r="R1229" s="38">
        <v>1</v>
      </c>
      <c r="S1229" s="38" t="s">
        <v>92</v>
      </c>
      <c r="T1229" s="38" t="s">
        <v>53</v>
      </c>
      <c r="U1229" s="38" t="s">
        <v>54</v>
      </c>
      <c r="V1229" s="38" t="s">
        <v>61</v>
      </c>
      <c r="Y1229" s="38">
        <v>87.9</v>
      </c>
      <c r="Z1229" s="38">
        <v>1</v>
      </c>
      <c r="AF1229" s="38"/>
      <c r="AI1229" s="38">
        <v>1</v>
      </c>
      <c r="AJ1229" s="38">
        <v>2</v>
      </c>
      <c r="AK1229" s="14">
        <f t="shared" si="5"/>
        <v>0.5</v>
      </c>
      <c r="AM1229" s="38"/>
      <c r="AO1229" s="28" t="s">
        <v>4501</v>
      </c>
    </row>
    <row r="1230" spans="1:41" ht="12.5">
      <c r="A1230" s="28" t="s">
        <v>4502</v>
      </c>
      <c r="B1230" s="37">
        <v>45815</v>
      </c>
      <c r="C1230" s="29">
        <v>45820</v>
      </c>
      <c r="D1230" s="38" t="s">
        <v>41</v>
      </c>
      <c r="E1230" s="38" t="s">
        <v>4503</v>
      </c>
      <c r="G1230" s="38" t="s">
        <v>43</v>
      </c>
      <c r="H1230" s="38">
        <v>10.81</v>
      </c>
      <c r="I1230" s="38" t="s">
        <v>44</v>
      </c>
      <c r="J1230" s="38" t="s">
        <v>45</v>
      </c>
      <c r="K1230" s="38" t="s">
        <v>4504</v>
      </c>
      <c r="L1230" s="30" t="s">
        <v>58</v>
      </c>
      <c r="M1230" s="38" t="s">
        <v>48</v>
      </c>
      <c r="N1230" s="38" t="s">
        <v>48</v>
      </c>
      <c r="O1230" s="31" t="s">
        <v>396</v>
      </c>
      <c r="P1230" s="28" t="s">
        <v>397</v>
      </c>
      <c r="Q1230" s="38" t="s">
        <v>4505</v>
      </c>
      <c r="R1230" s="38">
        <v>1</v>
      </c>
      <c r="S1230" s="38" t="s">
        <v>75</v>
      </c>
      <c r="T1230" s="38" t="s">
        <v>53</v>
      </c>
      <c r="U1230" s="38" t="s">
        <v>54</v>
      </c>
      <c r="V1230" s="38" t="s">
        <v>55</v>
      </c>
      <c r="Y1230" s="38">
        <v>65.47</v>
      </c>
      <c r="Z1230" s="38">
        <v>1</v>
      </c>
      <c r="AF1230" s="38">
        <v>54.66</v>
      </c>
      <c r="AI1230" s="38">
        <v>1</v>
      </c>
      <c r="AJ1230" s="38">
        <v>5</v>
      </c>
      <c r="AK1230" s="14">
        <f t="shared" si="5"/>
        <v>0.2</v>
      </c>
      <c r="AM1230" s="38"/>
      <c r="AO1230" s="28"/>
    </row>
    <row r="1231" spans="1:41" ht="12.5">
      <c r="A1231" s="28" t="s">
        <v>4506</v>
      </c>
      <c r="B1231" s="37">
        <v>45790</v>
      </c>
      <c r="C1231" s="29">
        <v>45818</v>
      </c>
      <c r="D1231" s="38" t="s">
        <v>41</v>
      </c>
      <c r="E1231" s="38" t="s">
        <v>4507</v>
      </c>
      <c r="G1231" s="38" t="s">
        <v>43</v>
      </c>
      <c r="H1231" s="38">
        <v>10.81</v>
      </c>
      <c r="I1231" s="38" t="s">
        <v>44</v>
      </c>
      <c r="J1231" s="38" t="s">
        <v>45</v>
      </c>
      <c r="K1231" s="38" t="s">
        <v>4508</v>
      </c>
      <c r="L1231" s="30" t="s">
        <v>58</v>
      </c>
      <c r="M1231" s="38" t="s">
        <v>48</v>
      </c>
      <c r="N1231" s="38" t="s">
        <v>48</v>
      </c>
      <c r="O1231" s="31" t="s">
        <v>2548</v>
      </c>
      <c r="P1231" s="28" t="s">
        <v>2549</v>
      </c>
      <c r="Q1231" s="38" t="s">
        <v>4509</v>
      </c>
      <c r="R1231" s="38">
        <v>1</v>
      </c>
      <c r="S1231" s="38" t="s">
        <v>3884</v>
      </c>
      <c r="T1231" s="38" t="s">
        <v>53</v>
      </c>
      <c r="U1231" s="38" t="s">
        <v>54</v>
      </c>
      <c r="V1231" s="38" t="s">
        <v>61</v>
      </c>
      <c r="Y1231" s="38">
        <v>76.13</v>
      </c>
      <c r="Z1231" s="38">
        <v>1</v>
      </c>
      <c r="AF1231" s="38"/>
      <c r="AI1231" s="38">
        <v>1</v>
      </c>
      <c r="AJ1231" s="38">
        <v>2</v>
      </c>
      <c r="AK1231" s="14">
        <f t="shared" si="5"/>
        <v>0.5</v>
      </c>
      <c r="AM1231" s="38"/>
      <c r="AO1231" s="28"/>
    </row>
    <row r="1232" spans="1:41" ht="12.5">
      <c r="A1232" s="28" t="s">
        <v>4510</v>
      </c>
      <c r="B1232" s="37">
        <v>45804</v>
      </c>
      <c r="C1232" s="29">
        <v>45814</v>
      </c>
      <c r="D1232" s="38" t="s">
        <v>41</v>
      </c>
      <c r="E1232" s="38" t="s">
        <v>4511</v>
      </c>
      <c r="G1232" s="38" t="s">
        <v>43</v>
      </c>
      <c r="H1232" s="38">
        <v>69.42</v>
      </c>
      <c r="I1232" s="38" t="s">
        <v>44</v>
      </c>
      <c r="J1232" s="38" t="s">
        <v>45</v>
      </c>
      <c r="K1232" s="38" t="s">
        <v>4512</v>
      </c>
      <c r="L1232" s="30" t="s">
        <v>47</v>
      </c>
      <c r="M1232" s="38" t="s">
        <v>48</v>
      </c>
      <c r="N1232" s="38" t="s">
        <v>48</v>
      </c>
      <c r="O1232" s="31" t="s">
        <v>412</v>
      </c>
      <c r="P1232" s="28" t="s">
        <v>413</v>
      </c>
      <c r="Q1232" s="38" t="s">
        <v>1193</v>
      </c>
      <c r="R1232" s="38">
        <v>1</v>
      </c>
      <c r="S1232" s="38" t="s">
        <v>99</v>
      </c>
      <c r="T1232" s="38" t="s">
        <v>53</v>
      </c>
      <c r="U1232" s="38" t="s">
        <v>54</v>
      </c>
      <c r="V1232" s="38" t="s">
        <v>61</v>
      </c>
      <c r="Y1232" s="38">
        <v>180.9</v>
      </c>
      <c r="Z1232" s="38">
        <v>1</v>
      </c>
      <c r="AF1232" s="38"/>
      <c r="AI1232" s="38">
        <v>1</v>
      </c>
      <c r="AJ1232" s="38">
        <v>4</v>
      </c>
      <c r="AK1232" s="14">
        <f t="shared" si="5"/>
        <v>0.25</v>
      </c>
      <c r="AM1232" s="38"/>
      <c r="AO1232" s="28" t="s">
        <v>4513</v>
      </c>
    </row>
    <row r="1233" spans="1:41" ht="12.5">
      <c r="A1233" s="28" t="s">
        <v>4514</v>
      </c>
      <c r="B1233" s="37">
        <v>45808</v>
      </c>
      <c r="C1233" s="29">
        <v>45815</v>
      </c>
      <c r="D1233" s="38" t="s">
        <v>41</v>
      </c>
      <c r="E1233" s="38" t="s">
        <v>4515</v>
      </c>
      <c r="G1233" s="38" t="s">
        <v>43</v>
      </c>
      <c r="H1233" s="38">
        <v>14.23</v>
      </c>
      <c r="I1233" s="38" t="s">
        <v>44</v>
      </c>
      <c r="J1233" s="38" t="s">
        <v>45</v>
      </c>
      <c r="K1233" s="38" t="s">
        <v>4516</v>
      </c>
      <c r="L1233" s="30" t="s">
        <v>47</v>
      </c>
      <c r="M1233" s="38" t="s">
        <v>48</v>
      </c>
      <c r="N1233" s="38" t="s">
        <v>48</v>
      </c>
      <c r="O1233" s="31" t="s">
        <v>1874</v>
      </c>
      <c r="P1233" s="28" t="s">
        <v>1875</v>
      </c>
      <c r="Q1233" s="38" t="s">
        <v>4517</v>
      </c>
      <c r="R1233" s="38">
        <v>1</v>
      </c>
      <c r="S1233" s="38" t="s">
        <v>99</v>
      </c>
      <c r="T1233" s="38" t="s">
        <v>53</v>
      </c>
      <c r="U1233" s="38" t="s">
        <v>54</v>
      </c>
      <c r="V1233" s="38" t="s">
        <v>61</v>
      </c>
      <c r="Y1233" s="38">
        <v>98.34</v>
      </c>
      <c r="Z1233" s="38">
        <v>1</v>
      </c>
      <c r="AF1233" s="38"/>
      <c r="AI1233" s="38">
        <v>1</v>
      </c>
      <c r="AJ1233" s="38">
        <v>3</v>
      </c>
      <c r="AK1233" s="14">
        <f t="shared" si="5"/>
        <v>0.33333333333333331</v>
      </c>
      <c r="AM1233" s="38"/>
      <c r="AO1233" s="28"/>
    </row>
    <row r="1234" spans="1:41" ht="12.5">
      <c r="A1234" s="28" t="s">
        <v>4518</v>
      </c>
      <c r="B1234" s="37">
        <v>45813</v>
      </c>
      <c r="C1234" s="29">
        <v>45820</v>
      </c>
      <c r="D1234" s="38" t="s">
        <v>41</v>
      </c>
      <c r="E1234" s="38" t="s">
        <v>4519</v>
      </c>
      <c r="G1234" s="38" t="s">
        <v>43</v>
      </c>
      <c r="H1234" s="38">
        <v>14.23</v>
      </c>
      <c r="I1234" s="38" t="s">
        <v>44</v>
      </c>
      <c r="J1234" s="38" t="s">
        <v>45</v>
      </c>
      <c r="K1234" s="38" t="s">
        <v>4520</v>
      </c>
      <c r="L1234" s="30" t="s">
        <v>58</v>
      </c>
      <c r="M1234" s="38" t="s">
        <v>48</v>
      </c>
      <c r="N1234" s="38" t="s">
        <v>48</v>
      </c>
      <c r="O1234" s="31" t="s">
        <v>1214</v>
      </c>
      <c r="P1234" s="28" t="s">
        <v>1215</v>
      </c>
      <c r="Q1234" s="38" t="s">
        <v>1216</v>
      </c>
      <c r="R1234" s="38">
        <v>1</v>
      </c>
      <c r="S1234" s="38" t="s">
        <v>3878</v>
      </c>
      <c r="T1234" s="38" t="s">
        <v>53</v>
      </c>
      <c r="U1234" s="38" t="s">
        <v>54</v>
      </c>
      <c r="V1234" s="38" t="s">
        <v>61</v>
      </c>
      <c r="Y1234" s="38">
        <v>73.58</v>
      </c>
      <c r="Z1234" s="38">
        <v>1</v>
      </c>
      <c r="AF1234" s="38"/>
      <c r="AI1234" s="38">
        <v>1</v>
      </c>
      <c r="AJ1234" s="38">
        <v>3</v>
      </c>
      <c r="AK1234" s="14">
        <f t="shared" si="5"/>
        <v>0.33333333333333331</v>
      </c>
      <c r="AM1234" s="38"/>
      <c r="AO1234" s="28"/>
    </row>
    <row r="1235" spans="1:41" ht="12.5">
      <c r="A1235" s="28" t="s">
        <v>4521</v>
      </c>
      <c r="B1235" s="37">
        <v>45811</v>
      </c>
      <c r="C1235" s="29">
        <v>45823</v>
      </c>
      <c r="D1235" s="38" t="s">
        <v>41</v>
      </c>
      <c r="E1235" s="38" t="s">
        <v>4522</v>
      </c>
      <c r="G1235" s="38" t="s">
        <v>43</v>
      </c>
      <c r="H1235" s="38">
        <v>17.7</v>
      </c>
      <c r="I1235" s="38" t="s">
        <v>44</v>
      </c>
      <c r="J1235" s="38" t="s">
        <v>45</v>
      </c>
      <c r="K1235" s="38" t="s">
        <v>4523</v>
      </c>
      <c r="L1235" s="30" t="s">
        <v>58</v>
      </c>
      <c r="M1235" s="38" t="s">
        <v>48</v>
      </c>
      <c r="N1235" s="38" t="s">
        <v>48</v>
      </c>
      <c r="O1235" s="31" t="s">
        <v>437</v>
      </c>
      <c r="P1235" s="28" t="s">
        <v>438</v>
      </c>
      <c r="Q1235" s="38" t="s">
        <v>2246</v>
      </c>
      <c r="R1235" s="38">
        <v>1</v>
      </c>
      <c r="S1235" s="38" t="s">
        <v>3884</v>
      </c>
      <c r="T1235" s="38" t="s">
        <v>53</v>
      </c>
      <c r="U1235" s="38" t="s">
        <v>54</v>
      </c>
      <c r="V1235" s="38" t="s">
        <v>61</v>
      </c>
      <c r="Y1235" s="38">
        <v>121.96</v>
      </c>
      <c r="Z1235" s="38">
        <v>1</v>
      </c>
      <c r="AF1235" s="38"/>
      <c r="AI1235" s="38">
        <v>1</v>
      </c>
      <c r="AJ1235" s="38">
        <v>6</v>
      </c>
      <c r="AK1235" s="14">
        <f t="shared" si="5"/>
        <v>0.16666666666666666</v>
      </c>
      <c r="AM1235" s="38"/>
      <c r="AO1235" s="28"/>
    </row>
    <row r="1236" spans="1:41" ht="12.5">
      <c r="A1236" s="28" t="s">
        <v>4524</v>
      </c>
      <c r="B1236" s="37">
        <v>45808</v>
      </c>
      <c r="C1236" s="29">
        <v>45818</v>
      </c>
      <c r="D1236" s="38" t="s">
        <v>41</v>
      </c>
      <c r="E1236" s="38" t="s">
        <v>4525</v>
      </c>
      <c r="G1236" s="38" t="s">
        <v>43</v>
      </c>
      <c r="H1236" s="38">
        <v>10.81</v>
      </c>
      <c r="I1236" s="38" t="s">
        <v>44</v>
      </c>
      <c r="J1236" s="38" t="s">
        <v>45</v>
      </c>
      <c r="K1236" s="38" t="s">
        <v>4526</v>
      </c>
      <c r="L1236" s="30" t="s">
        <v>58</v>
      </c>
      <c r="M1236" s="38" t="s">
        <v>48</v>
      </c>
      <c r="N1236" s="38" t="s">
        <v>48</v>
      </c>
      <c r="O1236" s="31" t="s">
        <v>3745</v>
      </c>
      <c r="P1236" s="28" t="s">
        <v>3746</v>
      </c>
      <c r="Q1236" s="38" t="s">
        <v>3747</v>
      </c>
      <c r="R1236" s="38">
        <v>1</v>
      </c>
      <c r="S1236" s="38" t="s">
        <v>3878</v>
      </c>
      <c r="T1236" s="38" t="s">
        <v>53</v>
      </c>
      <c r="U1236" s="38" t="s">
        <v>54</v>
      </c>
      <c r="V1236" s="38" t="s">
        <v>61</v>
      </c>
      <c r="Y1236" s="38">
        <v>88.65</v>
      </c>
      <c r="Z1236" s="38">
        <v>1</v>
      </c>
      <c r="AF1236" s="38"/>
      <c r="AI1236" s="38">
        <v>1</v>
      </c>
      <c r="AJ1236" s="38">
        <v>2</v>
      </c>
      <c r="AK1236" s="14">
        <f t="shared" si="5"/>
        <v>0.5</v>
      </c>
      <c r="AM1236" s="38"/>
      <c r="AO1236" s="28"/>
    </row>
    <row r="1237" spans="1:41" ht="12.5">
      <c r="A1237" s="28" t="s">
        <v>4527</v>
      </c>
      <c r="B1237" s="37">
        <v>45814</v>
      </c>
      <c r="C1237" s="29">
        <v>45823</v>
      </c>
      <c r="D1237" s="38" t="s">
        <v>41</v>
      </c>
      <c r="E1237" s="38" t="s">
        <v>4528</v>
      </c>
      <c r="G1237" s="38" t="s">
        <v>43</v>
      </c>
      <c r="H1237" s="38">
        <v>8</v>
      </c>
      <c r="I1237" s="38" t="s">
        <v>44</v>
      </c>
      <c r="J1237" s="38" t="s">
        <v>45</v>
      </c>
      <c r="K1237" s="38" t="s">
        <v>4529</v>
      </c>
      <c r="L1237" s="30" t="s">
        <v>58</v>
      </c>
      <c r="M1237" s="38" t="s">
        <v>48</v>
      </c>
      <c r="N1237" s="38" t="s">
        <v>48</v>
      </c>
      <c r="O1237" s="31" t="s">
        <v>455</v>
      </c>
      <c r="P1237" s="28" t="s">
        <v>456</v>
      </c>
      <c r="Q1237" s="38" t="s">
        <v>4530</v>
      </c>
      <c r="R1237" s="38">
        <v>1</v>
      </c>
      <c r="S1237" s="38" t="s">
        <v>59</v>
      </c>
      <c r="T1237" s="38" t="s">
        <v>53</v>
      </c>
      <c r="U1237" s="38" t="s">
        <v>54</v>
      </c>
      <c r="V1237" s="38" t="s">
        <v>61</v>
      </c>
      <c r="Y1237" s="38">
        <v>73.84</v>
      </c>
      <c r="Z1237" s="38">
        <v>1</v>
      </c>
      <c r="AF1237" s="38"/>
      <c r="AI1237" s="38">
        <v>1</v>
      </c>
      <c r="AJ1237" s="38">
        <v>14</v>
      </c>
      <c r="AK1237" s="14">
        <f t="shared" si="5"/>
        <v>7.1428571428571425E-2</v>
      </c>
      <c r="AM1237" s="38"/>
      <c r="AO1237" s="28"/>
    </row>
    <row r="1238" spans="1:41" ht="12.5">
      <c r="A1238" s="28" t="s">
        <v>4531</v>
      </c>
      <c r="B1238" s="37">
        <v>45819</v>
      </c>
      <c r="C1238" s="29">
        <v>45822</v>
      </c>
      <c r="D1238" s="38" t="s">
        <v>41</v>
      </c>
      <c r="E1238" s="38" t="s">
        <v>4532</v>
      </c>
      <c r="G1238" s="38" t="s">
        <v>43</v>
      </c>
      <c r="H1238" s="38">
        <v>10.53</v>
      </c>
      <c r="I1238" s="38" t="s">
        <v>44</v>
      </c>
      <c r="J1238" s="38" t="s">
        <v>45</v>
      </c>
      <c r="K1238" s="38" t="s">
        <v>4533</v>
      </c>
      <c r="L1238" s="30" t="s">
        <v>58</v>
      </c>
      <c r="M1238" s="38" t="s">
        <v>48</v>
      </c>
      <c r="N1238" s="38" t="s">
        <v>48</v>
      </c>
      <c r="O1238" s="31" t="s">
        <v>1259</v>
      </c>
      <c r="P1238" s="28" t="s">
        <v>1260</v>
      </c>
      <c r="Q1238" s="38" t="s">
        <v>1261</v>
      </c>
      <c r="R1238" s="38">
        <v>1</v>
      </c>
      <c r="S1238" s="38" t="s">
        <v>3868</v>
      </c>
      <c r="T1238" s="38" t="s">
        <v>53</v>
      </c>
      <c r="U1238" s="38" t="s">
        <v>54</v>
      </c>
      <c r="V1238" s="38" t="s">
        <v>61</v>
      </c>
      <c r="Y1238" s="38">
        <v>65.900000000000006</v>
      </c>
      <c r="Z1238" s="38">
        <v>1</v>
      </c>
      <c r="AF1238" s="38"/>
      <c r="AI1238" s="38">
        <v>1</v>
      </c>
      <c r="AJ1238" s="38">
        <v>8</v>
      </c>
      <c r="AK1238" s="14">
        <f t="shared" si="5"/>
        <v>0.125</v>
      </c>
      <c r="AM1238" s="38"/>
      <c r="AO1238" s="28"/>
    </row>
    <row r="1239" spans="1:41" ht="12.5">
      <c r="A1239" s="28" t="s">
        <v>4534</v>
      </c>
      <c r="B1239" s="37">
        <v>45816</v>
      </c>
      <c r="C1239" s="29">
        <v>45820</v>
      </c>
      <c r="D1239" s="38" t="s">
        <v>41</v>
      </c>
      <c r="E1239" s="38" t="s">
        <v>4535</v>
      </c>
      <c r="G1239" s="38" t="s">
        <v>43</v>
      </c>
      <c r="H1239" s="38">
        <v>14.23</v>
      </c>
      <c r="I1239" s="38" t="s">
        <v>44</v>
      </c>
      <c r="J1239" s="38" t="s">
        <v>45</v>
      </c>
      <c r="K1239" s="38" t="s">
        <v>4536</v>
      </c>
      <c r="L1239" s="30" t="s">
        <v>58</v>
      </c>
      <c r="M1239" s="38" t="s">
        <v>48</v>
      </c>
      <c r="N1239" s="38" t="s">
        <v>48</v>
      </c>
      <c r="O1239" s="31" t="s">
        <v>2593</v>
      </c>
      <c r="P1239" s="28" t="s">
        <v>2594</v>
      </c>
      <c r="Q1239" s="38" t="s">
        <v>2595</v>
      </c>
      <c r="R1239" s="38">
        <v>1</v>
      </c>
      <c r="S1239" s="38" t="s">
        <v>3884</v>
      </c>
      <c r="T1239" s="38" t="s">
        <v>53</v>
      </c>
      <c r="U1239" s="38" t="s">
        <v>54</v>
      </c>
      <c r="V1239" s="38" t="s">
        <v>61</v>
      </c>
      <c r="Y1239" s="38">
        <v>84.97</v>
      </c>
      <c r="Z1239" s="38">
        <v>1</v>
      </c>
      <c r="AF1239" s="38"/>
      <c r="AI1239" s="38">
        <v>1</v>
      </c>
      <c r="AJ1239" s="38">
        <v>3</v>
      </c>
      <c r="AK1239" s="14">
        <f t="shared" si="5"/>
        <v>0.33333333333333331</v>
      </c>
      <c r="AM1239" s="38"/>
      <c r="AO1239" s="28"/>
    </row>
    <row r="1240" spans="1:41" ht="12.5">
      <c r="A1240" s="28" t="s">
        <v>4537</v>
      </c>
      <c r="B1240" s="37">
        <v>45813</v>
      </c>
      <c r="C1240" s="29">
        <v>45819</v>
      </c>
      <c r="D1240" s="38" t="s">
        <v>41</v>
      </c>
      <c r="E1240" s="38" t="s">
        <v>4538</v>
      </c>
      <c r="G1240" s="38" t="s">
        <v>43</v>
      </c>
      <c r="H1240" s="38">
        <v>9.76</v>
      </c>
      <c r="I1240" s="38" t="s">
        <v>44</v>
      </c>
      <c r="J1240" s="38" t="s">
        <v>45</v>
      </c>
      <c r="K1240" s="38" t="s">
        <v>4539</v>
      </c>
      <c r="L1240" s="30" t="s">
        <v>58</v>
      </c>
      <c r="M1240" s="38" t="s">
        <v>48</v>
      </c>
      <c r="N1240" s="38" t="s">
        <v>48</v>
      </c>
      <c r="O1240" s="31" t="s">
        <v>4540</v>
      </c>
      <c r="P1240" s="28" t="s">
        <v>4541</v>
      </c>
      <c r="Q1240" s="38" t="s">
        <v>4542</v>
      </c>
      <c r="R1240" s="38">
        <v>1</v>
      </c>
      <c r="S1240" s="38" t="s">
        <v>75</v>
      </c>
      <c r="T1240" s="38" t="s">
        <v>53</v>
      </c>
      <c r="U1240" s="38" t="s">
        <v>54</v>
      </c>
      <c r="V1240" s="38" t="s">
        <v>61</v>
      </c>
      <c r="Y1240" s="38">
        <v>131.56</v>
      </c>
      <c r="Z1240" s="38">
        <v>2</v>
      </c>
      <c r="AF1240" s="38"/>
      <c r="AI1240" s="38">
        <v>1</v>
      </c>
      <c r="AJ1240" s="38">
        <v>2</v>
      </c>
      <c r="AK1240" s="14">
        <f t="shared" si="5"/>
        <v>0.5</v>
      </c>
      <c r="AM1240" s="38"/>
      <c r="AO1240" s="28"/>
    </row>
    <row r="1241" spans="1:41" ht="12.5">
      <c r="A1241" s="28" t="s">
        <v>4543</v>
      </c>
      <c r="B1241" s="37">
        <v>45817</v>
      </c>
      <c r="C1241" s="29">
        <v>45819</v>
      </c>
      <c r="D1241" s="38" t="s">
        <v>41</v>
      </c>
      <c r="E1241" s="38" t="s">
        <v>4544</v>
      </c>
      <c r="G1241" s="38" t="s">
        <v>43</v>
      </c>
      <c r="H1241" s="38">
        <v>7.18</v>
      </c>
      <c r="I1241" s="38" t="s">
        <v>44</v>
      </c>
      <c r="J1241" s="38" t="s">
        <v>45</v>
      </c>
      <c r="K1241" s="38" t="s">
        <v>4545</v>
      </c>
      <c r="L1241" s="30" t="s">
        <v>47</v>
      </c>
      <c r="M1241" s="38" t="s">
        <v>48</v>
      </c>
      <c r="N1241" s="38" t="s">
        <v>48</v>
      </c>
      <c r="O1241" s="31" t="s">
        <v>1292</v>
      </c>
      <c r="P1241" s="28" t="s">
        <v>1293</v>
      </c>
      <c r="Q1241" s="38" t="s">
        <v>1294</v>
      </c>
      <c r="R1241" s="38">
        <v>1</v>
      </c>
      <c r="S1241" s="38" t="s">
        <v>92</v>
      </c>
      <c r="T1241" s="38" t="s">
        <v>53</v>
      </c>
      <c r="U1241" s="38" t="s">
        <v>54</v>
      </c>
      <c r="V1241" s="38" t="s">
        <v>61</v>
      </c>
      <c r="Y1241" s="38">
        <v>76.400000000000006</v>
      </c>
      <c r="Z1241" s="38">
        <v>1</v>
      </c>
      <c r="AF1241" s="38"/>
      <c r="AI1241" s="38">
        <v>2</v>
      </c>
      <c r="AJ1241" s="38">
        <v>8</v>
      </c>
      <c r="AK1241" s="14">
        <f t="shared" si="5"/>
        <v>0.25</v>
      </c>
      <c r="AM1241" s="38"/>
      <c r="AO1241" s="28" t="s">
        <v>4546</v>
      </c>
    </row>
    <row r="1242" spans="1:41" ht="12.5">
      <c r="A1242" s="28" t="s">
        <v>4547</v>
      </c>
      <c r="B1242" s="37">
        <v>45800</v>
      </c>
      <c r="C1242" s="29">
        <v>45814</v>
      </c>
      <c r="D1242" s="38" t="s">
        <v>41</v>
      </c>
      <c r="E1242" s="38" t="s">
        <v>4548</v>
      </c>
      <c r="G1242" s="38" t="s">
        <v>43</v>
      </c>
      <c r="H1242" s="38">
        <v>7.18</v>
      </c>
      <c r="I1242" s="38" t="s">
        <v>44</v>
      </c>
      <c r="J1242" s="38" t="s">
        <v>45</v>
      </c>
      <c r="K1242" s="38" t="s">
        <v>4549</v>
      </c>
      <c r="L1242" s="30" t="s">
        <v>58</v>
      </c>
      <c r="M1242" s="38" t="s">
        <v>48</v>
      </c>
      <c r="N1242" s="38" t="s">
        <v>48</v>
      </c>
      <c r="O1242" s="31" t="s">
        <v>1292</v>
      </c>
      <c r="P1242" s="28" t="s">
        <v>1293</v>
      </c>
      <c r="Q1242" s="38" t="s">
        <v>1294</v>
      </c>
      <c r="R1242" s="38">
        <v>1</v>
      </c>
      <c r="S1242" s="38" t="s">
        <v>3878</v>
      </c>
      <c r="T1242" s="38" t="s">
        <v>53</v>
      </c>
      <c r="U1242" s="38" t="s">
        <v>54</v>
      </c>
      <c r="V1242" s="38" t="s">
        <v>55</v>
      </c>
      <c r="Y1242" s="38">
        <v>75.31</v>
      </c>
      <c r="Z1242" s="38">
        <v>1</v>
      </c>
      <c r="AF1242" s="38">
        <v>68.13</v>
      </c>
      <c r="AK1242" s="14" t="e">
        <f t="shared" si="5"/>
        <v>#DIV/0!</v>
      </c>
      <c r="AM1242" s="38"/>
      <c r="AO1242" s="28"/>
    </row>
    <row r="1243" spans="1:41" ht="12.5">
      <c r="A1243" s="28" t="s">
        <v>4550</v>
      </c>
      <c r="B1243" s="37">
        <v>45804</v>
      </c>
      <c r="C1243" s="29">
        <v>45823</v>
      </c>
      <c r="D1243" s="38" t="s">
        <v>41</v>
      </c>
      <c r="E1243" s="38" t="s">
        <v>4551</v>
      </c>
      <c r="G1243" s="38" t="s">
        <v>43</v>
      </c>
      <c r="H1243" s="38">
        <v>11.26</v>
      </c>
      <c r="I1243" s="38" t="s">
        <v>44</v>
      </c>
      <c r="J1243" s="38" t="s">
        <v>45</v>
      </c>
      <c r="K1243" s="38" t="s">
        <v>4552</v>
      </c>
      <c r="L1243" s="30" t="s">
        <v>58</v>
      </c>
      <c r="M1243" s="38" t="s">
        <v>48</v>
      </c>
      <c r="N1243" s="38" t="s">
        <v>48</v>
      </c>
      <c r="O1243" s="31" t="s">
        <v>517</v>
      </c>
      <c r="P1243" s="28" t="s">
        <v>518</v>
      </c>
      <c r="Q1243" s="38" t="s">
        <v>4280</v>
      </c>
      <c r="R1243" s="38">
        <v>1</v>
      </c>
      <c r="S1243" s="38" t="s">
        <v>3878</v>
      </c>
      <c r="T1243" s="38" t="s">
        <v>53</v>
      </c>
      <c r="U1243" s="38" t="s">
        <v>54</v>
      </c>
      <c r="V1243" s="38" t="s">
        <v>61</v>
      </c>
      <c r="Y1243" s="38">
        <v>71.209999999999994</v>
      </c>
      <c r="Z1243" s="38">
        <v>1</v>
      </c>
      <c r="AF1243" s="38"/>
      <c r="AI1243" s="38">
        <v>1</v>
      </c>
      <c r="AJ1243" s="38">
        <v>3</v>
      </c>
      <c r="AK1243" s="14">
        <f t="shared" si="5"/>
        <v>0.33333333333333331</v>
      </c>
      <c r="AM1243" s="38"/>
      <c r="AO1243" s="28"/>
    </row>
    <row r="1244" spans="1:41" ht="12.5">
      <c r="A1244" s="28" t="s">
        <v>4553</v>
      </c>
      <c r="B1244" s="37">
        <v>45813</v>
      </c>
      <c r="C1244" s="29">
        <v>45822</v>
      </c>
      <c r="D1244" s="38" t="s">
        <v>41</v>
      </c>
      <c r="E1244" s="38" t="s">
        <v>4554</v>
      </c>
      <c r="G1244" s="38" t="s">
        <v>43</v>
      </c>
      <c r="H1244" s="38">
        <v>12.82</v>
      </c>
      <c r="I1244" s="38" t="s">
        <v>44</v>
      </c>
      <c r="J1244" s="38" t="s">
        <v>45</v>
      </c>
      <c r="K1244" s="38" t="s">
        <v>4555</v>
      </c>
      <c r="L1244" s="30" t="s">
        <v>58</v>
      </c>
      <c r="M1244" s="38" t="s">
        <v>48</v>
      </c>
      <c r="N1244" s="38" t="s">
        <v>48</v>
      </c>
      <c r="O1244" s="31" t="s">
        <v>526</v>
      </c>
      <c r="P1244" s="28" t="s">
        <v>527</v>
      </c>
      <c r="Q1244" s="38" t="s">
        <v>4556</v>
      </c>
      <c r="R1244" s="38">
        <v>1</v>
      </c>
      <c r="S1244" s="38" t="s">
        <v>59</v>
      </c>
      <c r="T1244" s="38" t="s">
        <v>53</v>
      </c>
      <c r="U1244" s="38" t="s">
        <v>54</v>
      </c>
      <c r="V1244" s="38" t="s">
        <v>55</v>
      </c>
      <c r="Y1244" s="38">
        <v>65.17</v>
      </c>
      <c r="Z1244" s="38">
        <v>1</v>
      </c>
      <c r="AF1244" s="38">
        <v>52.35</v>
      </c>
      <c r="AI1244" s="38">
        <v>1</v>
      </c>
      <c r="AJ1244" s="38">
        <v>11</v>
      </c>
      <c r="AK1244" s="14">
        <f t="shared" si="5"/>
        <v>9.0909090909090912E-2</v>
      </c>
      <c r="AM1244" s="38"/>
      <c r="AO1244" s="28"/>
    </row>
    <row r="1245" spans="1:41" ht="12.5">
      <c r="A1245" s="28" t="s">
        <v>4557</v>
      </c>
      <c r="B1245" s="37">
        <v>45807</v>
      </c>
      <c r="C1245" s="29">
        <v>45815</v>
      </c>
      <c r="D1245" s="38" t="s">
        <v>41</v>
      </c>
      <c r="E1245" s="38" t="s">
        <v>4558</v>
      </c>
      <c r="G1245" s="38" t="s">
        <v>43</v>
      </c>
      <c r="H1245" s="38">
        <v>11.26</v>
      </c>
      <c r="I1245" s="38" t="s">
        <v>44</v>
      </c>
      <c r="J1245" s="38" t="s">
        <v>45</v>
      </c>
      <c r="K1245" s="38" t="s">
        <v>4559</v>
      </c>
      <c r="L1245" s="30" t="s">
        <v>58</v>
      </c>
      <c r="M1245" s="38" t="s">
        <v>48</v>
      </c>
      <c r="N1245" s="38" t="s">
        <v>48</v>
      </c>
      <c r="O1245" s="31" t="s">
        <v>536</v>
      </c>
      <c r="P1245" s="28" t="s">
        <v>537</v>
      </c>
      <c r="Q1245" s="38" t="s">
        <v>4291</v>
      </c>
      <c r="R1245" s="38">
        <v>1</v>
      </c>
      <c r="S1245" s="38" t="s">
        <v>75</v>
      </c>
      <c r="T1245" s="38" t="s">
        <v>53</v>
      </c>
      <c r="U1245" s="38" t="s">
        <v>54</v>
      </c>
      <c r="V1245" s="38" t="s">
        <v>55</v>
      </c>
      <c r="Y1245" s="38">
        <v>83.7</v>
      </c>
      <c r="Z1245" s="38">
        <v>1</v>
      </c>
      <c r="AF1245" s="38">
        <v>72.44</v>
      </c>
      <c r="AI1245" s="38">
        <v>1</v>
      </c>
      <c r="AK1245" s="14" t="e">
        <f t="shared" si="5"/>
        <v>#DIV/0!</v>
      </c>
      <c r="AM1245" s="38"/>
      <c r="AO1245" s="28"/>
    </row>
    <row r="1246" spans="1:41" ht="12.5">
      <c r="A1246" s="28" t="s">
        <v>4560</v>
      </c>
      <c r="B1246" s="37">
        <v>45793</v>
      </c>
      <c r="C1246" s="29">
        <v>45811</v>
      </c>
      <c r="D1246" s="38" t="s">
        <v>41</v>
      </c>
      <c r="E1246" s="38" t="s">
        <v>4561</v>
      </c>
      <c r="G1246" s="38" t="s">
        <v>43</v>
      </c>
      <c r="H1246" s="38">
        <v>20.65</v>
      </c>
      <c r="I1246" s="38" t="s">
        <v>44</v>
      </c>
      <c r="J1246" s="38" t="s">
        <v>45</v>
      </c>
      <c r="K1246" s="38" t="s">
        <v>4562</v>
      </c>
      <c r="L1246" s="30" t="s">
        <v>58</v>
      </c>
      <c r="M1246" s="38" t="s">
        <v>48</v>
      </c>
      <c r="N1246" s="38" t="s">
        <v>48</v>
      </c>
      <c r="O1246" s="31" t="s">
        <v>551</v>
      </c>
      <c r="P1246" s="28" t="s">
        <v>552</v>
      </c>
      <c r="Q1246" s="38" t="s">
        <v>553</v>
      </c>
      <c r="R1246" s="38">
        <v>1</v>
      </c>
      <c r="S1246" s="38" t="s">
        <v>2990</v>
      </c>
      <c r="T1246" s="38" t="s">
        <v>53</v>
      </c>
      <c r="U1246" s="38" t="s">
        <v>54</v>
      </c>
      <c r="V1246" s="38" t="s">
        <v>61</v>
      </c>
      <c r="Y1246" s="38">
        <v>101.64</v>
      </c>
      <c r="Z1246" s="38">
        <v>1</v>
      </c>
      <c r="AF1246" s="38">
        <v>85.46</v>
      </c>
      <c r="AI1246" s="38">
        <v>1</v>
      </c>
      <c r="AJ1246" s="38">
        <v>3</v>
      </c>
      <c r="AK1246" s="14">
        <f t="shared" si="5"/>
        <v>0.33333333333333331</v>
      </c>
      <c r="AM1246" s="38"/>
      <c r="AO1246" s="28"/>
    </row>
    <row r="1247" spans="1:41" ht="12.5">
      <c r="A1247" s="28" t="s">
        <v>4563</v>
      </c>
      <c r="B1247" s="37">
        <v>45807</v>
      </c>
      <c r="C1247" s="29">
        <v>45819</v>
      </c>
      <c r="D1247" s="38" t="s">
        <v>41</v>
      </c>
      <c r="E1247" s="38" t="s">
        <v>4564</v>
      </c>
      <c r="G1247" s="38" t="s">
        <v>43</v>
      </c>
      <c r="H1247" s="38">
        <v>18.260000000000002</v>
      </c>
      <c r="I1247" s="38" t="s">
        <v>44</v>
      </c>
      <c r="J1247" s="38" t="s">
        <v>45</v>
      </c>
      <c r="K1247" s="38" t="s">
        <v>4565</v>
      </c>
      <c r="L1247" s="30" t="s">
        <v>58</v>
      </c>
      <c r="M1247" s="38" t="s">
        <v>48</v>
      </c>
      <c r="N1247" s="38" t="s">
        <v>48</v>
      </c>
      <c r="O1247" s="31" t="s">
        <v>1918</v>
      </c>
      <c r="P1247" s="28" t="s">
        <v>1919</v>
      </c>
      <c r="Q1247" s="38" t="s">
        <v>1920</v>
      </c>
      <c r="R1247" s="38">
        <v>1</v>
      </c>
      <c r="S1247" s="38" t="s">
        <v>3878</v>
      </c>
      <c r="T1247" s="38" t="s">
        <v>53</v>
      </c>
      <c r="U1247" s="38" t="s">
        <v>54</v>
      </c>
      <c r="V1247" s="38" t="s">
        <v>55</v>
      </c>
      <c r="Y1247" s="38">
        <v>102.73</v>
      </c>
      <c r="Z1247" s="38">
        <v>1</v>
      </c>
      <c r="AF1247" s="38">
        <v>84.47</v>
      </c>
      <c r="AI1247" s="38">
        <v>1</v>
      </c>
      <c r="AJ1247" s="38">
        <v>4</v>
      </c>
      <c r="AK1247" s="14">
        <f t="shared" si="5"/>
        <v>0.25</v>
      </c>
      <c r="AM1247" s="38"/>
      <c r="AO1247" s="28"/>
    </row>
    <row r="1248" spans="1:41" ht="12.5">
      <c r="A1248" s="28" t="s">
        <v>4566</v>
      </c>
      <c r="B1248" s="37">
        <v>45819</v>
      </c>
      <c r="C1248" s="29">
        <v>45821</v>
      </c>
      <c r="D1248" s="38" t="s">
        <v>41</v>
      </c>
      <c r="E1248" s="38" t="s">
        <v>4567</v>
      </c>
      <c r="G1248" s="38" t="s">
        <v>43</v>
      </c>
      <c r="H1248" s="38">
        <v>11.26</v>
      </c>
      <c r="I1248" s="38" t="s">
        <v>44</v>
      </c>
      <c r="J1248" s="38" t="s">
        <v>45</v>
      </c>
      <c r="K1248" s="38" t="s">
        <v>4568</v>
      </c>
      <c r="L1248" s="30" t="s">
        <v>58</v>
      </c>
      <c r="M1248" s="38" t="s">
        <v>48</v>
      </c>
      <c r="N1248" s="38" t="s">
        <v>48</v>
      </c>
      <c r="O1248" s="31" t="s">
        <v>1366</v>
      </c>
      <c r="P1248" s="28" t="s">
        <v>1367</v>
      </c>
      <c r="Q1248" s="38" t="s">
        <v>1368</v>
      </c>
      <c r="R1248" s="38">
        <v>1</v>
      </c>
      <c r="S1248" s="38" t="s">
        <v>3868</v>
      </c>
      <c r="T1248" s="38" t="s">
        <v>53</v>
      </c>
      <c r="U1248" s="38" t="s">
        <v>54</v>
      </c>
      <c r="V1248" s="38" t="s">
        <v>61</v>
      </c>
      <c r="Y1248" s="38">
        <v>107.07</v>
      </c>
      <c r="Z1248" s="38">
        <v>1</v>
      </c>
      <c r="AF1248" s="38"/>
      <c r="AI1248" s="38">
        <v>2</v>
      </c>
      <c r="AJ1248" s="38">
        <v>1</v>
      </c>
      <c r="AK1248" s="14">
        <f t="shared" si="5"/>
        <v>2</v>
      </c>
      <c r="AM1248" s="38"/>
      <c r="AO1248" s="28"/>
    </row>
    <row r="1249" spans="1:41" ht="12.5">
      <c r="A1249" s="28" t="s">
        <v>4569</v>
      </c>
      <c r="B1249" s="37">
        <v>45800</v>
      </c>
      <c r="C1249" s="29">
        <v>45811</v>
      </c>
      <c r="D1249" s="38" t="s">
        <v>41</v>
      </c>
      <c r="E1249" s="38" t="s">
        <v>4570</v>
      </c>
      <c r="G1249" s="38" t="s">
        <v>43</v>
      </c>
      <c r="H1249" s="38">
        <v>11.17</v>
      </c>
      <c r="I1249" s="38" t="s">
        <v>44</v>
      </c>
      <c r="J1249" s="38" t="s">
        <v>45</v>
      </c>
      <c r="K1249" s="38" t="s">
        <v>4571</v>
      </c>
      <c r="L1249" s="30" t="s">
        <v>58</v>
      </c>
      <c r="M1249" s="38" t="s">
        <v>48</v>
      </c>
      <c r="N1249" s="38" t="s">
        <v>48</v>
      </c>
      <c r="O1249" s="31" t="s">
        <v>1366</v>
      </c>
      <c r="P1249" s="28" t="s">
        <v>1367</v>
      </c>
      <c r="Q1249" s="38" t="s">
        <v>1368</v>
      </c>
      <c r="R1249" s="38">
        <v>1</v>
      </c>
      <c r="S1249" s="38" t="s">
        <v>3878</v>
      </c>
      <c r="T1249" s="38" t="s">
        <v>53</v>
      </c>
      <c r="U1249" s="38" t="s">
        <v>54</v>
      </c>
      <c r="V1249" s="38" t="s">
        <v>55</v>
      </c>
      <c r="Y1249" s="38">
        <v>104.53</v>
      </c>
      <c r="Z1249" s="38">
        <v>1</v>
      </c>
      <c r="AF1249" s="38">
        <v>93.36</v>
      </c>
      <c r="AK1249" s="14" t="e">
        <f t="shared" si="5"/>
        <v>#DIV/0!</v>
      </c>
      <c r="AM1249" s="38"/>
      <c r="AO1249" s="28"/>
    </row>
    <row r="1250" spans="1:41" ht="12.5">
      <c r="A1250" s="28" t="s">
        <v>4572</v>
      </c>
      <c r="B1250" s="37">
        <v>45819</v>
      </c>
      <c r="C1250" s="29">
        <v>45821</v>
      </c>
      <c r="D1250" s="38" t="s">
        <v>41</v>
      </c>
      <c r="E1250" s="38" t="s">
        <v>4573</v>
      </c>
      <c r="G1250" s="38" t="s">
        <v>43</v>
      </c>
      <c r="H1250" s="38">
        <v>10.81</v>
      </c>
      <c r="I1250" s="38" t="s">
        <v>44</v>
      </c>
      <c r="J1250" s="38" t="s">
        <v>45</v>
      </c>
      <c r="K1250" s="38" t="s">
        <v>4574</v>
      </c>
      <c r="L1250" s="30" t="s">
        <v>58</v>
      </c>
      <c r="M1250" s="38" t="s">
        <v>48</v>
      </c>
      <c r="N1250" s="38" t="s">
        <v>48</v>
      </c>
      <c r="O1250" s="31" t="s">
        <v>581</v>
      </c>
      <c r="P1250" s="28" t="s">
        <v>582</v>
      </c>
      <c r="Q1250" s="38" t="s">
        <v>583</v>
      </c>
      <c r="R1250" s="38">
        <v>1</v>
      </c>
      <c r="S1250" s="38" t="s">
        <v>3878</v>
      </c>
      <c r="T1250" s="38" t="s">
        <v>53</v>
      </c>
      <c r="U1250" s="38" t="s">
        <v>54</v>
      </c>
      <c r="V1250" s="38" t="s">
        <v>55</v>
      </c>
      <c r="Y1250" s="38">
        <v>93.2</v>
      </c>
      <c r="Z1250" s="38">
        <v>1</v>
      </c>
      <c r="AF1250" s="38">
        <v>82.39</v>
      </c>
      <c r="AI1250" s="38">
        <v>1</v>
      </c>
      <c r="AJ1250" s="38">
        <v>2</v>
      </c>
      <c r="AK1250" s="14">
        <f t="shared" si="5"/>
        <v>0.5</v>
      </c>
      <c r="AM1250" s="38"/>
      <c r="AO1250" s="28"/>
    </row>
    <row r="1251" spans="1:41" ht="12.5">
      <c r="A1251" s="28" t="s">
        <v>4575</v>
      </c>
      <c r="B1251" s="37">
        <v>45800</v>
      </c>
      <c r="C1251" s="29">
        <v>45811</v>
      </c>
      <c r="D1251" s="38" t="s">
        <v>41</v>
      </c>
      <c r="E1251" s="38" t="s">
        <v>4576</v>
      </c>
      <c r="G1251" s="38" t="s">
        <v>43</v>
      </c>
      <c r="H1251" s="38">
        <v>13.19</v>
      </c>
      <c r="I1251" s="38" t="s">
        <v>44</v>
      </c>
      <c r="J1251" s="38" t="s">
        <v>45</v>
      </c>
      <c r="K1251" s="38" t="s">
        <v>4577</v>
      </c>
      <c r="L1251" s="30" t="s">
        <v>58</v>
      </c>
      <c r="M1251" s="38" t="s">
        <v>48</v>
      </c>
      <c r="N1251" s="38" t="s">
        <v>48</v>
      </c>
      <c r="O1251" s="31" t="s">
        <v>1395</v>
      </c>
      <c r="P1251" s="28" t="s">
        <v>1396</v>
      </c>
      <c r="Q1251" s="38" t="s">
        <v>1397</v>
      </c>
      <c r="R1251" s="38">
        <v>1</v>
      </c>
      <c r="S1251" s="38" t="s">
        <v>3884</v>
      </c>
      <c r="T1251" s="38" t="s">
        <v>53</v>
      </c>
      <c r="U1251" s="38" t="s">
        <v>54</v>
      </c>
      <c r="V1251" s="38" t="s">
        <v>61</v>
      </c>
      <c r="Y1251" s="38">
        <v>130.47</v>
      </c>
      <c r="Z1251" s="38">
        <v>1</v>
      </c>
      <c r="AF1251" s="38"/>
      <c r="AI1251" s="38">
        <v>1</v>
      </c>
      <c r="AJ1251" s="38">
        <v>2</v>
      </c>
      <c r="AK1251" s="14">
        <f t="shared" si="5"/>
        <v>0.5</v>
      </c>
      <c r="AM1251" s="38"/>
      <c r="AO1251" s="28"/>
    </row>
    <row r="1252" spans="1:41" ht="12.5">
      <c r="A1252" s="28" t="s">
        <v>4578</v>
      </c>
      <c r="B1252" s="37">
        <v>45813</v>
      </c>
      <c r="C1252" s="29">
        <v>45818</v>
      </c>
      <c r="D1252" s="38" t="s">
        <v>41</v>
      </c>
      <c r="E1252" s="38" t="s">
        <v>4579</v>
      </c>
      <c r="G1252" s="38" t="s">
        <v>43</v>
      </c>
      <c r="H1252" s="42">
        <v>35.31</v>
      </c>
      <c r="I1252" s="38" t="s">
        <v>44</v>
      </c>
      <c r="J1252" s="38" t="s">
        <v>45</v>
      </c>
      <c r="K1252" s="38" t="s">
        <v>4580</v>
      </c>
      <c r="L1252" s="30" t="s">
        <v>58</v>
      </c>
      <c r="M1252" s="38" t="s">
        <v>48</v>
      </c>
      <c r="N1252" s="38" t="s">
        <v>48</v>
      </c>
      <c r="O1252" s="31" t="s">
        <v>599</v>
      </c>
      <c r="P1252" s="28" t="s">
        <v>600</v>
      </c>
      <c r="Q1252" s="38" t="s">
        <v>601</v>
      </c>
      <c r="R1252" s="38">
        <v>1</v>
      </c>
      <c r="S1252" s="38" t="s">
        <v>3868</v>
      </c>
      <c r="T1252" s="38" t="s">
        <v>53</v>
      </c>
      <c r="U1252" s="38" t="s">
        <v>54</v>
      </c>
      <c r="V1252" s="38" t="s">
        <v>61</v>
      </c>
      <c r="Y1252" s="38">
        <v>126.63</v>
      </c>
      <c r="Z1252" s="38">
        <v>1</v>
      </c>
      <c r="AF1252" s="38"/>
      <c r="AI1252" s="38">
        <v>1</v>
      </c>
      <c r="AJ1252" s="38">
        <v>2</v>
      </c>
      <c r="AK1252" s="14">
        <f t="shared" si="5"/>
        <v>0.5</v>
      </c>
      <c r="AM1252" s="38"/>
      <c r="AO1252" s="28"/>
    </row>
    <row r="1253" spans="1:41" ht="12.5">
      <c r="A1253" s="28" t="s">
        <v>4581</v>
      </c>
      <c r="B1253" s="37">
        <v>45813</v>
      </c>
      <c r="C1253" s="29">
        <v>45819</v>
      </c>
      <c r="D1253" s="38" t="s">
        <v>41</v>
      </c>
      <c r="E1253" s="38" t="s">
        <v>4582</v>
      </c>
      <c r="G1253" s="38" t="s">
        <v>43</v>
      </c>
      <c r="H1253" s="38">
        <v>10.53</v>
      </c>
      <c r="I1253" s="38" t="s">
        <v>44</v>
      </c>
      <c r="J1253" s="38" t="s">
        <v>45</v>
      </c>
      <c r="K1253" s="38" t="s">
        <v>4583</v>
      </c>
      <c r="L1253" s="30" t="s">
        <v>58</v>
      </c>
      <c r="M1253" s="38" t="s">
        <v>48</v>
      </c>
      <c r="N1253" s="38" t="s">
        <v>48</v>
      </c>
      <c r="O1253" s="31" t="s">
        <v>1659</v>
      </c>
      <c r="P1253" s="28" t="s">
        <v>1660</v>
      </c>
      <c r="Q1253" s="38" t="s">
        <v>3533</v>
      </c>
      <c r="R1253" s="38">
        <v>1</v>
      </c>
      <c r="S1253" s="38" t="s">
        <v>3884</v>
      </c>
      <c r="T1253" s="38" t="s">
        <v>53</v>
      </c>
      <c r="U1253" s="38" t="s">
        <v>54</v>
      </c>
      <c r="V1253" s="38" t="s">
        <v>55</v>
      </c>
      <c r="Y1253" s="38">
        <v>68.47</v>
      </c>
      <c r="Z1253" s="38">
        <v>1</v>
      </c>
      <c r="AF1253" s="38">
        <v>57.94</v>
      </c>
      <c r="AI1253" s="38">
        <v>2</v>
      </c>
      <c r="AJ1253" s="38">
        <v>21</v>
      </c>
      <c r="AK1253" s="14">
        <f t="shared" si="5"/>
        <v>9.5238095238095233E-2</v>
      </c>
      <c r="AM1253" s="38"/>
      <c r="AO1253" s="28"/>
    </row>
    <row r="1254" spans="1:41" ht="12.5">
      <c r="A1254" s="28" t="s">
        <v>4584</v>
      </c>
      <c r="B1254" s="37">
        <v>45804</v>
      </c>
      <c r="C1254" s="29">
        <v>45817</v>
      </c>
      <c r="D1254" s="38" t="s">
        <v>41</v>
      </c>
      <c r="E1254" s="38" t="s">
        <v>4585</v>
      </c>
      <c r="G1254" s="38" t="s">
        <v>43</v>
      </c>
      <c r="H1254" s="38">
        <v>10.53</v>
      </c>
      <c r="I1254" s="38" t="s">
        <v>44</v>
      </c>
      <c r="J1254" s="38" t="s">
        <v>45</v>
      </c>
      <c r="K1254" s="38" t="s">
        <v>4586</v>
      </c>
      <c r="L1254" s="30" t="s">
        <v>58</v>
      </c>
      <c r="M1254" s="38" t="s">
        <v>48</v>
      </c>
      <c r="N1254" s="38" t="s">
        <v>48</v>
      </c>
      <c r="O1254" s="31" t="s">
        <v>1659</v>
      </c>
      <c r="P1254" s="28" t="s">
        <v>1660</v>
      </c>
      <c r="Q1254" s="38" t="s">
        <v>3533</v>
      </c>
      <c r="R1254" s="38">
        <v>1</v>
      </c>
      <c r="S1254" s="38" t="s">
        <v>3868</v>
      </c>
      <c r="T1254" s="38" t="s">
        <v>53</v>
      </c>
      <c r="U1254" s="38" t="s">
        <v>54</v>
      </c>
      <c r="V1254" s="38" t="s">
        <v>55</v>
      </c>
      <c r="Y1254" s="38">
        <v>70.45</v>
      </c>
      <c r="Z1254" s="38">
        <v>1</v>
      </c>
      <c r="AF1254" s="38">
        <v>59.92</v>
      </c>
      <c r="AK1254" s="14" t="e">
        <f t="shared" si="5"/>
        <v>#DIV/0!</v>
      </c>
      <c r="AM1254" s="38"/>
      <c r="AO1254" s="28"/>
    </row>
    <row r="1255" spans="1:41" ht="12.5">
      <c r="A1255" s="28" t="s">
        <v>4587</v>
      </c>
      <c r="B1255" s="37">
        <v>45785</v>
      </c>
      <c r="C1255" s="29">
        <v>45816</v>
      </c>
      <c r="D1255" s="38" t="s">
        <v>41</v>
      </c>
      <c r="E1255" s="38" t="s">
        <v>4588</v>
      </c>
      <c r="G1255" s="38" t="s">
        <v>43</v>
      </c>
      <c r="H1255" s="38">
        <v>5.73</v>
      </c>
      <c r="I1255" s="38" t="s">
        <v>44</v>
      </c>
      <c r="J1255" s="38" t="s">
        <v>45</v>
      </c>
      <c r="K1255" s="38" t="s">
        <v>4589</v>
      </c>
      <c r="L1255" s="30" t="s">
        <v>58</v>
      </c>
      <c r="M1255" s="38" t="s">
        <v>48</v>
      </c>
      <c r="N1255" s="38" t="s">
        <v>48</v>
      </c>
      <c r="O1255" s="31" t="s">
        <v>4590</v>
      </c>
      <c r="P1255" s="28" t="s">
        <v>4591</v>
      </c>
      <c r="Q1255" s="38" t="s">
        <v>4592</v>
      </c>
      <c r="R1255" s="38">
        <v>1</v>
      </c>
      <c r="S1255" s="38" t="s">
        <v>75</v>
      </c>
      <c r="T1255" s="38" t="s">
        <v>53</v>
      </c>
      <c r="U1255" s="38" t="s">
        <v>54</v>
      </c>
      <c r="V1255" s="38" t="s">
        <v>61</v>
      </c>
      <c r="Y1255" s="38">
        <v>72.48</v>
      </c>
      <c r="Z1255" s="38">
        <v>1</v>
      </c>
      <c r="AF1255" s="38"/>
      <c r="AI1255" s="38">
        <v>1</v>
      </c>
      <c r="AK1255" s="14" t="e">
        <f t="shared" si="5"/>
        <v>#DIV/0!</v>
      </c>
      <c r="AM1255" s="38"/>
      <c r="AO1255" s="28"/>
    </row>
    <row r="1256" spans="1:41" ht="12.5">
      <c r="A1256" s="28" t="s">
        <v>4593</v>
      </c>
      <c r="B1256" s="37">
        <v>45809</v>
      </c>
      <c r="C1256" s="29">
        <v>45812</v>
      </c>
      <c r="D1256" s="38" t="s">
        <v>41</v>
      </c>
      <c r="E1256" s="38" t="s">
        <v>4594</v>
      </c>
      <c r="G1256" s="38" t="s">
        <v>43</v>
      </c>
      <c r="H1256" s="38">
        <v>10.53</v>
      </c>
      <c r="I1256" s="38" t="s">
        <v>44</v>
      </c>
      <c r="J1256" s="38" t="s">
        <v>45</v>
      </c>
      <c r="K1256" s="38" t="s">
        <v>4595</v>
      </c>
      <c r="L1256" s="30" t="s">
        <v>58</v>
      </c>
      <c r="M1256" s="38" t="s">
        <v>48</v>
      </c>
      <c r="N1256" s="38" t="s">
        <v>48</v>
      </c>
      <c r="O1256" s="31" t="s">
        <v>4596</v>
      </c>
      <c r="P1256" s="28" t="s">
        <v>4597</v>
      </c>
      <c r="Q1256" s="38" t="s">
        <v>4598</v>
      </c>
      <c r="R1256" s="38">
        <v>1</v>
      </c>
      <c r="S1256" s="38" t="s">
        <v>3868</v>
      </c>
      <c r="T1256" s="38" t="s">
        <v>53</v>
      </c>
      <c r="U1256" s="38" t="s">
        <v>54</v>
      </c>
      <c r="V1256" s="38" t="s">
        <v>61</v>
      </c>
      <c r="Y1256" s="38">
        <v>161.13</v>
      </c>
      <c r="Z1256" s="38">
        <v>1</v>
      </c>
      <c r="AF1256" s="38"/>
      <c r="AI1256" s="38">
        <v>1</v>
      </c>
      <c r="AK1256" s="14" t="e">
        <f t="shared" si="5"/>
        <v>#DIV/0!</v>
      </c>
      <c r="AM1256" s="38"/>
      <c r="AO1256" s="28"/>
    </row>
    <row r="1257" spans="1:41" ht="12.5">
      <c r="A1257" s="28" t="s">
        <v>4599</v>
      </c>
      <c r="B1257" s="37">
        <v>45802</v>
      </c>
      <c r="C1257" s="29">
        <v>45817</v>
      </c>
      <c r="D1257" s="38" t="s">
        <v>41</v>
      </c>
      <c r="E1257" s="38" t="s">
        <v>4600</v>
      </c>
      <c r="G1257" s="38" t="s">
        <v>43</v>
      </c>
      <c r="H1257" s="38">
        <v>15.16</v>
      </c>
      <c r="I1257" s="38" t="s">
        <v>44</v>
      </c>
      <c r="J1257" s="38" t="s">
        <v>45</v>
      </c>
      <c r="K1257" s="38" t="s">
        <v>4601</v>
      </c>
      <c r="L1257" s="30" t="s">
        <v>58</v>
      </c>
      <c r="M1257" s="38" t="s">
        <v>48</v>
      </c>
      <c r="N1257" s="38" t="s">
        <v>48</v>
      </c>
      <c r="O1257" s="31" t="s">
        <v>4602</v>
      </c>
      <c r="P1257" s="28" t="s">
        <v>4603</v>
      </c>
      <c r="Q1257" s="38" t="s">
        <v>4604</v>
      </c>
      <c r="R1257" s="38">
        <v>1</v>
      </c>
      <c r="S1257" s="38" t="s">
        <v>3868</v>
      </c>
      <c r="T1257" s="38" t="s">
        <v>53</v>
      </c>
      <c r="U1257" s="38" t="s">
        <v>54</v>
      </c>
      <c r="V1257" s="38" t="s">
        <v>61</v>
      </c>
      <c r="Y1257" s="38">
        <v>122.94</v>
      </c>
      <c r="Z1257" s="38">
        <v>1</v>
      </c>
      <c r="AF1257" s="38"/>
      <c r="AI1257" s="38">
        <v>1</v>
      </c>
      <c r="AK1257" s="14" t="e">
        <f t="shared" si="5"/>
        <v>#DIV/0!</v>
      </c>
      <c r="AM1257" s="38"/>
      <c r="AO1257" s="28"/>
    </row>
    <row r="1258" spans="1:41" ht="12.5">
      <c r="A1258" s="28"/>
      <c r="B1258" s="37"/>
      <c r="C1258" s="29"/>
      <c r="D1258" s="38"/>
      <c r="E1258" s="38"/>
      <c r="G1258" s="38"/>
      <c r="H1258" s="38"/>
      <c r="I1258" s="38"/>
      <c r="J1258" s="38"/>
      <c r="K1258" s="38"/>
      <c r="L1258" s="30"/>
      <c r="M1258" s="38"/>
      <c r="N1258" s="38"/>
      <c r="O1258" s="31"/>
      <c r="P1258" s="28"/>
      <c r="Q1258" s="38"/>
      <c r="R1258" s="38"/>
      <c r="S1258" s="38"/>
      <c r="T1258" s="38"/>
      <c r="U1258" s="38"/>
      <c r="V1258" s="38"/>
      <c r="Y1258" s="38"/>
      <c r="Z1258" s="38"/>
      <c r="AF1258" s="38"/>
      <c r="AK1258" s="14" t="e">
        <f t="shared" si="5"/>
        <v>#DIV/0!</v>
      </c>
      <c r="AM1258" s="38"/>
      <c r="AO1258" s="28"/>
    </row>
    <row r="1259" spans="1:41" ht="12.5">
      <c r="A1259" s="28" t="s">
        <v>4605</v>
      </c>
      <c r="B1259" s="37">
        <v>45823</v>
      </c>
      <c r="C1259" s="29">
        <v>45833</v>
      </c>
      <c r="D1259" s="38" t="s">
        <v>41</v>
      </c>
      <c r="E1259" s="38" t="s">
        <v>4606</v>
      </c>
      <c r="G1259" s="38" t="s">
        <v>43</v>
      </c>
      <c r="H1259" s="38">
        <v>7.42</v>
      </c>
      <c r="I1259" s="38" t="s">
        <v>44</v>
      </c>
      <c r="J1259" s="38" t="s">
        <v>45</v>
      </c>
      <c r="K1259" s="38" t="s">
        <v>4607</v>
      </c>
      <c r="L1259" s="30" t="s">
        <v>47</v>
      </c>
      <c r="M1259" s="38" t="s">
        <v>48</v>
      </c>
      <c r="N1259" s="38" t="s">
        <v>48</v>
      </c>
      <c r="O1259" s="31" t="s">
        <v>3244</v>
      </c>
      <c r="P1259" s="28" t="s">
        <v>3245</v>
      </c>
      <c r="Q1259" s="38" t="s">
        <v>3246</v>
      </c>
      <c r="R1259" s="38">
        <v>1</v>
      </c>
      <c r="S1259" s="38" t="s">
        <v>52</v>
      </c>
      <c r="T1259" s="38" t="s">
        <v>53</v>
      </c>
      <c r="U1259" s="38" t="s">
        <v>54</v>
      </c>
      <c r="V1259" s="38" t="s">
        <v>61</v>
      </c>
      <c r="Y1259" s="38">
        <v>37.979999999999997</v>
      </c>
      <c r="Z1259" s="38">
        <v>1</v>
      </c>
      <c r="AF1259" s="38"/>
      <c r="AI1259" s="38">
        <v>1</v>
      </c>
      <c r="AJ1259" s="38">
        <v>5</v>
      </c>
      <c r="AK1259" s="14">
        <f t="shared" si="5"/>
        <v>0.2</v>
      </c>
      <c r="AM1259" s="38"/>
      <c r="AO1259" s="28" t="s">
        <v>4608</v>
      </c>
    </row>
    <row r="1260" spans="1:41" ht="12.5">
      <c r="A1260" s="28" t="s">
        <v>4609</v>
      </c>
      <c r="B1260" s="37">
        <v>45820</v>
      </c>
      <c r="C1260" s="29">
        <v>45837</v>
      </c>
      <c r="D1260" s="38" t="s">
        <v>41</v>
      </c>
      <c r="E1260" s="38" t="s">
        <v>4610</v>
      </c>
      <c r="G1260" s="38" t="s">
        <v>43</v>
      </c>
      <c r="H1260" s="38">
        <v>14.23</v>
      </c>
      <c r="I1260" s="38" t="s">
        <v>44</v>
      </c>
      <c r="J1260" s="38" t="s">
        <v>45</v>
      </c>
      <c r="K1260" s="38" t="s">
        <v>4611</v>
      </c>
      <c r="L1260" s="30" t="s">
        <v>47</v>
      </c>
      <c r="M1260" s="38" t="s">
        <v>48</v>
      </c>
      <c r="N1260" s="38" t="s">
        <v>48</v>
      </c>
      <c r="O1260" s="31" t="s">
        <v>49</v>
      </c>
      <c r="P1260" s="28" t="s">
        <v>50</v>
      </c>
      <c r="Q1260" s="38" t="s">
        <v>51</v>
      </c>
      <c r="R1260" s="38">
        <v>1</v>
      </c>
      <c r="S1260" s="38" t="s">
        <v>99</v>
      </c>
      <c r="T1260" s="38" t="s">
        <v>53</v>
      </c>
      <c r="U1260" s="38" t="s">
        <v>54</v>
      </c>
      <c r="V1260" s="38" t="s">
        <v>61</v>
      </c>
      <c r="Y1260" s="38">
        <v>94.4</v>
      </c>
      <c r="Z1260" s="38">
        <v>1</v>
      </c>
      <c r="AF1260" s="38"/>
      <c r="AI1260" s="38">
        <v>2</v>
      </c>
      <c r="AJ1260" s="38">
        <v>6</v>
      </c>
      <c r="AK1260" s="14">
        <f t="shared" si="5"/>
        <v>0.33333333333333331</v>
      </c>
      <c r="AM1260" s="38"/>
      <c r="AO1260" s="28" t="s">
        <v>4612</v>
      </c>
    </row>
    <row r="1261" spans="1:41" ht="12.5">
      <c r="A1261" s="28" t="s">
        <v>4613</v>
      </c>
      <c r="B1261" s="37">
        <v>45828</v>
      </c>
      <c r="C1261" s="29">
        <v>45833</v>
      </c>
      <c r="D1261" s="38" t="s">
        <v>41</v>
      </c>
      <c r="E1261" s="38" t="s">
        <v>4614</v>
      </c>
      <c r="G1261" s="38" t="s">
        <v>43</v>
      </c>
      <c r="H1261" s="38">
        <v>14.23</v>
      </c>
      <c r="I1261" s="38" t="s">
        <v>44</v>
      </c>
      <c r="J1261" s="38" t="s">
        <v>45</v>
      </c>
      <c r="K1261" s="38" t="s">
        <v>4615</v>
      </c>
      <c r="L1261" s="30" t="s">
        <v>47</v>
      </c>
      <c r="M1261" s="38" t="s">
        <v>48</v>
      </c>
      <c r="N1261" s="38" t="s">
        <v>48</v>
      </c>
      <c r="O1261" s="31" t="s">
        <v>49</v>
      </c>
      <c r="P1261" s="28" t="s">
        <v>50</v>
      </c>
      <c r="Q1261" s="38" t="s">
        <v>51</v>
      </c>
      <c r="R1261" s="38">
        <v>1</v>
      </c>
      <c r="S1261" s="38" t="s">
        <v>52</v>
      </c>
      <c r="T1261" s="38" t="s">
        <v>53</v>
      </c>
      <c r="U1261" s="38" t="s">
        <v>54</v>
      </c>
      <c r="V1261" s="38" t="s">
        <v>55</v>
      </c>
      <c r="Y1261" s="38">
        <v>95.15</v>
      </c>
      <c r="Z1261" s="38">
        <v>1</v>
      </c>
      <c r="AF1261" s="38">
        <v>95.15</v>
      </c>
      <c r="AK1261" s="14" t="e">
        <f t="shared" si="5"/>
        <v>#DIV/0!</v>
      </c>
      <c r="AM1261" s="38"/>
      <c r="AO1261" s="28" t="s">
        <v>4616</v>
      </c>
    </row>
    <row r="1262" spans="1:41" ht="12.5">
      <c r="A1262" s="28" t="s">
        <v>4617</v>
      </c>
      <c r="B1262" s="37">
        <v>45826</v>
      </c>
      <c r="C1262" s="29">
        <v>45838</v>
      </c>
      <c r="D1262" s="38" t="s">
        <v>41</v>
      </c>
      <c r="E1262" s="38"/>
      <c r="G1262" s="38" t="s">
        <v>137</v>
      </c>
      <c r="H1262" s="38">
        <v>0</v>
      </c>
      <c r="I1262" s="38"/>
      <c r="J1262" s="38"/>
      <c r="K1262" s="38"/>
      <c r="L1262" s="30" t="s">
        <v>47</v>
      </c>
      <c r="M1262" s="38" t="s">
        <v>48</v>
      </c>
      <c r="N1262" s="38" t="s">
        <v>48</v>
      </c>
      <c r="O1262" s="31" t="s">
        <v>2395</v>
      </c>
      <c r="P1262" s="28" t="s">
        <v>2396</v>
      </c>
      <c r="Q1262" s="38" t="s">
        <v>2397</v>
      </c>
      <c r="R1262" s="38">
        <v>1</v>
      </c>
      <c r="S1262" s="38" t="s">
        <v>421</v>
      </c>
      <c r="T1262" s="38" t="s">
        <v>53</v>
      </c>
      <c r="U1262" s="38" t="s">
        <v>54</v>
      </c>
      <c r="V1262" s="38" t="s">
        <v>141</v>
      </c>
      <c r="Y1262" s="38">
        <v>39.44</v>
      </c>
      <c r="Z1262" s="38">
        <v>1</v>
      </c>
      <c r="AF1262" s="38">
        <v>39.44</v>
      </c>
      <c r="AI1262" s="38">
        <v>2</v>
      </c>
      <c r="AJ1262" s="38">
        <v>2</v>
      </c>
      <c r="AK1262" s="14">
        <f t="shared" si="5"/>
        <v>1</v>
      </c>
      <c r="AM1262" s="38"/>
      <c r="AO1262" s="28" t="s">
        <v>4618</v>
      </c>
    </row>
    <row r="1263" spans="1:41" ht="12.5">
      <c r="A1263" s="28" t="s">
        <v>4619</v>
      </c>
      <c r="B1263" s="37">
        <v>45818</v>
      </c>
      <c r="C1263" s="29">
        <v>45827</v>
      </c>
      <c r="D1263" s="38" t="s">
        <v>41</v>
      </c>
      <c r="E1263" s="38"/>
      <c r="G1263" s="38" t="s">
        <v>137</v>
      </c>
      <c r="H1263" s="38">
        <v>0</v>
      </c>
      <c r="I1263" s="38"/>
      <c r="J1263" s="38"/>
      <c r="K1263" s="38"/>
      <c r="L1263" s="30" t="s">
        <v>58</v>
      </c>
      <c r="M1263" s="38" t="s">
        <v>48</v>
      </c>
      <c r="N1263" s="38" t="s">
        <v>48</v>
      </c>
      <c r="O1263" s="31" t="s">
        <v>2395</v>
      </c>
      <c r="P1263" s="28" t="s">
        <v>2396</v>
      </c>
      <c r="Q1263" s="38" t="s">
        <v>2397</v>
      </c>
      <c r="R1263" s="38">
        <v>1</v>
      </c>
      <c r="S1263" s="38" t="s">
        <v>68</v>
      </c>
      <c r="T1263" s="38" t="s">
        <v>53</v>
      </c>
      <c r="U1263" s="38" t="s">
        <v>54</v>
      </c>
      <c r="V1263" s="38" t="s">
        <v>141</v>
      </c>
      <c r="Y1263" s="38">
        <v>39.81</v>
      </c>
      <c r="Z1263" s="38">
        <v>1</v>
      </c>
      <c r="AF1263" s="38">
        <v>39.81</v>
      </c>
      <c r="AK1263" s="14" t="e">
        <f t="shared" si="5"/>
        <v>#DIV/0!</v>
      </c>
      <c r="AM1263" s="38"/>
      <c r="AO1263" s="28"/>
    </row>
    <row r="1264" spans="1:41" ht="12.5">
      <c r="A1264" s="28" t="s">
        <v>4619</v>
      </c>
      <c r="B1264" s="37">
        <v>45818</v>
      </c>
      <c r="C1264" s="29">
        <v>45827</v>
      </c>
      <c r="D1264" s="38" t="s">
        <v>41</v>
      </c>
      <c r="E1264" s="38" t="s">
        <v>4620</v>
      </c>
      <c r="G1264" s="38" t="s">
        <v>137</v>
      </c>
      <c r="H1264" s="38">
        <v>0</v>
      </c>
      <c r="I1264" s="38"/>
      <c r="J1264" s="38"/>
      <c r="K1264" s="38"/>
      <c r="L1264" s="30" t="s">
        <v>47</v>
      </c>
      <c r="M1264" s="38" t="s">
        <v>48</v>
      </c>
      <c r="N1264" s="38" t="s">
        <v>48</v>
      </c>
      <c r="O1264" s="31" t="s">
        <v>2395</v>
      </c>
      <c r="P1264" s="28" t="s">
        <v>2396</v>
      </c>
      <c r="Q1264" s="38" t="s">
        <v>2397</v>
      </c>
      <c r="R1264" s="38">
        <v>1</v>
      </c>
      <c r="S1264" s="38" t="s">
        <v>1927</v>
      </c>
      <c r="T1264" s="38" t="s">
        <v>53</v>
      </c>
      <c r="U1264" s="38" t="s">
        <v>54</v>
      </c>
      <c r="V1264" s="38" t="s">
        <v>1928</v>
      </c>
      <c r="Y1264" s="38">
        <v>39.81</v>
      </c>
      <c r="Z1264" s="38">
        <v>1</v>
      </c>
      <c r="AF1264" s="38"/>
      <c r="AK1264" s="14" t="e">
        <f t="shared" si="5"/>
        <v>#DIV/0!</v>
      </c>
      <c r="AM1264" s="38"/>
      <c r="AO1264" s="28"/>
    </row>
    <row r="1265" spans="1:41" ht="12.5">
      <c r="A1265" s="28" t="s">
        <v>4621</v>
      </c>
      <c r="B1265" s="37">
        <v>45825</v>
      </c>
      <c r="C1265" s="29">
        <v>45834</v>
      </c>
      <c r="D1265" s="38" t="s">
        <v>41</v>
      </c>
      <c r="E1265" s="38" t="s">
        <v>4622</v>
      </c>
      <c r="G1265" s="38" t="s">
        <v>43</v>
      </c>
      <c r="H1265" s="38">
        <v>56.79</v>
      </c>
      <c r="I1265" s="38" t="s">
        <v>44</v>
      </c>
      <c r="J1265" s="38" t="s">
        <v>45</v>
      </c>
      <c r="K1265" s="38" t="s">
        <v>4623</v>
      </c>
      <c r="L1265" s="30" t="s">
        <v>47</v>
      </c>
      <c r="M1265" s="38" t="s">
        <v>48</v>
      </c>
      <c r="N1265" s="38" t="s">
        <v>48</v>
      </c>
      <c r="O1265" s="31" t="s">
        <v>3574</v>
      </c>
      <c r="P1265" s="28" t="s">
        <v>3575</v>
      </c>
      <c r="Q1265" s="38" t="s">
        <v>3576</v>
      </c>
      <c r="R1265" s="38">
        <v>1</v>
      </c>
      <c r="S1265" s="38" t="s">
        <v>99</v>
      </c>
      <c r="T1265" s="38" t="s">
        <v>53</v>
      </c>
      <c r="U1265" s="38" t="s">
        <v>54</v>
      </c>
      <c r="V1265" s="38" t="s">
        <v>61</v>
      </c>
      <c r="Y1265" s="38">
        <v>159.37</v>
      </c>
      <c r="Z1265" s="38">
        <v>1</v>
      </c>
      <c r="AF1265" s="38"/>
      <c r="AI1265" s="38">
        <v>1</v>
      </c>
      <c r="AJ1265" s="38">
        <v>5</v>
      </c>
      <c r="AK1265" s="14">
        <f t="shared" si="5"/>
        <v>0.2</v>
      </c>
      <c r="AM1265" s="38"/>
      <c r="AO1265" s="54" t="s">
        <v>4624</v>
      </c>
    </row>
    <row r="1266" spans="1:41" ht="12.5">
      <c r="A1266" s="28" t="s">
        <v>4625</v>
      </c>
      <c r="B1266" s="37">
        <v>45810</v>
      </c>
      <c r="C1266" s="29">
        <v>45838</v>
      </c>
      <c r="D1266" s="38" t="s">
        <v>41</v>
      </c>
      <c r="E1266" s="38" t="s">
        <v>4626</v>
      </c>
      <c r="G1266" s="38" t="s">
        <v>43</v>
      </c>
      <c r="H1266" s="38">
        <v>11.26</v>
      </c>
      <c r="I1266" s="38" t="s">
        <v>44</v>
      </c>
      <c r="J1266" s="38" t="s">
        <v>45</v>
      </c>
      <c r="K1266" s="38" t="s">
        <v>4627</v>
      </c>
      <c r="L1266" s="30" t="s">
        <v>58</v>
      </c>
      <c r="M1266" s="38" t="s">
        <v>48</v>
      </c>
      <c r="N1266" s="38" t="s">
        <v>48</v>
      </c>
      <c r="O1266" s="31" t="s">
        <v>72</v>
      </c>
      <c r="P1266" s="28" t="s">
        <v>73</v>
      </c>
      <c r="Q1266" s="38" t="s">
        <v>4143</v>
      </c>
      <c r="R1266" s="38">
        <v>1</v>
      </c>
      <c r="S1266" s="38" t="s">
        <v>3878</v>
      </c>
      <c r="T1266" s="38" t="s">
        <v>53</v>
      </c>
      <c r="U1266" s="38" t="s">
        <v>54</v>
      </c>
      <c r="V1266" s="38" t="s">
        <v>61</v>
      </c>
      <c r="Y1266" s="38">
        <v>54.47</v>
      </c>
      <c r="Z1266" s="38">
        <v>1</v>
      </c>
      <c r="AF1266" s="38"/>
      <c r="AI1266" s="38">
        <v>1</v>
      </c>
      <c r="AK1266" s="14" t="e">
        <f t="shared" si="5"/>
        <v>#DIV/0!</v>
      </c>
      <c r="AM1266" s="38"/>
      <c r="AO1266" s="28"/>
    </row>
    <row r="1267" spans="1:41" ht="12.5">
      <c r="A1267" s="28" t="s">
        <v>4628</v>
      </c>
      <c r="B1267" s="37">
        <v>45832</v>
      </c>
      <c r="C1267" s="29">
        <v>45838</v>
      </c>
      <c r="D1267" s="38" t="s">
        <v>41</v>
      </c>
      <c r="E1267" s="38" t="s">
        <v>4629</v>
      </c>
      <c r="G1267" s="38" t="s">
        <v>43</v>
      </c>
      <c r="H1267" s="38">
        <v>11.26</v>
      </c>
      <c r="I1267" s="38" t="s">
        <v>44</v>
      </c>
      <c r="J1267" s="38" t="s">
        <v>45</v>
      </c>
      <c r="K1267" s="38" t="s">
        <v>4630</v>
      </c>
      <c r="L1267" s="30" t="s">
        <v>58</v>
      </c>
      <c r="M1267" s="38" t="s">
        <v>48</v>
      </c>
      <c r="N1267" s="38" t="s">
        <v>48</v>
      </c>
      <c r="O1267" s="31" t="s">
        <v>79</v>
      </c>
      <c r="P1267" s="28" t="s">
        <v>80</v>
      </c>
      <c r="Q1267" s="38" t="s">
        <v>4631</v>
      </c>
      <c r="R1267" s="38">
        <v>1</v>
      </c>
      <c r="S1267" s="38" t="s">
        <v>68</v>
      </c>
      <c r="T1267" s="38" t="s">
        <v>53</v>
      </c>
      <c r="U1267" s="38" t="s">
        <v>54</v>
      </c>
      <c r="V1267" s="38" t="s">
        <v>61</v>
      </c>
      <c r="Y1267" s="38">
        <v>53.06</v>
      </c>
      <c r="Z1267" s="38">
        <v>1</v>
      </c>
      <c r="AF1267" s="38"/>
      <c r="AI1267" s="38">
        <v>2</v>
      </c>
      <c r="AJ1267" s="38">
        <v>16</v>
      </c>
      <c r="AK1267" s="14">
        <f t="shared" si="5"/>
        <v>0.125</v>
      </c>
      <c r="AM1267" s="38"/>
      <c r="AO1267" s="28"/>
    </row>
    <row r="1268" spans="1:41" ht="12.5">
      <c r="A1268" s="28" t="s">
        <v>4632</v>
      </c>
      <c r="B1268" s="37">
        <v>45832</v>
      </c>
      <c r="C1268" s="29">
        <v>45836</v>
      </c>
      <c r="D1268" s="38" t="s">
        <v>41</v>
      </c>
      <c r="E1268" s="38" t="s">
        <v>4633</v>
      </c>
      <c r="G1268" s="38" t="s">
        <v>43</v>
      </c>
      <c r="H1268" s="38">
        <v>11.26</v>
      </c>
      <c r="I1268" s="38" t="s">
        <v>44</v>
      </c>
      <c r="J1268" s="38" t="s">
        <v>45</v>
      </c>
      <c r="K1268" s="38" t="s">
        <v>4634</v>
      </c>
      <c r="L1268" s="30" t="s">
        <v>58</v>
      </c>
      <c r="M1268" s="38" t="s">
        <v>48</v>
      </c>
      <c r="N1268" s="38" t="s">
        <v>48</v>
      </c>
      <c r="O1268" s="31" t="s">
        <v>79</v>
      </c>
      <c r="P1268" s="28" t="s">
        <v>80</v>
      </c>
      <c r="Q1268" s="38" t="s">
        <v>4631</v>
      </c>
      <c r="R1268" s="38">
        <v>1</v>
      </c>
      <c r="S1268" s="38" t="s">
        <v>3868</v>
      </c>
      <c r="T1268" s="38" t="s">
        <v>53</v>
      </c>
      <c r="U1268" s="38" t="s">
        <v>54</v>
      </c>
      <c r="V1268" s="38" t="s">
        <v>55</v>
      </c>
      <c r="Y1268" s="38">
        <v>54.31</v>
      </c>
      <c r="Z1268" s="38">
        <v>1</v>
      </c>
      <c r="AF1268" s="38">
        <v>43.05</v>
      </c>
      <c r="AK1268" s="14" t="e">
        <f t="shared" si="5"/>
        <v>#DIV/0!</v>
      </c>
      <c r="AM1268" s="38"/>
      <c r="AO1268" s="28"/>
    </row>
    <row r="1269" spans="1:41" ht="12.5">
      <c r="A1269" s="28" t="s">
        <v>4635</v>
      </c>
      <c r="B1269" s="37">
        <v>45830</v>
      </c>
      <c r="C1269" s="29">
        <v>45834</v>
      </c>
      <c r="D1269" s="38" t="s">
        <v>41</v>
      </c>
      <c r="E1269" s="38" t="s">
        <v>4636</v>
      </c>
      <c r="G1269" s="38" t="s">
        <v>43</v>
      </c>
      <c r="H1269" s="38">
        <v>12.37</v>
      </c>
      <c r="I1269" s="38" t="s">
        <v>44</v>
      </c>
      <c r="J1269" s="38" t="s">
        <v>45</v>
      </c>
      <c r="K1269" s="38" t="s">
        <v>4637</v>
      </c>
      <c r="L1269" s="30" t="s">
        <v>58</v>
      </c>
      <c r="M1269" s="38" t="s">
        <v>48</v>
      </c>
      <c r="N1269" s="38" t="s">
        <v>48</v>
      </c>
      <c r="O1269" s="31" t="s">
        <v>96</v>
      </c>
      <c r="P1269" s="28" t="s">
        <v>97</v>
      </c>
      <c r="Q1269" s="38" t="s">
        <v>4150</v>
      </c>
      <c r="R1269" s="38">
        <v>1</v>
      </c>
      <c r="S1269" s="38" t="s">
        <v>3878</v>
      </c>
      <c r="T1269" s="38" t="s">
        <v>53</v>
      </c>
      <c r="U1269" s="38" t="s">
        <v>54</v>
      </c>
      <c r="V1269" s="38" t="s">
        <v>61</v>
      </c>
      <c r="Y1269" s="38">
        <v>83.94</v>
      </c>
      <c r="Z1269" s="38">
        <v>1</v>
      </c>
      <c r="AF1269" s="38"/>
      <c r="AI1269" s="38">
        <v>2</v>
      </c>
      <c r="AJ1269" s="38">
        <v>10</v>
      </c>
      <c r="AK1269" s="14">
        <f t="shared" si="5"/>
        <v>0.2</v>
      </c>
      <c r="AM1269" s="38"/>
      <c r="AO1269" s="28"/>
    </row>
    <row r="1270" spans="1:41" ht="12.5">
      <c r="A1270" s="28" t="s">
        <v>4638</v>
      </c>
      <c r="B1270" s="37">
        <v>45817</v>
      </c>
      <c r="C1270" s="29">
        <v>45834</v>
      </c>
      <c r="D1270" s="38" t="s">
        <v>41</v>
      </c>
      <c r="E1270" s="38" t="s">
        <v>4639</v>
      </c>
      <c r="G1270" s="38" t="s">
        <v>43</v>
      </c>
      <c r="H1270" s="38">
        <v>12.37</v>
      </c>
      <c r="I1270" s="38" t="s">
        <v>44</v>
      </c>
      <c r="J1270" s="38" t="s">
        <v>45</v>
      </c>
      <c r="K1270" s="38" t="s">
        <v>4640</v>
      </c>
      <c r="L1270" s="30" t="s">
        <v>58</v>
      </c>
      <c r="M1270" s="38" t="s">
        <v>48</v>
      </c>
      <c r="N1270" s="38" t="s">
        <v>48</v>
      </c>
      <c r="O1270" s="31" t="s">
        <v>96</v>
      </c>
      <c r="P1270" s="28" t="s">
        <v>97</v>
      </c>
      <c r="Q1270" s="38" t="s">
        <v>4150</v>
      </c>
      <c r="R1270" s="38">
        <v>1</v>
      </c>
      <c r="S1270" s="38" t="s">
        <v>3868</v>
      </c>
      <c r="T1270" s="38" t="s">
        <v>53</v>
      </c>
      <c r="U1270" s="38" t="s">
        <v>54</v>
      </c>
      <c r="V1270" s="38" t="s">
        <v>61</v>
      </c>
      <c r="Y1270" s="38">
        <v>82.46</v>
      </c>
      <c r="Z1270" s="38">
        <v>1</v>
      </c>
      <c r="AF1270" s="38"/>
      <c r="AK1270" s="14" t="e">
        <f t="shared" si="5"/>
        <v>#DIV/0!</v>
      </c>
      <c r="AM1270" s="38"/>
      <c r="AO1270" s="28"/>
    </row>
    <row r="1271" spans="1:41" ht="12.5">
      <c r="A1271" s="28" t="s">
        <v>4641</v>
      </c>
      <c r="B1271" s="37">
        <v>45834</v>
      </c>
      <c r="C1271" s="29">
        <v>45837</v>
      </c>
      <c r="D1271" s="38" t="s">
        <v>41</v>
      </c>
      <c r="E1271" s="38" t="s">
        <v>4642</v>
      </c>
      <c r="G1271" s="38" t="s">
        <v>43</v>
      </c>
      <c r="H1271" s="38">
        <v>9.76</v>
      </c>
      <c r="I1271" s="38" t="s">
        <v>44</v>
      </c>
      <c r="J1271" s="38" t="s">
        <v>45</v>
      </c>
      <c r="K1271" s="38" t="s">
        <v>4643</v>
      </c>
      <c r="L1271" s="30" t="s">
        <v>58</v>
      </c>
      <c r="M1271" s="38" t="s">
        <v>48</v>
      </c>
      <c r="N1271" s="38" t="s">
        <v>48</v>
      </c>
      <c r="O1271" s="31" t="s">
        <v>972</v>
      </c>
      <c r="P1271" s="28" t="s">
        <v>973</v>
      </c>
      <c r="Q1271" s="38" t="s">
        <v>4153</v>
      </c>
      <c r="R1271" s="38">
        <v>1</v>
      </c>
      <c r="S1271" s="38" t="s">
        <v>3884</v>
      </c>
      <c r="T1271" s="38" t="s">
        <v>53</v>
      </c>
      <c r="U1271" s="38" t="s">
        <v>54</v>
      </c>
      <c r="V1271" s="38" t="s">
        <v>55</v>
      </c>
      <c r="Y1271" s="38">
        <v>59.45</v>
      </c>
      <c r="Z1271" s="38">
        <v>1</v>
      </c>
      <c r="AF1271" s="38">
        <v>49.69</v>
      </c>
      <c r="AI1271" s="38">
        <v>3</v>
      </c>
      <c r="AJ1271" s="38">
        <v>20</v>
      </c>
      <c r="AK1271" s="14">
        <f t="shared" si="5"/>
        <v>0.15</v>
      </c>
      <c r="AM1271" s="38"/>
      <c r="AO1271" s="28"/>
    </row>
    <row r="1272" spans="1:41" ht="12.5">
      <c r="A1272" s="28" t="s">
        <v>4644</v>
      </c>
      <c r="B1272" s="37">
        <v>45826</v>
      </c>
      <c r="C1272" s="29">
        <v>45832</v>
      </c>
      <c r="D1272" s="38" t="s">
        <v>41</v>
      </c>
      <c r="E1272" s="38" t="s">
        <v>4645</v>
      </c>
      <c r="G1272" s="38" t="s">
        <v>43</v>
      </c>
      <c r="H1272" s="38">
        <v>9.76</v>
      </c>
      <c r="I1272" s="38" t="s">
        <v>44</v>
      </c>
      <c r="J1272" s="38" t="s">
        <v>45</v>
      </c>
      <c r="K1272" s="38" t="s">
        <v>4646</v>
      </c>
      <c r="L1272" s="30" t="s">
        <v>47</v>
      </c>
      <c r="M1272" s="38" t="s">
        <v>48</v>
      </c>
      <c r="N1272" s="38" t="s">
        <v>48</v>
      </c>
      <c r="O1272" s="31" t="s">
        <v>972</v>
      </c>
      <c r="P1272" s="28" t="s">
        <v>973</v>
      </c>
      <c r="Q1272" s="38" t="s">
        <v>4153</v>
      </c>
      <c r="R1272" s="38">
        <v>1</v>
      </c>
      <c r="S1272" s="38" t="s">
        <v>82</v>
      </c>
      <c r="T1272" s="38" t="s">
        <v>53</v>
      </c>
      <c r="U1272" s="38" t="s">
        <v>54</v>
      </c>
      <c r="V1272" s="38" t="s">
        <v>61</v>
      </c>
      <c r="Y1272" s="38">
        <v>56.63</v>
      </c>
      <c r="Z1272" s="38">
        <v>1</v>
      </c>
      <c r="AF1272" s="38"/>
      <c r="AK1272" s="14" t="e">
        <f t="shared" si="5"/>
        <v>#DIV/0!</v>
      </c>
      <c r="AM1272" s="38"/>
      <c r="AO1272" s="28" t="s">
        <v>4647</v>
      </c>
    </row>
    <row r="1273" spans="1:41" ht="12.5">
      <c r="A1273" s="28" t="s">
        <v>4648</v>
      </c>
      <c r="B1273" s="37">
        <v>45822</v>
      </c>
      <c r="C1273" s="29">
        <v>45829</v>
      </c>
      <c r="D1273" s="38" t="s">
        <v>41</v>
      </c>
      <c r="E1273" s="38" t="s">
        <v>4649</v>
      </c>
      <c r="G1273" s="38" t="s">
        <v>43</v>
      </c>
      <c r="H1273" s="38">
        <v>9.76</v>
      </c>
      <c r="I1273" s="38" t="s">
        <v>44</v>
      </c>
      <c r="J1273" s="38" t="s">
        <v>45</v>
      </c>
      <c r="K1273" s="38" t="s">
        <v>4650</v>
      </c>
      <c r="L1273" s="30" t="s">
        <v>58</v>
      </c>
      <c r="M1273" s="38" t="s">
        <v>48</v>
      </c>
      <c r="N1273" s="38" t="s">
        <v>48</v>
      </c>
      <c r="O1273" s="31" t="s">
        <v>972</v>
      </c>
      <c r="P1273" s="28" t="s">
        <v>973</v>
      </c>
      <c r="Q1273" s="38" t="s">
        <v>4153</v>
      </c>
      <c r="R1273" s="38">
        <v>1</v>
      </c>
      <c r="S1273" s="38" t="s">
        <v>3884</v>
      </c>
      <c r="T1273" s="38" t="s">
        <v>53</v>
      </c>
      <c r="U1273" s="38" t="s">
        <v>54</v>
      </c>
      <c r="V1273" s="38" t="s">
        <v>55</v>
      </c>
      <c r="Y1273" s="38">
        <v>59.82</v>
      </c>
      <c r="Z1273" s="38">
        <v>1</v>
      </c>
      <c r="AF1273" s="38">
        <v>50.06</v>
      </c>
      <c r="AK1273" s="14" t="e">
        <f t="shared" si="5"/>
        <v>#DIV/0!</v>
      </c>
      <c r="AM1273" s="38"/>
      <c r="AO1273" s="28"/>
    </row>
    <row r="1274" spans="1:41" ht="12.5">
      <c r="A1274" s="28" t="s">
        <v>4651</v>
      </c>
      <c r="B1274" s="37">
        <v>45828</v>
      </c>
      <c r="C1274" s="29">
        <v>45838</v>
      </c>
      <c r="D1274" s="38" t="s">
        <v>41</v>
      </c>
      <c r="E1274" s="38" t="s">
        <v>4652</v>
      </c>
      <c r="G1274" s="38" t="s">
        <v>43</v>
      </c>
      <c r="H1274" s="38">
        <v>11.26</v>
      </c>
      <c r="I1274" s="38" t="s">
        <v>44</v>
      </c>
      <c r="J1274" s="38" t="s">
        <v>45</v>
      </c>
      <c r="K1274" s="38" t="s">
        <v>4653</v>
      </c>
      <c r="L1274" s="30" t="s">
        <v>47</v>
      </c>
      <c r="M1274" s="38" t="s">
        <v>48</v>
      </c>
      <c r="N1274" s="38" t="s">
        <v>48</v>
      </c>
      <c r="O1274" s="31" t="s">
        <v>1003</v>
      </c>
      <c r="P1274" s="28" t="s">
        <v>1004</v>
      </c>
      <c r="Q1274" s="38" t="s">
        <v>1005</v>
      </c>
      <c r="R1274" s="38">
        <v>1</v>
      </c>
      <c r="S1274" s="38" t="s">
        <v>99</v>
      </c>
      <c r="T1274" s="38" t="s">
        <v>53</v>
      </c>
      <c r="U1274" s="38" t="s">
        <v>54</v>
      </c>
      <c r="V1274" s="38" t="s">
        <v>55</v>
      </c>
      <c r="Y1274" s="38">
        <v>98.86</v>
      </c>
      <c r="Z1274" s="38">
        <v>1</v>
      </c>
      <c r="AF1274" s="38">
        <v>98.86</v>
      </c>
      <c r="AI1274" s="38">
        <v>2</v>
      </c>
      <c r="AJ1274" s="38">
        <v>3</v>
      </c>
      <c r="AK1274" s="14">
        <f t="shared" si="5"/>
        <v>0.66666666666666663</v>
      </c>
      <c r="AM1274" s="38"/>
      <c r="AO1274" s="28"/>
    </row>
    <row r="1275" spans="1:41" ht="12.5">
      <c r="A1275" s="28" t="s">
        <v>4654</v>
      </c>
      <c r="B1275" s="37">
        <v>45814</v>
      </c>
      <c r="C1275" s="29">
        <v>45830</v>
      </c>
      <c r="D1275" s="38" t="s">
        <v>41</v>
      </c>
      <c r="E1275" s="38" t="s">
        <v>4655</v>
      </c>
      <c r="G1275" s="38" t="s">
        <v>43</v>
      </c>
      <c r="H1275" s="38">
        <v>11.26</v>
      </c>
      <c r="I1275" s="38" t="s">
        <v>44</v>
      </c>
      <c r="J1275" s="38" t="s">
        <v>45</v>
      </c>
      <c r="K1275" s="38" t="s">
        <v>4656</v>
      </c>
      <c r="L1275" s="30" t="s">
        <v>58</v>
      </c>
      <c r="M1275" s="38" t="s">
        <v>48</v>
      </c>
      <c r="N1275" s="38" t="s">
        <v>48</v>
      </c>
      <c r="O1275" s="31" t="s">
        <v>1003</v>
      </c>
      <c r="P1275" s="28" t="s">
        <v>1004</v>
      </c>
      <c r="Q1275" s="38" t="s">
        <v>1005</v>
      </c>
      <c r="R1275" s="38">
        <v>1</v>
      </c>
      <c r="S1275" s="38" t="s">
        <v>68</v>
      </c>
      <c r="T1275" s="38" t="s">
        <v>53</v>
      </c>
      <c r="U1275" s="38" t="s">
        <v>54</v>
      </c>
      <c r="V1275" s="38" t="s">
        <v>55</v>
      </c>
      <c r="Y1275" s="38">
        <v>96.22</v>
      </c>
      <c r="Z1275" s="38">
        <v>1</v>
      </c>
      <c r="AF1275" s="38">
        <v>84.96</v>
      </c>
      <c r="AK1275" s="14" t="e">
        <f t="shared" si="5"/>
        <v>#DIV/0!</v>
      </c>
      <c r="AM1275" s="38"/>
      <c r="AO1275" s="28"/>
    </row>
    <row r="1276" spans="1:41" ht="12.5">
      <c r="A1276" s="28" t="s">
        <v>4657</v>
      </c>
      <c r="B1276" s="37">
        <v>45831</v>
      </c>
      <c r="C1276" s="29">
        <v>45838</v>
      </c>
      <c r="D1276" s="38" t="s">
        <v>41</v>
      </c>
      <c r="E1276" s="38"/>
      <c r="G1276" s="38" t="s">
        <v>137</v>
      </c>
      <c r="H1276" s="38">
        <v>0</v>
      </c>
      <c r="I1276" s="38"/>
      <c r="J1276" s="38"/>
      <c r="K1276" s="38"/>
      <c r="L1276" s="30" t="s">
        <v>58</v>
      </c>
      <c r="M1276" s="38" t="s">
        <v>48</v>
      </c>
      <c r="N1276" s="38" t="s">
        <v>48</v>
      </c>
      <c r="O1276" s="31" t="s">
        <v>143</v>
      </c>
      <c r="P1276" s="28" t="s">
        <v>144</v>
      </c>
      <c r="Q1276" s="38" t="s">
        <v>145</v>
      </c>
      <c r="R1276" s="38">
        <v>1</v>
      </c>
      <c r="S1276" s="38" t="s">
        <v>75</v>
      </c>
      <c r="T1276" s="38" t="s">
        <v>53</v>
      </c>
      <c r="U1276" s="38" t="s">
        <v>54</v>
      </c>
      <c r="V1276" s="38" t="s">
        <v>141</v>
      </c>
      <c r="Y1276" s="38">
        <v>105.98</v>
      </c>
      <c r="Z1276" s="38">
        <v>1</v>
      </c>
      <c r="AF1276" s="38">
        <v>105.98</v>
      </c>
      <c r="AI1276" s="38">
        <v>1</v>
      </c>
      <c r="AJ1276" s="38">
        <v>1</v>
      </c>
      <c r="AK1276" s="14">
        <f t="shared" si="5"/>
        <v>1</v>
      </c>
      <c r="AM1276" s="38"/>
      <c r="AO1276" s="28"/>
    </row>
    <row r="1277" spans="1:41" ht="12.5">
      <c r="A1277" s="28" t="s">
        <v>4658</v>
      </c>
      <c r="B1277" s="37">
        <v>45825</v>
      </c>
      <c r="C1277" s="29">
        <v>45831</v>
      </c>
      <c r="D1277" s="38" t="s">
        <v>41</v>
      </c>
      <c r="E1277" s="38" t="s">
        <v>4659</v>
      </c>
      <c r="G1277" s="38" t="s">
        <v>43</v>
      </c>
      <c r="H1277" s="38">
        <v>11.91</v>
      </c>
      <c r="I1277" s="38" t="s">
        <v>44</v>
      </c>
      <c r="J1277" s="38" t="s">
        <v>45</v>
      </c>
      <c r="K1277" s="38" t="s">
        <v>4660</v>
      </c>
      <c r="L1277" s="30" t="s">
        <v>58</v>
      </c>
      <c r="M1277" s="38" t="s">
        <v>48</v>
      </c>
      <c r="N1277" s="38" t="s">
        <v>48</v>
      </c>
      <c r="O1277" s="31" t="s">
        <v>160</v>
      </c>
      <c r="P1277" s="28" t="s">
        <v>161</v>
      </c>
      <c r="Q1277" s="38" t="s">
        <v>4426</v>
      </c>
      <c r="R1277" s="38">
        <v>1</v>
      </c>
      <c r="S1277" s="38" t="s">
        <v>3878</v>
      </c>
      <c r="T1277" s="38" t="s">
        <v>53</v>
      </c>
      <c r="U1277" s="38" t="s">
        <v>54</v>
      </c>
      <c r="V1277" s="38" t="s">
        <v>55</v>
      </c>
      <c r="Y1277" s="38">
        <v>53.42</v>
      </c>
      <c r="Z1277" s="38">
        <v>1</v>
      </c>
      <c r="AF1277" s="38">
        <v>41.51</v>
      </c>
      <c r="AI1277" s="38">
        <v>1</v>
      </c>
      <c r="AJ1277" s="38">
        <v>16</v>
      </c>
      <c r="AK1277" s="14">
        <f t="shared" si="5"/>
        <v>6.25E-2</v>
      </c>
      <c r="AM1277" s="38"/>
      <c r="AO1277" s="28"/>
    </row>
    <row r="1278" spans="1:41" ht="12.5">
      <c r="A1278" s="28" t="s">
        <v>4661</v>
      </c>
      <c r="B1278" s="37">
        <v>45806</v>
      </c>
      <c r="C1278" s="29">
        <v>45834</v>
      </c>
      <c r="D1278" s="38" t="s">
        <v>41</v>
      </c>
      <c r="E1278" s="38" t="s">
        <v>4662</v>
      </c>
      <c r="G1278" s="38" t="s">
        <v>43</v>
      </c>
      <c r="H1278" s="38">
        <v>13.76</v>
      </c>
      <c r="I1278" s="38" t="s">
        <v>44</v>
      </c>
      <c r="J1278" s="38" t="s">
        <v>45</v>
      </c>
      <c r="K1278" s="38" t="s">
        <v>4663</v>
      </c>
      <c r="L1278" s="30" t="s">
        <v>58</v>
      </c>
      <c r="M1278" s="38" t="s">
        <v>48</v>
      </c>
      <c r="N1278" s="38" t="s">
        <v>48</v>
      </c>
      <c r="O1278" s="40" t="s">
        <v>219</v>
      </c>
      <c r="P1278" s="28" t="s">
        <v>220</v>
      </c>
      <c r="Q1278" s="38" t="s">
        <v>221</v>
      </c>
      <c r="R1278" s="38">
        <v>1</v>
      </c>
      <c r="S1278" s="38" t="s">
        <v>3878</v>
      </c>
      <c r="T1278" s="38" t="s">
        <v>53</v>
      </c>
      <c r="U1278" s="38" t="s">
        <v>54</v>
      </c>
      <c r="V1278" s="38" t="s">
        <v>55</v>
      </c>
      <c r="Y1278" s="38">
        <v>81.52</v>
      </c>
      <c r="Z1278" s="38">
        <v>1</v>
      </c>
      <c r="AF1278" s="38">
        <v>67.760000000000005</v>
      </c>
      <c r="AI1278" s="38">
        <v>7</v>
      </c>
      <c r="AJ1278" s="38">
        <v>20</v>
      </c>
      <c r="AK1278" s="14">
        <f t="shared" si="5"/>
        <v>0.35</v>
      </c>
      <c r="AM1278" s="38"/>
      <c r="AO1278" s="28" t="s">
        <v>4664</v>
      </c>
    </row>
    <row r="1279" spans="1:41" ht="12.5">
      <c r="A1279" s="28" t="s">
        <v>4665</v>
      </c>
      <c r="B1279" s="37">
        <v>45829</v>
      </c>
      <c r="C1279" s="29">
        <v>45834</v>
      </c>
      <c r="D1279" s="38" t="s">
        <v>41</v>
      </c>
      <c r="E1279" s="38" t="s">
        <v>4666</v>
      </c>
      <c r="G1279" s="38" t="s">
        <v>43</v>
      </c>
      <c r="H1279" s="38">
        <v>13.76</v>
      </c>
      <c r="I1279" s="38" t="s">
        <v>44</v>
      </c>
      <c r="J1279" s="38" t="s">
        <v>45</v>
      </c>
      <c r="K1279" s="38" t="s">
        <v>4667</v>
      </c>
      <c r="L1279" s="30" t="s">
        <v>47</v>
      </c>
      <c r="M1279" s="38" t="s">
        <v>48</v>
      </c>
      <c r="N1279" s="38" t="s">
        <v>48</v>
      </c>
      <c r="O1279" s="40" t="s">
        <v>219</v>
      </c>
      <c r="P1279" s="28" t="s">
        <v>220</v>
      </c>
      <c r="Q1279" s="38" t="s">
        <v>221</v>
      </c>
      <c r="R1279" s="38">
        <v>1</v>
      </c>
      <c r="S1279" s="38" t="s">
        <v>52</v>
      </c>
      <c r="T1279" s="38" t="s">
        <v>53</v>
      </c>
      <c r="U1279" s="38" t="s">
        <v>54</v>
      </c>
      <c r="V1279" s="38" t="s">
        <v>55</v>
      </c>
      <c r="Y1279" s="38">
        <v>81.59</v>
      </c>
      <c r="Z1279" s="38">
        <v>1</v>
      </c>
      <c r="AF1279" s="38">
        <v>81.59</v>
      </c>
      <c r="AK1279" s="14" t="e">
        <f t="shared" si="5"/>
        <v>#DIV/0!</v>
      </c>
      <c r="AM1279" s="38"/>
      <c r="AO1279" s="28" t="s">
        <v>4668</v>
      </c>
    </row>
    <row r="1280" spans="1:41" ht="12.5">
      <c r="A1280" s="28" t="s">
        <v>4669</v>
      </c>
      <c r="B1280" s="37">
        <v>45819</v>
      </c>
      <c r="C1280" s="29">
        <v>45833</v>
      </c>
      <c r="D1280" s="38" t="s">
        <v>41</v>
      </c>
      <c r="E1280" s="38" t="s">
        <v>4670</v>
      </c>
      <c r="G1280" s="38" t="s">
        <v>43</v>
      </c>
      <c r="H1280" s="38">
        <v>13.76</v>
      </c>
      <c r="I1280" s="38" t="s">
        <v>44</v>
      </c>
      <c r="J1280" s="38" t="s">
        <v>45</v>
      </c>
      <c r="K1280" s="38" t="s">
        <v>4671</v>
      </c>
      <c r="L1280" s="30" t="s">
        <v>58</v>
      </c>
      <c r="M1280" s="38" t="s">
        <v>48</v>
      </c>
      <c r="N1280" s="38" t="s">
        <v>48</v>
      </c>
      <c r="O1280" s="40" t="s">
        <v>219</v>
      </c>
      <c r="P1280" s="28" t="s">
        <v>220</v>
      </c>
      <c r="Q1280" s="38" t="s">
        <v>221</v>
      </c>
      <c r="R1280" s="38">
        <v>1</v>
      </c>
      <c r="S1280" s="38" t="s">
        <v>3884</v>
      </c>
      <c r="T1280" s="38" t="s">
        <v>53</v>
      </c>
      <c r="U1280" s="38" t="s">
        <v>54</v>
      </c>
      <c r="V1280" s="38" t="s">
        <v>55</v>
      </c>
      <c r="Y1280" s="38">
        <v>83.24</v>
      </c>
      <c r="Z1280" s="38">
        <v>1</v>
      </c>
      <c r="AF1280" s="38">
        <v>69.48</v>
      </c>
      <c r="AK1280" s="14" t="e">
        <f t="shared" si="5"/>
        <v>#DIV/0!</v>
      </c>
      <c r="AM1280" s="38"/>
      <c r="AO1280" s="28" t="s">
        <v>4672</v>
      </c>
    </row>
    <row r="1281" spans="1:42" ht="12.5">
      <c r="A1281" s="28" t="s">
        <v>4673</v>
      </c>
      <c r="B1281" s="37">
        <v>45828</v>
      </c>
      <c r="C1281" s="29">
        <v>45832</v>
      </c>
      <c r="D1281" s="38" t="s">
        <v>41</v>
      </c>
      <c r="E1281" s="38" t="s">
        <v>4674</v>
      </c>
      <c r="G1281" s="38" t="s">
        <v>43</v>
      </c>
      <c r="H1281" s="38">
        <v>13.76</v>
      </c>
      <c r="I1281" s="38" t="s">
        <v>44</v>
      </c>
      <c r="J1281" s="38" t="s">
        <v>45</v>
      </c>
      <c r="K1281" s="38" t="s">
        <v>4675</v>
      </c>
      <c r="L1281" s="30" t="s">
        <v>58</v>
      </c>
      <c r="M1281" s="38" t="s">
        <v>48</v>
      </c>
      <c r="N1281" s="38" t="s">
        <v>48</v>
      </c>
      <c r="O1281" s="40" t="s">
        <v>219</v>
      </c>
      <c r="P1281" s="28" t="s">
        <v>220</v>
      </c>
      <c r="Q1281" s="38" t="s">
        <v>221</v>
      </c>
      <c r="R1281" s="38">
        <v>1</v>
      </c>
      <c r="S1281" s="38" t="s">
        <v>59</v>
      </c>
      <c r="T1281" s="38" t="s">
        <v>53</v>
      </c>
      <c r="U1281" s="38" t="s">
        <v>54</v>
      </c>
      <c r="V1281" s="38" t="s">
        <v>55</v>
      </c>
      <c r="Y1281" s="38">
        <v>82.24</v>
      </c>
      <c r="Z1281" s="38">
        <v>1</v>
      </c>
      <c r="AF1281" s="38">
        <v>68.48</v>
      </c>
      <c r="AK1281" s="14" t="e">
        <f t="shared" si="5"/>
        <v>#DIV/0!</v>
      </c>
      <c r="AM1281" s="38"/>
      <c r="AO1281" s="28" t="s">
        <v>4676</v>
      </c>
    </row>
    <row r="1282" spans="1:42" ht="12.5">
      <c r="A1282" s="28" t="s">
        <v>4677</v>
      </c>
      <c r="B1282" s="37">
        <v>45803</v>
      </c>
      <c r="C1282" s="29">
        <v>45829</v>
      </c>
      <c r="D1282" s="38" t="s">
        <v>41</v>
      </c>
      <c r="E1282" s="38" t="s">
        <v>4678</v>
      </c>
      <c r="G1282" s="38" t="s">
        <v>43</v>
      </c>
      <c r="H1282" s="38">
        <v>13.76</v>
      </c>
      <c r="I1282" s="38" t="s">
        <v>44</v>
      </c>
      <c r="J1282" s="38" t="s">
        <v>45</v>
      </c>
      <c r="K1282" s="38" t="s">
        <v>4679</v>
      </c>
      <c r="L1282" s="30" t="s">
        <v>58</v>
      </c>
      <c r="M1282" s="38" t="s">
        <v>48</v>
      </c>
      <c r="N1282" s="38" t="s">
        <v>48</v>
      </c>
      <c r="O1282" s="40" t="s">
        <v>219</v>
      </c>
      <c r="P1282" s="28" t="s">
        <v>220</v>
      </c>
      <c r="Q1282" s="38" t="s">
        <v>221</v>
      </c>
      <c r="R1282" s="38">
        <v>1</v>
      </c>
      <c r="S1282" s="38" t="s">
        <v>59</v>
      </c>
      <c r="T1282" s="38" t="s">
        <v>53</v>
      </c>
      <c r="U1282" s="38" t="s">
        <v>54</v>
      </c>
      <c r="V1282" s="38" t="s">
        <v>55</v>
      </c>
      <c r="Y1282" s="38">
        <v>83.24</v>
      </c>
      <c r="Z1282" s="38">
        <v>1</v>
      </c>
      <c r="AF1282" s="38">
        <v>69.48</v>
      </c>
      <c r="AK1282" s="14" t="e">
        <f t="shared" si="5"/>
        <v>#DIV/0!</v>
      </c>
      <c r="AM1282" s="38"/>
      <c r="AO1282" s="28" t="s">
        <v>4680</v>
      </c>
    </row>
    <row r="1283" spans="1:42" ht="12.5">
      <c r="A1283" s="28" t="s">
        <v>4681</v>
      </c>
      <c r="B1283" s="37">
        <v>45821</v>
      </c>
      <c r="C1283" s="29">
        <v>45828</v>
      </c>
      <c r="D1283" s="38" t="s">
        <v>41</v>
      </c>
      <c r="E1283" s="38" t="s">
        <v>4682</v>
      </c>
      <c r="G1283" s="38" t="s">
        <v>43</v>
      </c>
      <c r="H1283" s="38">
        <v>13.76</v>
      </c>
      <c r="I1283" s="38" t="s">
        <v>44</v>
      </c>
      <c r="J1283" s="38" t="s">
        <v>45</v>
      </c>
      <c r="K1283" s="38" t="s">
        <v>4683</v>
      </c>
      <c r="L1283" s="30" t="s">
        <v>58</v>
      </c>
      <c r="M1283" s="38" t="s">
        <v>48</v>
      </c>
      <c r="N1283" s="38" t="s">
        <v>48</v>
      </c>
      <c r="O1283" s="40" t="s">
        <v>219</v>
      </c>
      <c r="P1283" s="28" t="s">
        <v>220</v>
      </c>
      <c r="Q1283" s="38" t="s">
        <v>221</v>
      </c>
      <c r="R1283" s="38">
        <v>1</v>
      </c>
      <c r="S1283" s="38" t="s">
        <v>3878</v>
      </c>
      <c r="T1283" s="38" t="s">
        <v>53</v>
      </c>
      <c r="U1283" s="38" t="s">
        <v>54</v>
      </c>
      <c r="V1283" s="38" t="s">
        <v>55</v>
      </c>
      <c r="Y1283" s="38">
        <v>83.44</v>
      </c>
      <c r="Z1283" s="38">
        <v>1</v>
      </c>
      <c r="AF1283" s="38">
        <v>69.680000000000007</v>
      </c>
      <c r="AK1283" s="14" t="e">
        <f t="shared" si="5"/>
        <v>#DIV/0!</v>
      </c>
      <c r="AM1283" s="38"/>
      <c r="AO1283" s="28" t="s">
        <v>4684</v>
      </c>
    </row>
    <row r="1284" spans="1:42" ht="12.5">
      <c r="A1284" s="28" t="s">
        <v>4685</v>
      </c>
      <c r="B1284" s="37">
        <v>45823</v>
      </c>
      <c r="C1284" s="29">
        <v>45826</v>
      </c>
      <c r="D1284" s="38" t="s">
        <v>41</v>
      </c>
      <c r="E1284" s="38" t="s">
        <v>4686</v>
      </c>
      <c r="G1284" s="38" t="s">
        <v>43</v>
      </c>
      <c r="H1284" s="38">
        <v>13.76</v>
      </c>
      <c r="I1284" s="38" t="s">
        <v>44</v>
      </c>
      <c r="J1284" s="38" t="s">
        <v>45</v>
      </c>
      <c r="K1284" s="38" t="s">
        <v>4687</v>
      </c>
      <c r="L1284" s="30" t="s">
        <v>58</v>
      </c>
      <c r="M1284" s="38" t="s">
        <v>48</v>
      </c>
      <c r="N1284" s="38" t="s">
        <v>48</v>
      </c>
      <c r="O1284" s="40" t="s">
        <v>219</v>
      </c>
      <c r="P1284" s="28" t="s">
        <v>220</v>
      </c>
      <c r="Q1284" s="38" t="s">
        <v>221</v>
      </c>
      <c r="R1284" s="38">
        <v>1</v>
      </c>
      <c r="S1284" s="38" t="s">
        <v>3884</v>
      </c>
      <c r="T1284" s="38" t="s">
        <v>53</v>
      </c>
      <c r="U1284" s="38" t="s">
        <v>54</v>
      </c>
      <c r="V1284" s="38" t="s">
        <v>55</v>
      </c>
      <c r="Y1284" s="38">
        <v>84.4</v>
      </c>
      <c r="Z1284" s="38">
        <v>1</v>
      </c>
      <c r="AF1284" s="38">
        <v>70.64</v>
      </c>
      <c r="AK1284" s="14" t="e">
        <f t="shared" si="5"/>
        <v>#DIV/0!</v>
      </c>
      <c r="AM1284" s="38"/>
      <c r="AO1284" s="28" t="s">
        <v>4688</v>
      </c>
    </row>
    <row r="1285" spans="1:42" ht="12.5">
      <c r="A1285" s="28" t="s">
        <v>4689</v>
      </c>
      <c r="B1285" s="37">
        <v>45829</v>
      </c>
      <c r="C1285" s="29">
        <v>45833</v>
      </c>
      <c r="D1285" s="38" t="s">
        <v>41</v>
      </c>
      <c r="E1285" s="38" t="s">
        <v>4690</v>
      </c>
      <c r="G1285" s="38" t="s">
        <v>43</v>
      </c>
      <c r="H1285" s="38">
        <v>8</v>
      </c>
      <c r="I1285" s="38" t="s">
        <v>44</v>
      </c>
      <c r="J1285" s="38" t="s">
        <v>45</v>
      </c>
      <c r="K1285" s="38" t="s">
        <v>4691</v>
      </c>
      <c r="L1285" s="30" t="s">
        <v>47</v>
      </c>
      <c r="M1285" s="38" t="s">
        <v>48</v>
      </c>
      <c r="N1285" s="38" t="s">
        <v>48</v>
      </c>
      <c r="O1285" s="31" t="s">
        <v>4692</v>
      </c>
      <c r="P1285" s="28" t="s">
        <v>4693</v>
      </c>
      <c r="Q1285" s="38" t="s">
        <v>4694</v>
      </c>
      <c r="R1285" s="38">
        <v>1</v>
      </c>
      <c r="S1285" s="38" t="s">
        <v>156</v>
      </c>
      <c r="T1285" s="38" t="s">
        <v>53</v>
      </c>
      <c r="U1285" s="38" t="s">
        <v>54</v>
      </c>
      <c r="V1285" s="38" t="s">
        <v>61</v>
      </c>
      <c r="Y1285" s="38">
        <v>76.12</v>
      </c>
      <c r="Z1285" s="38">
        <v>1</v>
      </c>
      <c r="AF1285" s="38"/>
      <c r="AI1285" s="38">
        <v>1</v>
      </c>
      <c r="AJ1285" s="38">
        <v>3</v>
      </c>
      <c r="AK1285" s="14">
        <f t="shared" si="5"/>
        <v>0.33333333333333331</v>
      </c>
      <c r="AM1285" s="38"/>
      <c r="AO1285" s="28"/>
    </row>
    <row r="1286" spans="1:42" ht="14">
      <c r="A1286" s="28" t="s">
        <v>4695</v>
      </c>
      <c r="B1286" s="37">
        <v>45815</v>
      </c>
      <c r="C1286" s="29">
        <v>45827</v>
      </c>
      <c r="D1286" s="38" t="s">
        <v>41</v>
      </c>
      <c r="E1286" s="38" t="s">
        <v>4696</v>
      </c>
      <c r="G1286" s="38" t="s">
        <v>43</v>
      </c>
      <c r="H1286" s="38">
        <v>10.81</v>
      </c>
      <c r="I1286" s="38" t="s">
        <v>44</v>
      </c>
      <c r="J1286" s="38" t="s">
        <v>45</v>
      </c>
      <c r="K1286" s="38" t="s">
        <v>4697</v>
      </c>
      <c r="L1286" s="30" t="s">
        <v>47</v>
      </c>
      <c r="M1286" s="38" t="s">
        <v>48</v>
      </c>
      <c r="N1286" s="38" t="s">
        <v>48</v>
      </c>
      <c r="O1286" s="31" t="s">
        <v>1066</v>
      </c>
      <c r="P1286" s="28" t="s">
        <v>1067</v>
      </c>
      <c r="Q1286" s="38" t="s">
        <v>4201</v>
      </c>
      <c r="R1286" s="38">
        <v>1</v>
      </c>
      <c r="S1286" s="38" t="s">
        <v>421</v>
      </c>
      <c r="T1286" s="38" t="s">
        <v>53</v>
      </c>
      <c r="U1286" s="38" t="s">
        <v>54</v>
      </c>
      <c r="V1286" s="38" t="s">
        <v>560</v>
      </c>
      <c r="Y1286" s="38">
        <v>71.61</v>
      </c>
      <c r="Z1286" s="38">
        <v>1</v>
      </c>
      <c r="AF1286" s="38"/>
      <c r="AI1286" s="38">
        <v>1</v>
      </c>
      <c r="AJ1286" s="38">
        <v>3</v>
      </c>
      <c r="AK1286" s="14">
        <f t="shared" si="5"/>
        <v>0.33333333333333331</v>
      </c>
      <c r="AL1286" s="53">
        <v>1000022526</v>
      </c>
      <c r="AM1286" s="38"/>
      <c r="AO1286" s="51" t="s">
        <v>4698</v>
      </c>
    </row>
    <row r="1287" spans="1:42" ht="12.5">
      <c r="A1287" s="28" t="s">
        <v>4699</v>
      </c>
      <c r="B1287" s="37">
        <v>45823</v>
      </c>
      <c r="C1287" s="29">
        <v>45831</v>
      </c>
      <c r="D1287" s="38" t="s">
        <v>41</v>
      </c>
      <c r="E1287" s="38"/>
      <c r="G1287" s="38" t="s">
        <v>137</v>
      </c>
      <c r="H1287" s="38">
        <v>0</v>
      </c>
      <c r="I1287" s="38"/>
      <c r="J1287" s="38"/>
      <c r="K1287" s="38"/>
      <c r="L1287" s="30" t="s">
        <v>58</v>
      </c>
      <c r="M1287" s="38" t="s">
        <v>48</v>
      </c>
      <c r="N1287" s="38" t="s">
        <v>48</v>
      </c>
      <c r="O1287" s="31" t="s">
        <v>4700</v>
      </c>
      <c r="P1287" s="28" t="s">
        <v>4701</v>
      </c>
      <c r="Q1287" s="38" t="s">
        <v>4702</v>
      </c>
      <c r="R1287" s="38">
        <v>1</v>
      </c>
      <c r="S1287" s="38" t="s">
        <v>75</v>
      </c>
      <c r="T1287" s="38" t="s">
        <v>53</v>
      </c>
      <c r="U1287" s="38" t="s">
        <v>54</v>
      </c>
      <c r="V1287" s="38" t="s">
        <v>141</v>
      </c>
      <c r="Y1287" s="38">
        <v>34.43</v>
      </c>
      <c r="Z1287" s="38">
        <v>1</v>
      </c>
      <c r="AF1287" s="38">
        <v>34.43</v>
      </c>
      <c r="AI1287" s="38">
        <v>1</v>
      </c>
      <c r="AK1287" s="14" t="e">
        <f t="shared" si="5"/>
        <v>#DIV/0!</v>
      </c>
      <c r="AM1287" s="38"/>
      <c r="AO1287" s="28"/>
    </row>
    <row r="1288" spans="1:42" ht="12.5">
      <c r="A1288" s="28" t="s">
        <v>4703</v>
      </c>
      <c r="B1288" s="37">
        <v>45805</v>
      </c>
      <c r="C1288" s="29">
        <v>45830</v>
      </c>
      <c r="D1288" s="38" t="s">
        <v>41</v>
      </c>
      <c r="E1288" s="38" t="s">
        <v>4704</v>
      </c>
      <c r="G1288" s="38" t="s">
        <v>43</v>
      </c>
      <c r="H1288" s="38">
        <v>11.26</v>
      </c>
      <c r="I1288" s="38" t="s">
        <v>44</v>
      </c>
      <c r="J1288" s="38" t="s">
        <v>45</v>
      </c>
      <c r="K1288" s="38" t="s">
        <v>4705</v>
      </c>
      <c r="L1288" s="30" t="s">
        <v>58</v>
      </c>
      <c r="M1288" s="38" t="s">
        <v>48</v>
      </c>
      <c r="N1288" s="38" t="s">
        <v>48</v>
      </c>
      <c r="O1288" s="31" t="s">
        <v>2193</v>
      </c>
      <c r="P1288" s="28" t="s">
        <v>2194</v>
      </c>
      <c r="Q1288" s="38" t="s">
        <v>2195</v>
      </c>
      <c r="R1288" s="38">
        <v>1</v>
      </c>
      <c r="S1288" s="38" t="s">
        <v>75</v>
      </c>
      <c r="T1288" s="38" t="s">
        <v>53</v>
      </c>
      <c r="U1288" s="38" t="s">
        <v>54</v>
      </c>
      <c r="V1288" s="38" t="s">
        <v>55</v>
      </c>
      <c r="Y1288" s="38">
        <v>82.29</v>
      </c>
      <c r="Z1288" s="38">
        <v>1</v>
      </c>
      <c r="AF1288" s="38">
        <v>71.03</v>
      </c>
      <c r="AI1288" s="38">
        <v>2</v>
      </c>
      <c r="AJ1288" s="38">
        <v>18</v>
      </c>
      <c r="AK1288" s="14">
        <f t="shared" si="5"/>
        <v>0.1111111111111111</v>
      </c>
      <c r="AM1288" s="38"/>
      <c r="AO1288" s="28"/>
    </row>
    <row r="1289" spans="1:42" ht="12.5">
      <c r="A1289" s="28" t="s">
        <v>4706</v>
      </c>
      <c r="B1289" s="37">
        <v>45793</v>
      </c>
      <c r="C1289" s="29">
        <v>45825</v>
      </c>
      <c r="D1289" s="38" t="s">
        <v>41</v>
      </c>
      <c r="E1289" s="38" t="s">
        <v>4707</v>
      </c>
      <c r="G1289" s="38" t="s">
        <v>43</v>
      </c>
      <c r="H1289" s="38">
        <v>11.26</v>
      </c>
      <c r="I1289" s="38" t="s">
        <v>44</v>
      </c>
      <c r="J1289" s="38" t="s">
        <v>45</v>
      </c>
      <c r="K1289" s="38" t="s">
        <v>4708</v>
      </c>
      <c r="L1289" s="30" t="s">
        <v>58</v>
      </c>
      <c r="M1289" s="38" t="s">
        <v>48</v>
      </c>
      <c r="N1289" s="38" t="s">
        <v>48</v>
      </c>
      <c r="O1289" s="31" t="s">
        <v>2193</v>
      </c>
      <c r="P1289" s="28" t="s">
        <v>2194</v>
      </c>
      <c r="Q1289" s="38" t="s">
        <v>2195</v>
      </c>
      <c r="R1289" s="38">
        <v>1</v>
      </c>
      <c r="S1289" s="38" t="s">
        <v>3868</v>
      </c>
      <c r="T1289" s="38" t="s">
        <v>53</v>
      </c>
      <c r="U1289" s="38" t="s">
        <v>54</v>
      </c>
      <c r="V1289" s="38" t="s">
        <v>55</v>
      </c>
      <c r="Y1289" s="38">
        <v>82.67</v>
      </c>
      <c r="Z1289" s="38">
        <v>1</v>
      </c>
      <c r="AF1289" s="38">
        <v>71.41</v>
      </c>
      <c r="AK1289" s="14" t="e">
        <f t="shared" si="5"/>
        <v>#DIV/0!</v>
      </c>
      <c r="AM1289" s="38"/>
      <c r="AO1289" s="28"/>
    </row>
    <row r="1290" spans="1:42" ht="12.5">
      <c r="A1290" s="28" t="s">
        <v>4709</v>
      </c>
      <c r="B1290" s="37">
        <v>45825</v>
      </c>
      <c r="C1290" s="29">
        <v>45835</v>
      </c>
      <c r="D1290" s="38" t="s">
        <v>41</v>
      </c>
      <c r="E1290" s="38" t="s">
        <v>4710</v>
      </c>
      <c r="G1290" s="38" t="s">
        <v>43</v>
      </c>
      <c r="H1290" s="38">
        <v>10.81</v>
      </c>
      <c r="I1290" s="38" t="s">
        <v>44</v>
      </c>
      <c r="J1290" s="38" t="s">
        <v>45</v>
      </c>
      <c r="K1290" s="38" t="s">
        <v>4711</v>
      </c>
      <c r="L1290" s="30" t="s">
        <v>47</v>
      </c>
      <c r="M1290" s="38" t="s">
        <v>48</v>
      </c>
      <c r="N1290" s="38" t="s">
        <v>48</v>
      </c>
      <c r="O1290" s="40" t="s">
        <v>331</v>
      </c>
      <c r="P1290" s="28" t="s">
        <v>332</v>
      </c>
      <c r="Q1290" s="38" t="s">
        <v>333</v>
      </c>
      <c r="R1290" s="38">
        <v>1</v>
      </c>
      <c r="S1290" s="38" t="s">
        <v>99</v>
      </c>
      <c r="T1290" s="38" t="s">
        <v>53</v>
      </c>
      <c r="U1290" s="38" t="s">
        <v>54</v>
      </c>
      <c r="V1290" s="38" t="s">
        <v>61</v>
      </c>
      <c r="Y1290" s="38">
        <v>81.650000000000006</v>
      </c>
      <c r="Z1290" s="38">
        <v>1</v>
      </c>
      <c r="AF1290" s="38"/>
      <c r="AI1290" s="38">
        <v>3</v>
      </c>
      <c r="AJ1290" s="38">
        <v>7</v>
      </c>
      <c r="AK1290" s="14">
        <f t="shared" si="5"/>
        <v>0.42857142857142855</v>
      </c>
      <c r="AM1290" s="38"/>
      <c r="AO1290" s="28" t="s">
        <v>4712</v>
      </c>
    </row>
    <row r="1291" spans="1:42" ht="12.5">
      <c r="A1291" s="28" t="s">
        <v>4713</v>
      </c>
      <c r="B1291" s="37">
        <v>45825</v>
      </c>
      <c r="C1291" s="29">
        <v>45829</v>
      </c>
      <c r="D1291" s="38" t="s">
        <v>41</v>
      </c>
      <c r="E1291" s="38" t="s">
        <v>4714</v>
      </c>
      <c r="G1291" s="38" t="s">
        <v>43</v>
      </c>
      <c r="H1291" s="38">
        <v>10.81</v>
      </c>
      <c r="I1291" s="38" t="s">
        <v>44</v>
      </c>
      <c r="J1291" s="38" t="s">
        <v>45</v>
      </c>
      <c r="K1291" s="38" t="s">
        <v>4715</v>
      </c>
      <c r="L1291" s="30" t="s">
        <v>47</v>
      </c>
      <c r="M1291" s="38" t="s">
        <v>48</v>
      </c>
      <c r="N1291" s="38" t="s">
        <v>48</v>
      </c>
      <c r="O1291" s="40" t="s">
        <v>331</v>
      </c>
      <c r="P1291" s="28" t="s">
        <v>332</v>
      </c>
      <c r="Q1291" s="38" t="s">
        <v>333</v>
      </c>
      <c r="R1291" s="38">
        <v>1</v>
      </c>
      <c r="S1291" s="38" t="s">
        <v>52</v>
      </c>
      <c r="T1291" s="38" t="s">
        <v>53</v>
      </c>
      <c r="U1291" s="38" t="s">
        <v>54</v>
      </c>
      <c r="V1291" s="38" t="s">
        <v>61</v>
      </c>
      <c r="Y1291" s="38"/>
      <c r="Z1291" s="38">
        <v>1</v>
      </c>
      <c r="AF1291" s="38"/>
      <c r="AK1291" s="14" t="e">
        <f t="shared" si="5"/>
        <v>#DIV/0!</v>
      </c>
      <c r="AL1291" s="55" t="s">
        <v>4716</v>
      </c>
      <c r="AM1291" s="38"/>
      <c r="AO1291" s="55" t="s">
        <v>4717</v>
      </c>
    </row>
    <row r="1292" spans="1:42" ht="12.5">
      <c r="A1292" s="28" t="s">
        <v>4718</v>
      </c>
      <c r="B1292" s="37">
        <v>45819</v>
      </c>
      <c r="C1292" s="29">
        <v>45825</v>
      </c>
      <c r="D1292" s="38" t="s">
        <v>41</v>
      </c>
      <c r="E1292" s="38" t="s">
        <v>4719</v>
      </c>
      <c r="G1292" s="38" t="s">
        <v>43</v>
      </c>
      <c r="H1292" s="38">
        <v>10.81</v>
      </c>
      <c r="I1292" s="38" t="s">
        <v>44</v>
      </c>
      <c r="J1292" s="38" t="s">
        <v>45</v>
      </c>
      <c r="K1292" s="38" t="s">
        <v>4720</v>
      </c>
      <c r="L1292" s="30" t="s">
        <v>47</v>
      </c>
      <c r="M1292" s="38" t="s">
        <v>48</v>
      </c>
      <c r="N1292" s="38" t="s">
        <v>48</v>
      </c>
      <c r="O1292" s="40" t="s">
        <v>331</v>
      </c>
      <c r="P1292" s="28" t="s">
        <v>332</v>
      </c>
      <c r="Q1292" s="38" t="s">
        <v>333</v>
      </c>
      <c r="R1292" s="38">
        <v>1</v>
      </c>
      <c r="S1292" s="38" t="s">
        <v>92</v>
      </c>
      <c r="T1292" s="38" t="s">
        <v>53</v>
      </c>
      <c r="U1292" s="38" t="s">
        <v>54</v>
      </c>
      <c r="V1292" s="38" t="s">
        <v>560</v>
      </c>
      <c r="Y1292" s="38">
        <v>81.459999999999994</v>
      </c>
      <c r="Z1292" s="38">
        <v>1</v>
      </c>
      <c r="AF1292" s="38"/>
      <c r="AK1292" s="14" t="e">
        <f t="shared" si="5"/>
        <v>#DIV/0!</v>
      </c>
      <c r="AL1292" s="56">
        <v>1000022798</v>
      </c>
      <c r="AM1292" s="38"/>
      <c r="AO1292" s="55" t="s">
        <v>4721</v>
      </c>
      <c r="AP1292" s="57" t="s">
        <v>4722</v>
      </c>
    </row>
    <row r="1293" spans="1:42" ht="12.5">
      <c r="A1293" s="28" t="s">
        <v>4723</v>
      </c>
      <c r="B1293" s="37">
        <v>45824</v>
      </c>
      <c r="C1293" s="29">
        <v>45827</v>
      </c>
      <c r="D1293" s="38" t="s">
        <v>41</v>
      </c>
      <c r="E1293" s="38" t="s">
        <v>4724</v>
      </c>
      <c r="G1293" s="38" t="s">
        <v>43</v>
      </c>
      <c r="H1293" s="38">
        <v>12.82</v>
      </c>
      <c r="I1293" s="38" t="s">
        <v>44</v>
      </c>
      <c r="J1293" s="38" t="s">
        <v>45</v>
      </c>
      <c r="K1293" s="38" t="s">
        <v>4725</v>
      </c>
      <c r="L1293" s="30" t="s">
        <v>58</v>
      </c>
      <c r="M1293" s="38" t="s">
        <v>48</v>
      </c>
      <c r="N1293" s="38" t="s">
        <v>48</v>
      </c>
      <c r="O1293" s="31" t="s">
        <v>357</v>
      </c>
      <c r="P1293" s="28" t="s">
        <v>358</v>
      </c>
      <c r="Q1293" s="38" t="s">
        <v>359</v>
      </c>
      <c r="R1293" s="38">
        <v>1</v>
      </c>
      <c r="S1293" s="38" t="s">
        <v>3868</v>
      </c>
      <c r="T1293" s="38" t="s">
        <v>53</v>
      </c>
      <c r="U1293" s="38" t="s">
        <v>54</v>
      </c>
      <c r="V1293" s="38" t="s">
        <v>55</v>
      </c>
      <c r="Y1293" s="38">
        <v>77.3</v>
      </c>
      <c r="Z1293" s="38">
        <v>1</v>
      </c>
      <c r="AF1293" s="38">
        <v>64.48</v>
      </c>
      <c r="AI1293" s="38">
        <v>1</v>
      </c>
      <c r="AJ1293" s="38">
        <v>4</v>
      </c>
      <c r="AK1293" s="14">
        <f t="shared" si="5"/>
        <v>0.25</v>
      </c>
      <c r="AM1293" s="38"/>
      <c r="AO1293" s="28"/>
    </row>
    <row r="1294" spans="1:42" ht="12.5">
      <c r="A1294" s="28" t="s">
        <v>4726</v>
      </c>
      <c r="B1294" s="37">
        <v>45821</v>
      </c>
      <c r="C1294" s="29">
        <v>45835</v>
      </c>
      <c r="D1294" s="38" t="s">
        <v>41</v>
      </c>
      <c r="E1294" s="38" t="s">
        <v>4727</v>
      </c>
      <c r="G1294" s="38" t="s">
        <v>43</v>
      </c>
      <c r="H1294" s="38">
        <v>10.81</v>
      </c>
      <c r="I1294" s="38" t="s">
        <v>44</v>
      </c>
      <c r="J1294" s="38" t="s">
        <v>45</v>
      </c>
      <c r="K1294" s="38" t="s">
        <v>4728</v>
      </c>
      <c r="L1294" s="30" t="s">
        <v>58</v>
      </c>
      <c r="M1294" s="38" t="s">
        <v>48</v>
      </c>
      <c r="N1294" s="38" t="s">
        <v>48</v>
      </c>
      <c r="O1294" s="31" t="s">
        <v>2548</v>
      </c>
      <c r="P1294" s="28" t="s">
        <v>2549</v>
      </c>
      <c r="Q1294" s="38" t="s">
        <v>4509</v>
      </c>
      <c r="R1294" s="38">
        <v>1</v>
      </c>
      <c r="S1294" s="38" t="s">
        <v>59</v>
      </c>
      <c r="T1294" s="38" t="s">
        <v>53</v>
      </c>
      <c r="U1294" s="38" t="s">
        <v>54</v>
      </c>
      <c r="V1294" s="38" t="s">
        <v>55</v>
      </c>
      <c r="Y1294" s="38">
        <v>72.95</v>
      </c>
      <c r="Z1294" s="38">
        <v>1</v>
      </c>
      <c r="AF1294" s="38">
        <v>62.14</v>
      </c>
      <c r="AI1294" s="38">
        <v>1</v>
      </c>
      <c r="AJ1294" s="38">
        <v>2</v>
      </c>
      <c r="AK1294" s="14">
        <f t="shared" si="5"/>
        <v>0.5</v>
      </c>
      <c r="AM1294" s="38"/>
      <c r="AO1294" s="28"/>
    </row>
    <row r="1295" spans="1:42" ht="12.5">
      <c r="A1295" s="28" t="s">
        <v>4729</v>
      </c>
      <c r="B1295" s="37">
        <v>45822</v>
      </c>
      <c r="C1295" s="29">
        <v>45825</v>
      </c>
      <c r="D1295" s="38" t="s">
        <v>41</v>
      </c>
      <c r="E1295" s="38" t="s">
        <v>4730</v>
      </c>
      <c r="G1295" s="38" t="s">
        <v>43</v>
      </c>
      <c r="H1295" s="38">
        <v>7.18</v>
      </c>
      <c r="I1295" s="38" t="s">
        <v>44</v>
      </c>
      <c r="J1295" s="38" t="s">
        <v>45</v>
      </c>
      <c r="K1295" s="38" t="s">
        <v>4731</v>
      </c>
      <c r="L1295" s="30" t="s">
        <v>47</v>
      </c>
      <c r="M1295" s="38" t="s">
        <v>48</v>
      </c>
      <c r="N1295" s="38" t="s">
        <v>48</v>
      </c>
      <c r="O1295" s="31" t="s">
        <v>2230</v>
      </c>
      <c r="P1295" s="28" t="s">
        <v>2231</v>
      </c>
      <c r="Q1295" s="38" t="s">
        <v>4732</v>
      </c>
      <c r="R1295" s="38">
        <v>1</v>
      </c>
      <c r="S1295" s="38" t="s">
        <v>92</v>
      </c>
      <c r="T1295" s="38" t="s">
        <v>53</v>
      </c>
      <c r="U1295" s="38" t="s">
        <v>60</v>
      </c>
      <c r="V1295" s="38" t="s">
        <v>55</v>
      </c>
      <c r="Y1295" s="38">
        <v>83.38</v>
      </c>
      <c r="Z1295" s="38">
        <v>1</v>
      </c>
      <c r="AF1295" s="38">
        <v>83.38</v>
      </c>
      <c r="AI1295" s="38">
        <v>1</v>
      </c>
      <c r="AJ1295" s="38">
        <v>4</v>
      </c>
      <c r="AK1295" s="14">
        <f t="shared" si="5"/>
        <v>0.25</v>
      </c>
      <c r="AM1295" s="38"/>
      <c r="AO1295" s="58" t="s">
        <v>4471</v>
      </c>
    </row>
    <row r="1296" spans="1:42" ht="12.5">
      <c r="A1296" s="28" t="s">
        <v>4733</v>
      </c>
      <c r="B1296" s="37">
        <v>45823</v>
      </c>
      <c r="C1296" s="29">
        <v>45831</v>
      </c>
      <c r="D1296" s="38" t="s">
        <v>41</v>
      </c>
      <c r="E1296" s="38" t="s">
        <v>4734</v>
      </c>
      <c r="G1296" s="38" t="s">
        <v>43</v>
      </c>
      <c r="H1296" s="38">
        <v>14.23</v>
      </c>
      <c r="I1296" s="38" t="s">
        <v>44</v>
      </c>
      <c r="J1296" s="38" t="s">
        <v>45</v>
      </c>
      <c r="K1296" s="38" t="s">
        <v>4735</v>
      </c>
      <c r="L1296" s="30" t="s">
        <v>47</v>
      </c>
      <c r="M1296" s="38" t="s">
        <v>48</v>
      </c>
      <c r="N1296" s="38" t="s">
        <v>48</v>
      </c>
      <c r="O1296" s="31" t="s">
        <v>1214</v>
      </c>
      <c r="P1296" s="28" t="s">
        <v>1215</v>
      </c>
      <c r="Q1296" s="38" t="s">
        <v>1216</v>
      </c>
      <c r="R1296" s="38">
        <v>1</v>
      </c>
      <c r="S1296" s="38" t="s">
        <v>92</v>
      </c>
      <c r="T1296" s="38" t="s">
        <v>53</v>
      </c>
      <c r="U1296" s="38" t="s">
        <v>54</v>
      </c>
      <c r="V1296" s="38" t="s">
        <v>55</v>
      </c>
      <c r="Y1296" s="38">
        <v>72.040000000000006</v>
      </c>
      <c r="Z1296" s="38">
        <v>1</v>
      </c>
      <c r="AF1296" s="38">
        <v>72.040000000000006</v>
      </c>
      <c r="AI1296" s="38">
        <v>1</v>
      </c>
      <c r="AJ1296" s="38">
        <v>3</v>
      </c>
      <c r="AK1296" s="14">
        <f t="shared" si="5"/>
        <v>0.33333333333333331</v>
      </c>
      <c r="AM1296" s="38"/>
      <c r="AO1296" s="28" t="s">
        <v>4736</v>
      </c>
    </row>
    <row r="1297" spans="1:41" ht="12.5">
      <c r="A1297" s="28" t="s">
        <v>4737</v>
      </c>
      <c r="B1297" s="37">
        <v>45830</v>
      </c>
      <c r="C1297" s="29">
        <v>45833</v>
      </c>
      <c r="D1297" s="38" t="s">
        <v>41</v>
      </c>
      <c r="E1297" s="38" t="s">
        <v>4738</v>
      </c>
      <c r="G1297" s="38" t="s">
        <v>43</v>
      </c>
      <c r="H1297" s="38">
        <v>13.3</v>
      </c>
      <c r="I1297" s="38" t="s">
        <v>44</v>
      </c>
      <c r="J1297" s="38" t="s">
        <v>45</v>
      </c>
      <c r="K1297" s="38" t="s">
        <v>4739</v>
      </c>
      <c r="L1297" s="30" t="s">
        <v>58</v>
      </c>
      <c r="M1297" s="38" t="s">
        <v>48</v>
      </c>
      <c r="N1297" s="38" t="s">
        <v>48</v>
      </c>
      <c r="O1297" s="31" t="s">
        <v>4740</v>
      </c>
      <c r="P1297" s="28" t="s">
        <v>4741</v>
      </c>
      <c r="Q1297" s="38" t="s">
        <v>4742</v>
      </c>
      <c r="R1297" s="38">
        <v>1</v>
      </c>
      <c r="S1297" s="38" t="s">
        <v>3878</v>
      </c>
      <c r="T1297" s="38" t="s">
        <v>53</v>
      </c>
      <c r="U1297" s="38" t="s">
        <v>54</v>
      </c>
      <c r="V1297" s="38" t="s">
        <v>55</v>
      </c>
      <c r="Y1297" s="38">
        <v>118.05</v>
      </c>
      <c r="Z1297" s="38">
        <v>1</v>
      </c>
      <c r="AF1297" s="38">
        <v>104.02</v>
      </c>
      <c r="AI1297" s="38">
        <v>1</v>
      </c>
      <c r="AJ1297" s="38">
        <v>1</v>
      </c>
      <c r="AK1297" s="14">
        <f t="shared" si="5"/>
        <v>1</v>
      </c>
      <c r="AM1297" s="38"/>
      <c r="AO1297" s="28"/>
    </row>
    <row r="1298" spans="1:41" ht="12.5">
      <c r="A1298" s="28" t="s">
        <v>4743</v>
      </c>
      <c r="B1298" s="37">
        <v>45830</v>
      </c>
      <c r="C1298" s="29">
        <v>45836</v>
      </c>
      <c r="D1298" s="38" t="s">
        <v>41</v>
      </c>
      <c r="E1298" s="38" t="s">
        <v>4744</v>
      </c>
      <c r="G1298" s="38" t="s">
        <v>43</v>
      </c>
      <c r="H1298" s="38">
        <v>14.23</v>
      </c>
      <c r="I1298" s="38" t="s">
        <v>44</v>
      </c>
      <c r="J1298" s="38" t="s">
        <v>45</v>
      </c>
      <c r="K1298" s="38" t="s">
        <v>4745</v>
      </c>
      <c r="L1298" s="30" t="s">
        <v>47</v>
      </c>
      <c r="M1298" s="38" t="s">
        <v>48</v>
      </c>
      <c r="N1298" s="38" t="s">
        <v>48</v>
      </c>
      <c r="O1298" s="31" t="s">
        <v>3425</v>
      </c>
      <c r="P1298" s="28" t="s">
        <v>3426</v>
      </c>
      <c r="Q1298" s="38" t="s">
        <v>3427</v>
      </c>
      <c r="R1298" s="38">
        <v>1</v>
      </c>
      <c r="S1298" s="38" t="s">
        <v>92</v>
      </c>
      <c r="T1298" s="38" t="s">
        <v>53</v>
      </c>
      <c r="U1298" s="38" t="s">
        <v>54</v>
      </c>
      <c r="V1298" s="38" t="s">
        <v>55</v>
      </c>
      <c r="Y1298" s="38">
        <v>117.88</v>
      </c>
      <c r="Z1298" s="38">
        <v>1</v>
      </c>
      <c r="AF1298" s="38">
        <v>117.88</v>
      </c>
      <c r="AI1298" s="38">
        <v>1</v>
      </c>
      <c r="AJ1298" s="38">
        <v>3</v>
      </c>
      <c r="AK1298" s="14">
        <f t="shared" si="5"/>
        <v>0.33333333333333331</v>
      </c>
      <c r="AM1298" s="38"/>
      <c r="AO1298" s="59" t="s">
        <v>4746</v>
      </c>
    </row>
    <row r="1299" spans="1:41" ht="12.5">
      <c r="A1299" s="28" t="s">
        <v>4747</v>
      </c>
      <c r="B1299" s="37">
        <v>45834</v>
      </c>
      <c r="C1299" s="29">
        <v>45838</v>
      </c>
      <c r="D1299" s="38" t="s">
        <v>41</v>
      </c>
      <c r="E1299" s="38" t="s">
        <v>4748</v>
      </c>
      <c r="G1299" s="38" t="s">
        <v>43</v>
      </c>
      <c r="H1299" s="38">
        <v>17.7</v>
      </c>
      <c r="I1299" s="38" t="s">
        <v>44</v>
      </c>
      <c r="J1299" s="38" t="s">
        <v>45</v>
      </c>
      <c r="K1299" s="38" t="s">
        <v>4749</v>
      </c>
      <c r="L1299" s="30" t="s">
        <v>58</v>
      </c>
      <c r="M1299" s="38" t="s">
        <v>48</v>
      </c>
      <c r="N1299" s="38" t="s">
        <v>48</v>
      </c>
      <c r="O1299" s="31" t="s">
        <v>437</v>
      </c>
      <c r="P1299" s="28" t="s">
        <v>438</v>
      </c>
      <c r="Q1299" s="38" t="s">
        <v>2246</v>
      </c>
      <c r="R1299" s="38">
        <v>1</v>
      </c>
      <c r="S1299" s="38" t="s">
        <v>3878</v>
      </c>
      <c r="T1299" s="38" t="s">
        <v>53</v>
      </c>
      <c r="U1299" s="38" t="s">
        <v>54</v>
      </c>
      <c r="V1299" s="38" t="s">
        <v>61</v>
      </c>
      <c r="Y1299" s="38">
        <v>122.97</v>
      </c>
      <c r="Z1299" s="38">
        <v>1</v>
      </c>
      <c r="AF1299" s="38"/>
      <c r="AI1299" s="38">
        <v>2</v>
      </c>
      <c r="AJ1299" s="38">
        <v>5</v>
      </c>
      <c r="AK1299" s="14">
        <f t="shared" ref="AK1299:AK1387" si="6">AI1299/AJ1299*1</f>
        <v>0.4</v>
      </c>
      <c r="AM1299" s="38"/>
      <c r="AO1299" s="28"/>
    </row>
    <row r="1300" spans="1:41" ht="12.5">
      <c r="A1300" s="28" t="s">
        <v>4750</v>
      </c>
      <c r="B1300" s="37">
        <v>45828</v>
      </c>
      <c r="C1300" s="29">
        <v>45832</v>
      </c>
      <c r="D1300" s="38" t="s">
        <v>41</v>
      </c>
      <c r="E1300" s="38" t="s">
        <v>4751</v>
      </c>
      <c r="G1300" s="38" t="s">
        <v>43</v>
      </c>
      <c r="H1300" s="38">
        <v>17.7</v>
      </c>
      <c r="I1300" s="38" t="s">
        <v>44</v>
      </c>
      <c r="J1300" s="38" t="s">
        <v>45</v>
      </c>
      <c r="K1300" s="38" t="s">
        <v>4752</v>
      </c>
      <c r="L1300" s="30" t="s">
        <v>58</v>
      </c>
      <c r="M1300" s="38" t="s">
        <v>48</v>
      </c>
      <c r="N1300" s="38" t="s">
        <v>48</v>
      </c>
      <c r="O1300" s="31" t="s">
        <v>437</v>
      </c>
      <c r="P1300" s="28" t="s">
        <v>438</v>
      </c>
      <c r="Q1300" s="38" t="s">
        <v>2246</v>
      </c>
      <c r="R1300" s="38">
        <v>1</v>
      </c>
      <c r="S1300" s="38" t="s">
        <v>59</v>
      </c>
      <c r="T1300" s="38" t="s">
        <v>53</v>
      </c>
      <c r="U1300" s="38" t="s">
        <v>60</v>
      </c>
      <c r="V1300" s="38" t="s">
        <v>55</v>
      </c>
      <c r="Y1300" s="38">
        <v>122.55</v>
      </c>
      <c r="Z1300" s="38">
        <v>1</v>
      </c>
      <c r="AF1300" s="38">
        <v>104.85</v>
      </c>
      <c r="AK1300" s="14" t="e">
        <f t="shared" si="6"/>
        <v>#DIV/0!</v>
      </c>
      <c r="AM1300" s="38"/>
      <c r="AO1300" s="28"/>
    </row>
    <row r="1301" spans="1:41" ht="12.5">
      <c r="A1301" s="28" t="s">
        <v>4753</v>
      </c>
      <c r="B1301" s="37">
        <v>45826</v>
      </c>
      <c r="C1301" s="29">
        <v>45830</v>
      </c>
      <c r="D1301" s="38" t="s">
        <v>41</v>
      </c>
      <c r="E1301" s="38" t="s">
        <v>4754</v>
      </c>
      <c r="G1301" s="38" t="s">
        <v>43</v>
      </c>
      <c r="H1301" s="38">
        <v>10.81</v>
      </c>
      <c r="I1301" s="38" t="s">
        <v>44</v>
      </c>
      <c r="J1301" s="38" t="s">
        <v>45</v>
      </c>
      <c r="K1301" s="38" t="s">
        <v>4755</v>
      </c>
      <c r="L1301" s="30" t="s">
        <v>58</v>
      </c>
      <c r="M1301" s="38" t="s">
        <v>48</v>
      </c>
      <c r="N1301" s="38" t="s">
        <v>48</v>
      </c>
      <c r="O1301" s="31" t="s">
        <v>3745</v>
      </c>
      <c r="P1301" s="28" t="s">
        <v>3746</v>
      </c>
      <c r="Q1301" s="38" t="s">
        <v>3747</v>
      </c>
      <c r="R1301" s="38">
        <v>1</v>
      </c>
      <c r="S1301" s="38" t="s">
        <v>3868</v>
      </c>
      <c r="T1301" s="38" t="s">
        <v>53</v>
      </c>
      <c r="U1301" s="38" t="s">
        <v>54</v>
      </c>
      <c r="V1301" s="38" t="s">
        <v>55</v>
      </c>
      <c r="Y1301" s="38">
        <v>86.59</v>
      </c>
      <c r="Z1301" s="38">
        <v>1</v>
      </c>
      <c r="AF1301" s="38">
        <v>75.78</v>
      </c>
      <c r="AI1301" s="38">
        <v>1</v>
      </c>
      <c r="AJ1301" s="38">
        <v>4</v>
      </c>
      <c r="AK1301" s="14">
        <f t="shared" si="6"/>
        <v>0.25</v>
      </c>
      <c r="AM1301" s="38"/>
      <c r="AN1301" s="60"/>
      <c r="AO1301" s="28"/>
    </row>
    <row r="1302" spans="1:41" ht="12.5">
      <c r="A1302" s="28" t="s">
        <v>4756</v>
      </c>
      <c r="B1302" s="37">
        <v>45826</v>
      </c>
      <c r="C1302" s="29">
        <v>45832</v>
      </c>
      <c r="D1302" s="38" t="s">
        <v>41</v>
      </c>
      <c r="E1302" s="38" t="s">
        <v>4757</v>
      </c>
      <c r="G1302" s="38" t="s">
        <v>43</v>
      </c>
      <c r="H1302" s="38">
        <v>11.26</v>
      </c>
      <c r="I1302" s="38" t="s">
        <v>44</v>
      </c>
      <c r="J1302" s="38" t="s">
        <v>45</v>
      </c>
      <c r="K1302" s="38" t="s">
        <v>4758</v>
      </c>
      <c r="L1302" s="30" t="s">
        <v>58</v>
      </c>
      <c r="M1302" s="38" t="s">
        <v>48</v>
      </c>
      <c r="N1302" s="38" t="s">
        <v>48</v>
      </c>
      <c r="O1302" s="31" t="s">
        <v>511</v>
      </c>
      <c r="P1302" s="28" t="s">
        <v>512</v>
      </c>
      <c r="Q1302" s="38" t="s">
        <v>513</v>
      </c>
      <c r="R1302" s="38">
        <v>1</v>
      </c>
      <c r="S1302" s="38" t="s">
        <v>68</v>
      </c>
      <c r="T1302" s="38" t="s">
        <v>53</v>
      </c>
      <c r="U1302" s="38" t="s">
        <v>54</v>
      </c>
      <c r="V1302" s="38" t="s">
        <v>55</v>
      </c>
      <c r="Y1302" s="38">
        <v>75.52</v>
      </c>
      <c r="Z1302" s="38">
        <v>1</v>
      </c>
      <c r="AF1302" s="38">
        <v>64.260000000000005</v>
      </c>
      <c r="AI1302" s="38">
        <v>3</v>
      </c>
      <c r="AJ1302" s="38">
        <v>4</v>
      </c>
      <c r="AK1302" s="14">
        <f t="shared" si="6"/>
        <v>0.75</v>
      </c>
      <c r="AM1302" s="38"/>
      <c r="AN1302" s="60"/>
      <c r="AO1302" s="28"/>
    </row>
    <row r="1303" spans="1:41" ht="12.5">
      <c r="A1303" s="28" t="s">
        <v>4759</v>
      </c>
      <c r="B1303" s="37">
        <v>45823</v>
      </c>
      <c r="C1303" s="29">
        <v>45827</v>
      </c>
      <c r="D1303" s="38" t="s">
        <v>41</v>
      </c>
      <c r="E1303" s="38" t="s">
        <v>4760</v>
      </c>
      <c r="G1303" s="38" t="s">
        <v>43</v>
      </c>
      <c r="H1303" s="38">
        <v>11.26</v>
      </c>
      <c r="I1303" s="38" t="s">
        <v>44</v>
      </c>
      <c r="J1303" s="38" t="s">
        <v>45</v>
      </c>
      <c r="K1303" s="38" t="s">
        <v>4761</v>
      </c>
      <c r="L1303" s="30" t="s">
        <v>58</v>
      </c>
      <c r="M1303" s="38" t="s">
        <v>48</v>
      </c>
      <c r="N1303" s="38" t="s">
        <v>48</v>
      </c>
      <c r="O1303" s="31" t="s">
        <v>511</v>
      </c>
      <c r="P1303" s="28" t="s">
        <v>512</v>
      </c>
      <c r="Q1303" s="38" t="s">
        <v>513</v>
      </c>
      <c r="R1303" s="38">
        <v>1</v>
      </c>
      <c r="S1303" s="38" t="s">
        <v>68</v>
      </c>
      <c r="T1303" s="38" t="s">
        <v>53</v>
      </c>
      <c r="U1303" s="38" t="s">
        <v>54</v>
      </c>
      <c r="V1303" s="38" t="s">
        <v>55</v>
      </c>
      <c r="Y1303" s="38">
        <v>77.11</v>
      </c>
      <c r="Z1303" s="38">
        <v>1</v>
      </c>
      <c r="AF1303" s="38">
        <v>65.849999999999994</v>
      </c>
      <c r="AK1303" s="14" t="e">
        <f t="shared" si="6"/>
        <v>#DIV/0!</v>
      </c>
      <c r="AM1303" s="38"/>
      <c r="AO1303" s="28"/>
    </row>
    <row r="1304" spans="1:41" ht="12.5">
      <c r="A1304" s="28" t="s">
        <v>4762</v>
      </c>
      <c r="B1304" s="37">
        <v>45824</v>
      </c>
      <c r="C1304" s="29">
        <v>45827</v>
      </c>
      <c r="D1304" s="38" t="s">
        <v>41</v>
      </c>
      <c r="E1304" s="38" t="s">
        <v>4763</v>
      </c>
      <c r="G1304" s="38" t="s">
        <v>43</v>
      </c>
      <c r="H1304" s="38">
        <v>11.26</v>
      </c>
      <c r="I1304" s="38" t="s">
        <v>44</v>
      </c>
      <c r="J1304" s="38" t="s">
        <v>45</v>
      </c>
      <c r="K1304" s="38" t="s">
        <v>4764</v>
      </c>
      <c r="L1304" s="30" t="s">
        <v>47</v>
      </c>
      <c r="M1304" s="38" t="s">
        <v>48</v>
      </c>
      <c r="N1304" s="38" t="s">
        <v>48</v>
      </c>
      <c r="O1304" s="31" t="s">
        <v>511</v>
      </c>
      <c r="P1304" s="28" t="s">
        <v>512</v>
      </c>
      <c r="Q1304" s="38" t="s">
        <v>513</v>
      </c>
      <c r="R1304" s="38">
        <v>1</v>
      </c>
      <c r="S1304" s="38" t="s">
        <v>52</v>
      </c>
      <c r="T1304" s="38" t="s">
        <v>53</v>
      </c>
      <c r="U1304" s="38" t="s">
        <v>54</v>
      </c>
      <c r="V1304" s="38" t="s">
        <v>61</v>
      </c>
      <c r="Y1304" s="38">
        <v>75.87</v>
      </c>
      <c r="Z1304" s="38">
        <v>1</v>
      </c>
      <c r="AF1304" s="38"/>
      <c r="AK1304" s="14" t="e">
        <f t="shared" si="6"/>
        <v>#DIV/0!</v>
      </c>
      <c r="AM1304" s="38"/>
      <c r="AO1304" s="28" t="s">
        <v>4765</v>
      </c>
    </row>
    <row r="1305" spans="1:41" ht="12.5">
      <c r="A1305" s="28" t="s">
        <v>4766</v>
      </c>
      <c r="B1305" s="37">
        <v>45831</v>
      </c>
      <c r="C1305" s="29">
        <v>45836</v>
      </c>
      <c r="D1305" s="38" t="s">
        <v>57</v>
      </c>
      <c r="E1305" s="38"/>
      <c r="G1305" s="38"/>
      <c r="H1305" s="38"/>
      <c r="I1305" s="38"/>
      <c r="J1305" s="38"/>
      <c r="K1305" s="38"/>
      <c r="L1305" s="30" t="s">
        <v>58</v>
      </c>
      <c r="M1305" s="38" t="s">
        <v>48</v>
      </c>
      <c r="N1305" s="38" t="s">
        <v>48</v>
      </c>
      <c r="O1305" s="31" t="s">
        <v>4035</v>
      </c>
      <c r="P1305" s="28" t="s">
        <v>4036</v>
      </c>
      <c r="Q1305" s="38" t="s">
        <v>4037</v>
      </c>
      <c r="R1305" s="38">
        <v>1</v>
      </c>
      <c r="S1305" s="38" t="s">
        <v>59</v>
      </c>
      <c r="T1305" s="38" t="s">
        <v>53</v>
      </c>
      <c r="U1305" s="38" t="s">
        <v>60</v>
      </c>
      <c r="V1305" s="38" t="s">
        <v>61</v>
      </c>
      <c r="Y1305" s="38">
        <v>115.72</v>
      </c>
      <c r="Z1305" s="38">
        <v>1</v>
      </c>
      <c r="AF1305" s="38"/>
      <c r="AI1305" s="38">
        <v>1</v>
      </c>
      <c r="AJ1305" s="38">
        <v>1</v>
      </c>
      <c r="AK1305" s="14">
        <f t="shared" si="6"/>
        <v>1</v>
      </c>
      <c r="AM1305" s="38"/>
      <c r="AO1305" s="28"/>
    </row>
    <row r="1306" spans="1:41" ht="12.5">
      <c r="A1306" s="28" t="s">
        <v>4766</v>
      </c>
      <c r="B1306" s="37">
        <v>45831</v>
      </c>
      <c r="C1306" s="29">
        <v>45836</v>
      </c>
      <c r="D1306" s="38" t="s">
        <v>41</v>
      </c>
      <c r="E1306" s="38" t="s">
        <v>4767</v>
      </c>
      <c r="G1306" s="38" t="s">
        <v>43</v>
      </c>
      <c r="H1306" s="38">
        <v>10.81</v>
      </c>
      <c r="I1306" s="38" t="s">
        <v>44</v>
      </c>
      <c r="J1306" s="38" t="s">
        <v>45</v>
      </c>
      <c r="K1306" s="38" t="s">
        <v>4768</v>
      </c>
      <c r="L1306" s="30" t="s">
        <v>58</v>
      </c>
      <c r="M1306" s="38" t="s">
        <v>48</v>
      </c>
      <c r="N1306" s="38" t="s">
        <v>48</v>
      </c>
      <c r="O1306" s="31" t="s">
        <v>4035</v>
      </c>
      <c r="P1306" s="28" t="s">
        <v>4036</v>
      </c>
      <c r="Q1306" s="38" t="s">
        <v>4037</v>
      </c>
      <c r="R1306" s="38">
        <v>1</v>
      </c>
      <c r="S1306" s="38" t="s">
        <v>3884</v>
      </c>
      <c r="T1306" s="38" t="s">
        <v>53</v>
      </c>
      <c r="U1306" s="38" t="s">
        <v>54</v>
      </c>
      <c r="V1306" s="38" t="s">
        <v>61</v>
      </c>
      <c r="Y1306" s="38">
        <v>115.72</v>
      </c>
      <c r="Z1306" s="38">
        <v>1</v>
      </c>
      <c r="AF1306" s="38"/>
      <c r="AK1306" s="14" t="e">
        <f t="shared" si="6"/>
        <v>#DIV/0!</v>
      </c>
      <c r="AM1306" s="38"/>
      <c r="AO1306" s="28"/>
    </row>
    <row r="1307" spans="1:41" ht="12.5">
      <c r="A1307" s="28" t="s">
        <v>4769</v>
      </c>
      <c r="B1307" s="37">
        <v>45830</v>
      </c>
      <c r="C1307" s="29">
        <v>45838</v>
      </c>
      <c r="D1307" s="38" t="s">
        <v>41</v>
      </c>
      <c r="E1307" s="38" t="s">
        <v>4770</v>
      </c>
      <c r="G1307" s="38" t="s">
        <v>43</v>
      </c>
      <c r="H1307" s="38">
        <v>11.26</v>
      </c>
      <c r="I1307" s="38" t="s">
        <v>44</v>
      </c>
      <c r="J1307" s="38" t="s">
        <v>45</v>
      </c>
      <c r="K1307" s="38" t="s">
        <v>4771</v>
      </c>
      <c r="L1307" s="30" t="s">
        <v>58</v>
      </c>
      <c r="M1307" s="38" t="s">
        <v>48</v>
      </c>
      <c r="N1307" s="38" t="s">
        <v>48</v>
      </c>
      <c r="O1307" s="31" t="s">
        <v>517</v>
      </c>
      <c r="P1307" s="28" t="s">
        <v>518</v>
      </c>
      <c r="Q1307" s="38" t="s">
        <v>4280</v>
      </c>
      <c r="R1307" s="38">
        <v>1</v>
      </c>
      <c r="S1307" s="38" t="s">
        <v>306</v>
      </c>
      <c r="T1307" s="38" t="s">
        <v>53</v>
      </c>
      <c r="U1307" s="38" t="s">
        <v>54</v>
      </c>
      <c r="V1307" s="38" t="s">
        <v>55</v>
      </c>
      <c r="Y1307" s="38">
        <v>72.66</v>
      </c>
      <c r="Z1307" s="38">
        <v>1</v>
      </c>
      <c r="AF1307" s="38">
        <v>61.4</v>
      </c>
      <c r="AI1307" s="38">
        <v>1</v>
      </c>
      <c r="AJ1307" s="38">
        <v>5</v>
      </c>
      <c r="AK1307" s="14">
        <f t="shared" si="6"/>
        <v>0.2</v>
      </c>
      <c r="AM1307" s="38"/>
      <c r="AO1307" s="28"/>
    </row>
    <row r="1308" spans="1:41" ht="12.5">
      <c r="A1308" s="28" t="s">
        <v>4772</v>
      </c>
      <c r="B1308" s="37">
        <v>45829</v>
      </c>
      <c r="C1308" s="29">
        <v>45836</v>
      </c>
      <c r="D1308" s="38" t="s">
        <v>41</v>
      </c>
      <c r="E1308" s="38" t="s">
        <v>4773</v>
      </c>
      <c r="G1308" s="38" t="s">
        <v>43</v>
      </c>
      <c r="H1308" s="38">
        <v>11.26</v>
      </c>
      <c r="I1308" s="38" t="s">
        <v>44</v>
      </c>
      <c r="J1308" s="38" t="s">
        <v>45</v>
      </c>
      <c r="K1308" s="38" t="s">
        <v>4774</v>
      </c>
      <c r="L1308" s="30" t="s">
        <v>58</v>
      </c>
      <c r="M1308" s="38" t="s">
        <v>48</v>
      </c>
      <c r="N1308" s="38" t="s">
        <v>48</v>
      </c>
      <c r="O1308" s="31" t="s">
        <v>536</v>
      </c>
      <c r="P1308" s="28" t="s">
        <v>537</v>
      </c>
      <c r="Q1308" s="38" t="s">
        <v>4291</v>
      </c>
      <c r="R1308" s="38">
        <v>1</v>
      </c>
      <c r="S1308" s="38" t="s">
        <v>3878</v>
      </c>
      <c r="T1308" s="38" t="s">
        <v>53</v>
      </c>
      <c r="U1308" s="38" t="s">
        <v>54</v>
      </c>
      <c r="V1308" s="38" t="s">
        <v>55</v>
      </c>
      <c r="Y1308" s="38">
        <v>85.41</v>
      </c>
      <c r="Z1308" s="38">
        <v>1</v>
      </c>
      <c r="AF1308" s="38">
        <v>74.150000000000006</v>
      </c>
      <c r="AI1308" s="38">
        <v>1</v>
      </c>
      <c r="AJ1308" s="38">
        <v>3</v>
      </c>
      <c r="AK1308" s="14">
        <f t="shared" si="6"/>
        <v>0.33333333333333331</v>
      </c>
      <c r="AM1308" s="38"/>
      <c r="AO1308" s="28"/>
    </row>
    <row r="1309" spans="1:41" ht="12.5">
      <c r="A1309" s="28" t="s">
        <v>4775</v>
      </c>
      <c r="B1309" s="37">
        <v>45827</v>
      </c>
      <c r="C1309" s="29">
        <v>45832</v>
      </c>
      <c r="D1309" s="38" t="s">
        <v>41</v>
      </c>
      <c r="E1309" s="38" t="s">
        <v>4776</v>
      </c>
      <c r="G1309" s="38" t="s">
        <v>43</v>
      </c>
      <c r="H1309" s="38">
        <v>20.82</v>
      </c>
      <c r="I1309" s="38" t="s">
        <v>44</v>
      </c>
      <c r="J1309" s="38" t="s">
        <v>45</v>
      </c>
      <c r="K1309" s="38" t="s">
        <v>4777</v>
      </c>
      <c r="L1309" s="30" t="s">
        <v>47</v>
      </c>
      <c r="M1309" s="38" t="s">
        <v>48</v>
      </c>
      <c r="N1309" s="38" t="s">
        <v>48</v>
      </c>
      <c r="O1309" s="31" t="s">
        <v>551</v>
      </c>
      <c r="P1309" s="28" t="s">
        <v>552</v>
      </c>
      <c r="Q1309" s="38" t="s">
        <v>553</v>
      </c>
      <c r="R1309" s="38">
        <v>1</v>
      </c>
      <c r="S1309" s="38" t="s">
        <v>99</v>
      </c>
      <c r="T1309" s="38" t="s">
        <v>53</v>
      </c>
      <c r="U1309" s="38" t="s">
        <v>54</v>
      </c>
      <c r="V1309" s="38" t="s">
        <v>55</v>
      </c>
      <c r="Y1309" s="38">
        <v>102.36</v>
      </c>
      <c r="Z1309" s="38">
        <v>1</v>
      </c>
      <c r="AF1309" s="38">
        <v>102.36</v>
      </c>
      <c r="AI1309" s="38">
        <v>1</v>
      </c>
      <c r="AJ1309" s="38">
        <v>5</v>
      </c>
      <c r="AK1309" s="14">
        <f t="shared" si="6"/>
        <v>0.2</v>
      </c>
      <c r="AM1309" s="38"/>
      <c r="AO1309" s="28"/>
    </row>
    <row r="1310" spans="1:41" ht="12.5">
      <c r="A1310" s="28" t="s">
        <v>4778</v>
      </c>
      <c r="B1310" s="37">
        <v>45819</v>
      </c>
      <c r="C1310" s="29">
        <v>45825</v>
      </c>
      <c r="D1310" s="38" t="s">
        <v>41</v>
      </c>
      <c r="E1310" s="38" t="s">
        <v>4779</v>
      </c>
      <c r="G1310" s="38" t="s">
        <v>43</v>
      </c>
      <c r="H1310" s="38">
        <v>18.260000000000002</v>
      </c>
      <c r="I1310" s="38" t="s">
        <v>44</v>
      </c>
      <c r="J1310" s="38" t="s">
        <v>45</v>
      </c>
      <c r="K1310" s="38" t="s">
        <v>4780</v>
      </c>
      <c r="L1310" s="30" t="s">
        <v>58</v>
      </c>
      <c r="M1310" s="38" t="s">
        <v>48</v>
      </c>
      <c r="N1310" s="38" t="s">
        <v>48</v>
      </c>
      <c r="O1310" s="31" t="s">
        <v>4298</v>
      </c>
      <c r="P1310" s="28" t="s">
        <v>4299</v>
      </c>
      <c r="Q1310" s="38" t="s">
        <v>4300</v>
      </c>
      <c r="R1310" s="38">
        <v>1</v>
      </c>
      <c r="S1310" s="38" t="s">
        <v>68</v>
      </c>
      <c r="T1310" s="38" t="s">
        <v>53</v>
      </c>
      <c r="U1310" s="38" t="s">
        <v>54</v>
      </c>
      <c r="V1310" s="38" t="s">
        <v>55</v>
      </c>
      <c r="Y1310" s="38">
        <v>98.48</v>
      </c>
      <c r="Z1310" s="38">
        <v>1</v>
      </c>
      <c r="AF1310" s="38">
        <v>80.22</v>
      </c>
      <c r="AI1310" s="38">
        <v>1</v>
      </c>
      <c r="AJ1310" s="38">
        <v>1</v>
      </c>
      <c r="AK1310" s="14">
        <f t="shared" si="6"/>
        <v>1</v>
      </c>
      <c r="AM1310" s="38"/>
      <c r="AO1310" s="28"/>
    </row>
    <row r="1311" spans="1:41" ht="14">
      <c r="A1311" s="28" t="s">
        <v>4781</v>
      </c>
      <c r="B1311" s="37">
        <v>45818</v>
      </c>
      <c r="C1311" s="29">
        <v>45831</v>
      </c>
      <c r="D1311" s="38" t="s">
        <v>41</v>
      </c>
      <c r="E1311" s="38" t="s">
        <v>4782</v>
      </c>
      <c r="G1311" s="38" t="s">
        <v>43</v>
      </c>
      <c r="H1311" s="38">
        <v>17.7</v>
      </c>
      <c r="I1311" s="38" t="s">
        <v>44</v>
      </c>
      <c r="J1311" s="38" t="s">
        <v>45</v>
      </c>
      <c r="K1311" s="38" t="s">
        <v>4783</v>
      </c>
      <c r="L1311" s="30" t="s">
        <v>47</v>
      </c>
      <c r="M1311" s="38" t="s">
        <v>48</v>
      </c>
      <c r="N1311" s="38" t="s">
        <v>48</v>
      </c>
      <c r="O1311" s="31" t="s">
        <v>2617</v>
      </c>
      <c r="P1311" s="28" t="s">
        <v>2618</v>
      </c>
      <c r="Q1311" s="38" t="s">
        <v>2619</v>
      </c>
      <c r="R1311" s="38">
        <v>1</v>
      </c>
      <c r="S1311" s="38" t="s">
        <v>92</v>
      </c>
      <c r="T1311" s="38" t="s">
        <v>53</v>
      </c>
      <c r="U1311" s="38" t="s">
        <v>54</v>
      </c>
      <c r="V1311" s="38" t="s">
        <v>560</v>
      </c>
      <c r="Y1311" s="38">
        <v>103.52</v>
      </c>
      <c r="Z1311" s="38">
        <v>1</v>
      </c>
      <c r="AF1311" s="38"/>
      <c r="AI1311" s="38">
        <v>1</v>
      </c>
      <c r="AJ1311" s="38">
        <v>3</v>
      </c>
      <c r="AK1311" s="14">
        <f t="shared" si="6"/>
        <v>0.33333333333333331</v>
      </c>
      <c r="AL1311" s="53">
        <v>1000022746</v>
      </c>
      <c r="AM1311" s="38"/>
      <c r="AO1311" s="51" t="s">
        <v>4784</v>
      </c>
    </row>
    <row r="1312" spans="1:41" ht="12.5">
      <c r="A1312" s="28" t="s">
        <v>4785</v>
      </c>
      <c r="B1312" s="37">
        <v>45822</v>
      </c>
      <c r="C1312" s="29">
        <v>45832</v>
      </c>
      <c r="D1312" s="38" t="s">
        <v>41</v>
      </c>
      <c r="E1312" s="38" t="s">
        <v>4786</v>
      </c>
      <c r="G1312" s="38" t="s">
        <v>43</v>
      </c>
      <c r="H1312" s="38">
        <v>18.260000000000002</v>
      </c>
      <c r="I1312" s="38" t="s">
        <v>44</v>
      </c>
      <c r="J1312" s="38" t="s">
        <v>45</v>
      </c>
      <c r="K1312" s="38" t="s">
        <v>4787</v>
      </c>
      <c r="L1312" s="30" t="s">
        <v>58</v>
      </c>
      <c r="M1312" s="38" t="s">
        <v>48</v>
      </c>
      <c r="N1312" s="38" t="s">
        <v>48</v>
      </c>
      <c r="O1312" s="31" t="s">
        <v>1918</v>
      </c>
      <c r="P1312" s="28" t="s">
        <v>1919</v>
      </c>
      <c r="Q1312" s="38" t="s">
        <v>1920</v>
      </c>
      <c r="R1312" s="38">
        <v>1</v>
      </c>
      <c r="S1312" s="38" t="s">
        <v>59</v>
      </c>
      <c r="T1312" s="38" t="s">
        <v>53</v>
      </c>
      <c r="U1312" s="38" t="s">
        <v>54</v>
      </c>
      <c r="V1312" s="38" t="s">
        <v>55</v>
      </c>
      <c r="Y1312" s="38">
        <v>102.5</v>
      </c>
      <c r="Z1312" s="38">
        <v>1</v>
      </c>
      <c r="AF1312" s="38">
        <v>84.24</v>
      </c>
      <c r="AI1312" s="38">
        <v>3</v>
      </c>
      <c r="AJ1312" s="42"/>
      <c r="AK1312" s="14" t="e">
        <f t="shared" si="6"/>
        <v>#DIV/0!</v>
      </c>
      <c r="AM1312" s="38"/>
      <c r="AO1312" s="28"/>
    </row>
    <row r="1313" spans="1:60" ht="12.5">
      <c r="A1313" s="28" t="s">
        <v>4788</v>
      </c>
      <c r="B1313" s="37">
        <v>45823</v>
      </c>
      <c r="C1313" s="29">
        <v>45827</v>
      </c>
      <c r="D1313" s="38" t="s">
        <v>41</v>
      </c>
      <c r="E1313" s="38" t="s">
        <v>4789</v>
      </c>
      <c r="G1313" s="38" t="s">
        <v>43</v>
      </c>
      <c r="H1313" s="38">
        <v>18.260000000000002</v>
      </c>
      <c r="I1313" s="38" t="s">
        <v>44</v>
      </c>
      <c r="J1313" s="38" t="s">
        <v>45</v>
      </c>
      <c r="K1313" s="38" t="s">
        <v>4790</v>
      </c>
      <c r="L1313" s="30" t="s">
        <v>58</v>
      </c>
      <c r="M1313" s="38" t="s">
        <v>48</v>
      </c>
      <c r="N1313" s="38" t="s">
        <v>48</v>
      </c>
      <c r="O1313" s="31" t="s">
        <v>1918</v>
      </c>
      <c r="P1313" s="28" t="s">
        <v>1919</v>
      </c>
      <c r="Q1313" s="38" t="s">
        <v>1920</v>
      </c>
      <c r="R1313" s="38">
        <v>1</v>
      </c>
      <c r="S1313" s="38" t="s">
        <v>3884</v>
      </c>
      <c r="T1313" s="38" t="s">
        <v>53</v>
      </c>
      <c r="U1313" s="38" t="s">
        <v>54</v>
      </c>
      <c r="V1313" s="38" t="s">
        <v>55</v>
      </c>
      <c r="Y1313" s="38">
        <v>102.5</v>
      </c>
      <c r="Z1313" s="38">
        <v>1</v>
      </c>
      <c r="AF1313" s="38">
        <v>84.24</v>
      </c>
      <c r="AK1313" s="14" t="e">
        <f t="shared" si="6"/>
        <v>#DIV/0!</v>
      </c>
      <c r="AM1313" s="38"/>
      <c r="AO1313" s="28"/>
    </row>
    <row r="1314" spans="1:60" ht="12.5">
      <c r="A1314" s="28" t="s">
        <v>4791</v>
      </c>
      <c r="B1314" s="37">
        <v>45822</v>
      </c>
      <c r="C1314" s="29">
        <v>45825</v>
      </c>
      <c r="D1314" s="38" t="s">
        <v>41</v>
      </c>
      <c r="E1314" s="38" t="s">
        <v>4792</v>
      </c>
      <c r="G1314" s="38" t="s">
        <v>43</v>
      </c>
      <c r="H1314" s="38">
        <v>18.260000000000002</v>
      </c>
      <c r="I1314" s="38" t="s">
        <v>44</v>
      </c>
      <c r="J1314" s="38" t="s">
        <v>45</v>
      </c>
      <c r="K1314" s="38" t="s">
        <v>4793</v>
      </c>
      <c r="L1314" s="30" t="s">
        <v>58</v>
      </c>
      <c r="M1314" s="38" t="s">
        <v>48</v>
      </c>
      <c r="N1314" s="38" t="s">
        <v>48</v>
      </c>
      <c r="O1314" s="31" t="s">
        <v>1918</v>
      </c>
      <c r="P1314" s="28" t="s">
        <v>1919</v>
      </c>
      <c r="Q1314" s="38" t="s">
        <v>1920</v>
      </c>
      <c r="R1314" s="38">
        <v>1</v>
      </c>
      <c r="S1314" s="38" t="s">
        <v>3878</v>
      </c>
      <c r="T1314" s="38" t="s">
        <v>53</v>
      </c>
      <c r="U1314" s="38" t="s">
        <v>54</v>
      </c>
      <c r="V1314" s="38" t="s">
        <v>55</v>
      </c>
      <c r="Y1314" s="38">
        <v>101.5</v>
      </c>
      <c r="Z1314" s="38">
        <v>1</v>
      </c>
      <c r="AF1314" s="38">
        <v>83.24</v>
      </c>
      <c r="AK1314" s="14" t="e">
        <f t="shared" si="6"/>
        <v>#DIV/0!</v>
      </c>
      <c r="AM1314" s="38"/>
      <c r="AO1314" s="28"/>
    </row>
    <row r="1315" spans="1:60" ht="12.5">
      <c r="A1315" s="28" t="s">
        <v>4794</v>
      </c>
      <c r="B1315" s="37">
        <v>45800</v>
      </c>
      <c r="C1315" s="29">
        <v>45831</v>
      </c>
      <c r="D1315" s="38" t="s">
        <v>41</v>
      </c>
      <c r="E1315" s="38" t="s">
        <v>4795</v>
      </c>
      <c r="G1315" s="38" t="s">
        <v>43</v>
      </c>
      <c r="H1315" s="38">
        <v>13.76</v>
      </c>
      <c r="I1315" s="38" t="s">
        <v>44</v>
      </c>
      <c r="J1315" s="38" t="s">
        <v>45</v>
      </c>
      <c r="K1315" s="38" t="s">
        <v>4796</v>
      </c>
      <c r="L1315" s="30" t="s">
        <v>58</v>
      </c>
      <c r="M1315" s="38" t="s">
        <v>48</v>
      </c>
      <c r="N1315" s="38" t="s">
        <v>48</v>
      </c>
      <c r="O1315" s="31" t="s">
        <v>3493</v>
      </c>
      <c r="P1315" s="28" t="s">
        <v>3494</v>
      </c>
      <c r="Q1315" s="38" t="s">
        <v>3495</v>
      </c>
      <c r="R1315" s="38">
        <v>1</v>
      </c>
      <c r="S1315" s="38" t="s">
        <v>59</v>
      </c>
      <c r="T1315" s="38" t="s">
        <v>53</v>
      </c>
      <c r="U1315" s="38" t="s">
        <v>60</v>
      </c>
      <c r="V1315" s="38" t="s">
        <v>55</v>
      </c>
      <c r="Y1315" s="38">
        <v>113</v>
      </c>
      <c r="Z1315" s="38">
        <v>1</v>
      </c>
      <c r="AF1315" s="38">
        <v>99.24</v>
      </c>
      <c r="AI1315" s="38">
        <v>1</v>
      </c>
      <c r="AJ1315" s="38">
        <v>4</v>
      </c>
      <c r="AK1315" s="14">
        <f t="shared" si="6"/>
        <v>0.25</v>
      </c>
      <c r="AM1315" s="38"/>
      <c r="AO1315" s="28"/>
    </row>
    <row r="1316" spans="1:60" ht="12.5">
      <c r="A1316" s="28" t="s">
        <v>4797</v>
      </c>
      <c r="B1316" s="37">
        <v>45824</v>
      </c>
      <c r="C1316" s="29">
        <v>45829</v>
      </c>
      <c r="D1316" s="38" t="s">
        <v>41</v>
      </c>
      <c r="E1316" s="38" t="s">
        <v>4798</v>
      </c>
      <c r="G1316" s="38" t="s">
        <v>43</v>
      </c>
      <c r="H1316" s="38">
        <v>11.91</v>
      </c>
      <c r="I1316" s="38" t="s">
        <v>44</v>
      </c>
      <c r="J1316" s="38" t="s">
        <v>45</v>
      </c>
      <c r="K1316" s="38" t="s">
        <v>4799</v>
      </c>
      <c r="L1316" s="30" t="s">
        <v>58</v>
      </c>
      <c r="M1316" s="38" t="s">
        <v>48</v>
      </c>
      <c r="N1316" s="38" t="s">
        <v>48</v>
      </c>
      <c r="O1316" s="40" t="s">
        <v>566</v>
      </c>
      <c r="P1316" s="28" t="s">
        <v>567</v>
      </c>
      <c r="Q1316" s="38" t="s">
        <v>568</v>
      </c>
      <c r="R1316" s="38">
        <v>1</v>
      </c>
      <c r="S1316" s="38" t="s">
        <v>3884</v>
      </c>
      <c r="T1316" s="38" t="s">
        <v>53</v>
      </c>
      <c r="U1316" s="38" t="s">
        <v>54</v>
      </c>
      <c r="V1316" s="38" t="s">
        <v>61</v>
      </c>
      <c r="Y1316" s="38">
        <v>131.53</v>
      </c>
      <c r="Z1316" s="38">
        <v>1</v>
      </c>
      <c r="AF1316" s="38"/>
      <c r="AI1316" s="38">
        <v>2</v>
      </c>
      <c r="AJ1316" s="38">
        <v>1</v>
      </c>
      <c r="AK1316" s="14">
        <f t="shared" si="6"/>
        <v>2</v>
      </c>
      <c r="AM1316" s="38"/>
      <c r="AO1316" s="28" t="s">
        <v>4800</v>
      </c>
    </row>
    <row r="1317" spans="1:60" ht="12.5">
      <c r="A1317" s="28" t="s">
        <v>4801</v>
      </c>
      <c r="B1317" s="37">
        <v>45820</v>
      </c>
      <c r="C1317" s="29">
        <v>45824</v>
      </c>
      <c r="D1317" s="38" t="s">
        <v>41</v>
      </c>
      <c r="E1317" s="38" t="s">
        <v>4802</v>
      </c>
      <c r="G1317" s="38" t="s">
        <v>43</v>
      </c>
      <c r="H1317" s="38">
        <v>11.91</v>
      </c>
      <c r="I1317" s="38" t="s">
        <v>44</v>
      </c>
      <c r="J1317" s="38" t="s">
        <v>45</v>
      </c>
      <c r="K1317" s="38" t="s">
        <v>4803</v>
      </c>
      <c r="L1317" s="30" t="s">
        <v>47</v>
      </c>
      <c r="M1317" s="38" t="s">
        <v>48</v>
      </c>
      <c r="N1317" s="38" t="s">
        <v>48</v>
      </c>
      <c r="O1317" s="40" t="s">
        <v>566</v>
      </c>
      <c r="P1317" s="28" t="s">
        <v>567</v>
      </c>
      <c r="Q1317" s="38" t="s">
        <v>568</v>
      </c>
      <c r="R1317" s="38">
        <v>1</v>
      </c>
      <c r="S1317" s="38" t="s">
        <v>52</v>
      </c>
      <c r="T1317" s="38" t="s">
        <v>53</v>
      </c>
      <c r="U1317" s="38" t="s">
        <v>54</v>
      </c>
      <c r="V1317" s="38" t="s">
        <v>61</v>
      </c>
      <c r="Y1317" s="38">
        <v>133.82</v>
      </c>
      <c r="Z1317" s="38">
        <v>1</v>
      </c>
      <c r="AF1317" s="38"/>
      <c r="AK1317" s="14" t="e">
        <f t="shared" si="6"/>
        <v>#DIV/0!</v>
      </c>
      <c r="AM1317" s="38"/>
      <c r="AO1317" s="28" t="s">
        <v>4804</v>
      </c>
    </row>
    <row r="1318" spans="1:60" ht="12.5">
      <c r="A1318" s="28" t="s">
        <v>4805</v>
      </c>
      <c r="B1318" s="37">
        <v>45806</v>
      </c>
      <c r="C1318" s="29">
        <v>45833</v>
      </c>
      <c r="D1318" s="38" t="s">
        <v>41</v>
      </c>
      <c r="E1318" s="38" t="s">
        <v>4806</v>
      </c>
      <c r="G1318" s="38" t="s">
        <v>43</v>
      </c>
      <c r="H1318" s="38">
        <v>11.26</v>
      </c>
      <c r="I1318" s="38" t="s">
        <v>44</v>
      </c>
      <c r="J1318" s="38" t="s">
        <v>45</v>
      </c>
      <c r="K1318" s="38" t="s">
        <v>4807</v>
      </c>
      <c r="L1318" s="30" t="s">
        <v>47</v>
      </c>
      <c r="M1318" s="38" t="s">
        <v>48</v>
      </c>
      <c r="N1318" s="38" t="s">
        <v>48</v>
      </c>
      <c r="O1318" s="31" t="s">
        <v>1366</v>
      </c>
      <c r="P1318" s="28" t="s">
        <v>1367</v>
      </c>
      <c r="Q1318" s="38" t="s">
        <v>1368</v>
      </c>
      <c r="R1318" s="38">
        <v>1</v>
      </c>
      <c r="S1318" s="38" t="s">
        <v>99</v>
      </c>
      <c r="T1318" s="38" t="s">
        <v>53</v>
      </c>
      <c r="U1318" s="38" t="s">
        <v>54</v>
      </c>
      <c r="V1318" s="38" t="s">
        <v>55</v>
      </c>
      <c r="Y1318" s="38">
        <v>103.44</v>
      </c>
      <c r="Z1318" s="38">
        <v>1</v>
      </c>
      <c r="AF1318" s="38">
        <v>103.44</v>
      </c>
      <c r="AI1318" s="38">
        <v>1</v>
      </c>
      <c r="AJ1318" s="38">
        <v>6</v>
      </c>
      <c r="AK1318" s="14">
        <f t="shared" si="6"/>
        <v>0.16666666666666666</v>
      </c>
      <c r="AM1318" s="38"/>
      <c r="AO1318" s="28"/>
    </row>
    <row r="1319" spans="1:60" ht="12.5">
      <c r="A1319" s="28" t="s">
        <v>4808</v>
      </c>
      <c r="B1319" s="37">
        <v>45806</v>
      </c>
      <c r="C1319" s="29">
        <v>45834</v>
      </c>
      <c r="D1319" s="38" t="s">
        <v>41</v>
      </c>
      <c r="E1319" s="38" t="s">
        <v>4809</v>
      </c>
      <c r="G1319" s="38" t="s">
        <v>43</v>
      </c>
      <c r="H1319" s="38">
        <v>16.68</v>
      </c>
      <c r="I1319" s="38" t="s">
        <v>44</v>
      </c>
      <c r="J1319" s="38" t="s">
        <v>45</v>
      </c>
      <c r="K1319" s="38" t="s">
        <v>4810</v>
      </c>
      <c r="L1319" s="30" t="s">
        <v>47</v>
      </c>
      <c r="M1319" s="38" t="s">
        <v>48</v>
      </c>
      <c r="N1319" s="38" t="s">
        <v>48</v>
      </c>
      <c r="O1319" s="31" t="s">
        <v>1378</v>
      </c>
      <c r="P1319" s="28" t="s">
        <v>1379</v>
      </c>
      <c r="Q1319" s="38" t="s">
        <v>1380</v>
      </c>
      <c r="R1319" s="38">
        <v>1</v>
      </c>
      <c r="S1319" s="38" t="s">
        <v>184</v>
      </c>
      <c r="T1319" s="38" t="s">
        <v>53</v>
      </c>
      <c r="U1319" s="38" t="s">
        <v>54</v>
      </c>
      <c r="V1319" s="38" t="s">
        <v>55</v>
      </c>
      <c r="Y1319" s="38">
        <v>121.22</v>
      </c>
      <c r="Z1319" s="38">
        <v>1</v>
      </c>
      <c r="AF1319" s="38">
        <v>121.22</v>
      </c>
      <c r="AI1319" s="38">
        <v>1</v>
      </c>
      <c r="AJ1319" s="38">
        <v>2</v>
      </c>
      <c r="AK1319" s="14">
        <f t="shared" si="6"/>
        <v>0.5</v>
      </c>
      <c r="AM1319" s="38"/>
      <c r="AO1319" s="28"/>
    </row>
    <row r="1320" spans="1:60" ht="12.5">
      <c r="A1320" s="28" t="s">
        <v>4811</v>
      </c>
      <c r="B1320" s="37">
        <v>45834</v>
      </c>
      <c r="C1320" s="29">
        <v>45836</v>
      </c>
      <c r="D1320" s="38" t="s">
        <v>41</v>
      </c>
      <c r="E1320" s="38" t="s">
        <v>4812</v>
      </c>
      <c r="G1320" s="38" t="s">
        <v>43</v>
      </c>
      <c r="H1320" s="38">
        <v>14.64</v>
      </c>
      <c r="I1320" s="38" t="s">
        <v>44</v>
      </c>
      <c r="J1320" s="38" t="s">
        <v>45</v>
      </c>
      <c r="K1320" s="38" t="s">
        <v>4813</v>
      </c>
      <c r="L1320" s="30" t="s">
        <v>58</v>
      </c>
      <c r="M1320" s="38" t="s">
        <v>48</v>
      </c>
      <c r="N1320" s="38" t="s">
        <v>48</v>
      </c>
      <c r="O1320" s="31" t="s">
        <v>2296</v>
      </c>
      <c r="P1320" s="28" t="s">
        <v>2297</v>
      </c>
      <c r="Q1320" s="38" t="s">
        <v>2298</v>
      </c>
      <c r="R1320" s="38">
        <v>1</v>
      </c>
      <c r="S1320" s="38" t="s">
        <v>3878</v>
      </c>
      <c r="T1320" s="38" t="s">
        <v>53</v>
      </c>
      <c r="U1320" s="38" t="s">
        <v>54</v>
      </c>
      <c r="V1320" s="38" t="s">
        <v>61</v>
      </c>
      <c r="Y1320" s="38">
        <v>113.3</v>
      </c>
      <c r="Z1320" s="38">
        <v>1</v>
      </c>
      <c r="AF1320" s="38"/>
      <c r="AI1320" s="38">
        <v>1</v>
      </c>
      <c r="AJ1320" s="38">
        <v>4</v>
      </c>
      <c r="AK1320" s="14">
        <f t="shared" si="6"/>
        <v>0.25</v>
      </c>
      <c r="AM1320" s="38"/>
      <c r="AO1320" s="28"/>
    </row>
    <row r="1321" spans="1:60" ht="12.5">
      <c r="A1321" s="28" t="s">
        <v>4814</v>
      </c>
      <c r="B1321" s="37">
        <v>45825</v>
      </c>
      <c r="C1321" s="29">
        <v>45830</v>
      </c>
      <c r="D1321" s="38" t="s">
        <v>41</v>
      </c>
      <c r="E1321" s="38" t="s">
        <v>4815</v>
      </c>
      <c r="G1321" s="38" t="s">
        <v>43</v>
      </c>
      <c r="H1321" s="38">
        <v>14.64</v>
      </c>
      <c r="I1321" s="38" t="s">
        <v>44</v>
      </c>
      <c r="J1321" s="38" t="s">
        <v>45</v>
      </c>
      <c r="K1321" s="38" t="s">
        <v>4816</v>
      </c>
      <c r="L1321" s="30" t="s">
        <v>58</v>
      </c>
      <c r="M1321" s="38" t="s">
        <v>48</v>
      </c>
      <c r="N1321" s="38" t="s">
        <v>48</v>
      </c>
      <c r="O1321" s="31" t="s">
        <v>668</v>
      </c>
      <c r="P1321" s="28" t="s">
        <v>669</v>
      </c>
      <c r="Q1321" s="38" t="s">
        <v>2664</v>
      </c>
      <c r="R1321" s="38">
        <v>1</v>
      </c>
      <c r="S1321" s="38" t="s">
        <v>3878</v>
      </c>
      <c r="T1321" s="38" t="s">
        <v>53</v>
      </c>
      <c r="U1321" s="38" t="s">
        <v>54</v>
      </c>
      <c r="V1321" s="38" t="s">
        <v>55</v>
      </c>
      <c r="Y1321" s="38">
        <v>92.12</v>
      </c>
      <c r="Z1321" s="38">
        <v>1</v>
      </c>
      <c r="AF1321" s="38">
        <v>76.599999999999994</v>
      </c>
      <c r="AI1321" s="38">
        <v>1</v>
      </c>
      <c r="AJ1321" s="38">
        <v>3</v>
      </c>
      <c r="AK1321" s="14">
        <f t="shared" si="6"/>
        <v>0.33333333333333331</v>
      </c>
      <c r="AM1321" s="38"/>
      <c r="AO1321" s="28"/>
    </row>
    <row r="1322" spans="1:60" ht="12.5">
      <c r="A1322" s="28" t="s">
        <v>4817</v>
      </c>
      <c r="B1322" s="37">
        <v>45834</v>
      </c>
      <c r="C1322" s="29">
        <v>45836</v>
      </c>
      <c r="D1322" s="38" t="s">
        <v>41</v>
      </c>
      <c r="E1322" s="38" t="s">
        <v>4818</v>
      </c>
      <c r="G1322" s="38" t="s">
        <v>43</v>
      </c>
      <c r="H1322" s="38">
        <v>15.16</v>
      </c>
      <c r="I1322" s="38" t="s">
        <v>44</v>
      </c>
      <c r="J1322" s="38" t="s">
        <v>45</v>
      </c>
      <c r="K1322" s="38" t="s">
        <v>4819</v>
      </c>
      <c r="L1322" s="30" t="s">
        <v>47</v>
      </c>
      <c r="M1322" s="38" t="s">
        <v>48</v>
      </c>
      <c r="N1322" s="38" t="s">
        <v>48</v>
      </c>
      <c r="O1322" s="31" t="s">
        <v>797</v>
      </c>
      <c r="P1322" s="28" t="s">
        <v>798</v>
      </c>
      <c r="Q1322" s="38" t="s">
        <v>799</v>
      </c>
      <c r="R1322" s="38">
        <v>1</v>
      </c>
      <c r="S1322" s="38" t="s">
        <v>99</v>
      </c>
      <c r="T1322" s="38" t="s">
        <v>53</v>
      </c>
      <c r="U1322" s="38" t="s">
        <v>60</v>
      </c>
      <c r="V1322" s="38" t="s">
        <v>55</v>
      </c>
      <c r="Y1322" s="38">
        <v>85.91</v>
      </c>
      <c r="Z1322" s="38">
        <v>1</v>
      </c>
      <c r="AF1322" s="38">
        <v>85.91</v>
      </c>
      <c r="AI1322" s="38">
        <v>1</v>
      </c>
      <c r="AJ1322" s="38">
        <v>1</v>
      </c>
      <c r="AK1322" s="14">
        <f t="shared" si="6"/>
        <v>1</v>
      </c>
      <c r="AM1322" s="38"/>
      <c r="AO1322" s="28"/>
    </row>
    <row r="1323" spans="1:60" ht="12.5">
      <c r="A1323" s="28" t="s">
        <v>4820</v>
      </c>
      <c r="B1323" s="37">
        <v>45824</v>
      </c>
      <c r="C1323" s="29">
        <v>45828</v>
      </c>
      <c r="D1323" s="38" t="s">
        <v>41</v>
      </c>
      <c r="E1323" s="38" t="s">
        <v>4821</v>
      </c>
      <c r="G1323" s="38" t="s">
        <v>43</v>
      </c>
      <c r="H1323" s="38">
        <v>21.49</v>
      </c>
      <c r="I1323" s="38" t="s">
        <v>44</v>
      </c>
      <c r="J1323" s="38" t="s">
        <v>45</v>
      </c>
      <c r="K1323" s="38" t="s">
        <v>4822</v>
      </c>
      <c r="L1323" s="30" t="s">
        <v>58</v>
      </c>
      <c r="M1323" s="38" t="s">
        <v>48</v>
      </c>
      <c r="N1323" s="38" t="s">
        <v>48</v>
      </c>
      <c r="O1323" s="31" t="s">
        <v>2683</v>
      </c>
      <c r="P1323" s="28" t="s">
        <v>2684</v>
      </c>
      <c r="Q1323" s="38" t="s">
        <v>2685</v>
      </c>
      <c r="R1323" s="38">
        <v>2</v>
      </c>
      <c r="S1323" s="38" t="s">
        <v>3868</v>
      </c>
      <c r="T1323" s="38" t="s">
        <v>53</v>
      </c>
      <c r="U1323" s="38" t="s">
        <v>54</v>
      </c>
      <c r="V1323" s="38" t="s">
        <v>61</v>
      </c>
      <c r="Y1323" s="38">
        <v>156.68</v>
      </c>
      <c r="Z1323" s="38">
        <v>2</v>
      </c>
      <c r="AF1323" s="38"/>
      <c r="AI1323" s="38">
        <v>1</v>
      </c>
      <c r="AJ1323" s="38">
        <v>1</v>
      </c>
      <c r="AK1323" s="14">
        <f t="shared" si="6"/>
        <v>1</v>
      </c>
      <c r="AM1323" s="38"/>
      <c r="AO1323" s="28"/>
    </row>
    <row r="1324" spans="1:60" ht="12.5">
      <c r="A1324" s="28" t="s">
        <v>4823</v>
      </c>
      <c r="B1324" s="37">
        <v>45820</v>
      </c>
      <c r="C1324" s="29">
        <v>45824</v>
      </c>
      <c r="D1324" s="38" t="s">
        <v>41</v>
      </c>
      <c r="E1324" s="38" t="s">
        <v>4824</v>
      </c>
      <c r="G1324" s="38" t="s">
        <v>43</v>
      </c>
      <c r="H1324" s="38">
        <v>10.53</v>
      </c>
      <c r="I1324" s="38" t="s">
        <v>44</v>
      </c>
      <c r="J1324" s="38" t="s">
        <v>45</v>
      </c>
      <c r="K1324" s="38" t="s">
        <v>4825</v>
      </c>
      <c r="L1324" s="30" t="s">
        <v>47</v>
      </c>
      <c r="M1324" s="38" t="s">
        <v>48</v>
      </c>
      <c r="N1324" s="38" t="s">
        <v>48</v>
      </c>
      <c r="O1324" s="31" t="s">
        <v>1659</v>
      </c>
      <c r="P1324" s="28" t="s">
        <v>1660</v>
      </c>
      <c r="Q1324" s="38" t="s">
        <v>3533</v>
      </c>
      <c r="R1324" s="38">
        <v>1</v>
      </c>
      <c r="S1324" s="38" t="s">
        <v>82</v>
      </c>
      <c r="T1324" s="38" t="s">
        <v>53</v>
      </c>
      <c r="U1324" s="38" t="s">
        <v>54</v>
      </c>
      <c r="V1324" s="38" t="s">
        <v>55</v>
      </c>
      <c r="Y1324" s="38">
        <v>70.66</v>
      </c>
      <c r="Z1324" s="38">
        <v>1</v>
      </c>
      <c r="AF1324" s="38">
        <v>70.66</v>
      </c>
      <c r="AI1324" s="38">
        <v>1</v>
      </c>
      <c r="AJ1324" s="38">
        <v>16</v>
      </c>
      <c r="AK1324" s="14">
        <f t="shared" si="6"/>
        <v>6.25E-2</v>
      </c>
      <c r="AM1324" s="38"/>
      <c r="AO1324" s="28" t="s">
        <v>4826</v>
      </c>
    </row>
    <row r="1325" spans="1:60" ht="12.5">
      <c r="A1325" s="28" t="s">
        <v>4827</v>
      </c>
      <c r="B1325" s="37">
        <v>45816</v>
      </c>
      <c r="C1325" s="29">
        <v>45826</v>
      </c>
      <c r="D1325" s="38" t="s">
        <v>41</v>
      </c>
      <c r="E1325" s="38" t="s">
        <v>4828</v>
      </c>
      <c r="G1325" s="38" t="s">
        <v>43</v>
      </c>
      <c r="H1325" s="38">
        <v>21.49</v>
      </c>
      <c r="I1325" s="38" t="s">
        <v>44</v>
      </c>
      <c r="J1325" s="38" t="s">
        <v>45</v>
      </c>
      <c r="K1325" s="38" t="s">
        <v>4829</v>
      </c>
      <c r="L1325" s="30" t="s">
        <v>58</v>
      </c>
      <c r="M1325" s="38" t="s">
        <v>48</v>
      </c>
      <c r="N1325" s="38" t="s">
        <v>48</v>
      </c>
      <c r="O1325" s="31" t="s">
        <v>4830</v>
      </c>
      <c r="P1325" s="28" t="s">
        <v>4831</v>
      </c>
      <c r="Q1325" s="38" t="s">
        <v>4832</v>
      </c>
      <c r="R1325" s="38">
        <v>1</v>
      </c>
      <c r="S1325" s="38" t="s">
        <v>75</v>
      </c>
      <c r="T1325" s="38" t="s">
        <v>53</v>
      </c>
      <c r="U1325" s="38" t="s">
        <v>54</v>
      </c>
      <c r="V1325" s="38" t="s">
        <v>61</v>
      </c>
      <c r="Y1325" s="38">
        <v>317.48</v>
      </c>
      <c r="Z1325" s="38">
        <v>1</v>
      </c>
      <c r="AF1325" s="38"/>
      <c r="AI1325" s="38">
        <v>1</v>
      </c>
      <c r="AK1325" s="14" t="e">
        <f t="shared" si="6"/>
        <v>#DIV/0!</v>
      </c>
      <c r="AM1325" s="38"/>
      <c r="AO1325" s="28"/>
    </row>
    <row r="1326" spans="1:60" ht="12.5">
      <c r="A1326" s="32"/>
      <c r="B1326" s="48"/>
      <c r="C1326" s="34"/>
      <c r="D1326" s="33"/>
      <c r="E1326" s="33"/>
      <c r="F1326" s="33"/>
      <c r="G1326" s="33"/>
      <c r="H1326" s="33"/>
      <c r="I1326" s="33"/>
      <c r="J1326" s="33"/>
      <c r="K1326" s="33"/>
      <c r="L1326" s="35"/>
      <c r="M1326" s="33"/>
      <c r="N1326" s="33"/>
      <c r="O1326" s="35"/>
      <c r="P1326" s="32"/>
      <c r="Q1326" s="33"/>
      <c r="R1326" s="33"/>
      <c r="S1326" s="33"/>
      <c r="T1326" s="33"/>
      <c r="U1326" s="33"/>
      <c r="V1326" s="33"/>
      <c r="W1326" s="33"/>
      <c r="X1326" s="33"/>
      <c r="Y1326" s="33"/>
      <c r="Z1326" s="33"/>
      <c r="AA1326" s="33"/>
      <c r="AB1326" s="33"/>
      <c r="AC1326" s="33"/>
      <c r="AD1326" s="33"/>
      <c r="AE1326" s="33"/>
      <c r="AF1326" s="33"/>
      <c r="AG1326" s="33"/>
      <c r="AH1326" s="33"/>
      <c r="AI1326" s="33"/>
      <c r="AJ1326" s="33"/>
      <c r="AK1326" s="36" t="e">
        <f t="shared" si="6"/>
        <v>#DIV/0!</v>
      </c>
      <c r="AL1326" s="33"/>
      <c r="AM1326" s="38"/>
      <c r="AN1326" s="33"/>
      <c r="AO1326" s="32"/>
      <c r="AP1326" s="33"/>
      <c r="AQ1326" s="33"/>
      <c r="AR1326" s="33"/>
      <c r="AS1326" s="33"/>
      <c r="AT1326" s="33"/>
      <c r="AU1326" s="33"/>
      <c r="AV1326" s="33"/>
      <c r="AW1326" s="33"/>
      <c r="AX1326" s="33"/>
      <c r="AY1326" s="33"/>
      <c r="AZ1326" s="33"/>
      <c r="BA1326" s="33"/>
      <c r="BB1326" s="33"/>
      <c r="BC1326" s="33"/>
      <c r="BD1326" s="33"/>
      <c r="BE1326" s="33"/>
      <c r="BF1326" s="33"/>
      <c r="BG1326" s="33"/>
      <c r="BH1326" s="33"/>
    </row>
    <row r="1327" spans="1:60" ht="12.5">
      <c r="A1327" s="28" t="s">
        <v>4833</v>
      </c>
      <c r="B1327" s="37">
        <v>45839</v>
      </c>
      <c r="C1327" s="29">
        <v>45845</v>
      </c>
      <c r="D1327" s="38" t="s">
        <v>41</v>
      </c>
      <c r="E1327" s="38" t="s">
        <v>4834</v>
      </c>
      <c r="G1327" s="38" t="s">
        <v>43</v>
      </c>
      <c r="H1327" s="38">
        <v>7.62</v>
      </c>
      <c r="I1327" s="38" t="s">
        <v>44</v>
      </c>
      <c r="J1327" s="38" t="s">
        <v>45</v>
      </c>
      <c r="K1327" s="38" t="s">
        <v>4835</v>
      </c>
      <c r="L1327" s="30" t="s">
        <v>58</v>
      </c>
      <c r="M1327" s="38" t="s">
        <v>48</v>
      </c>
      <c r="N1327" s="38" t="s">
        <v>48</v>
      </c>
      <c r="O1327" s="31" t="s">
        <v>3840</v>
      </c>
      <c r="P1327" s="28" t="s">
        <v>3841</v>
      </c>
      <c r="Q1327" s="38" t="s">
        <v>3842</v>
      </c>
      <c r="R1327" s="38">
        <v>1</v>
      </c>
      <c r="S1327" s="38" t="s">
        <v>3884</v>
      </c>
      <c r="T1327" s="38" t="s">
        <v>53</v>
      </c>
      <c r="U1327" s="38" t="s">
        <v>54</v>
      </c>
      <c r="V1327" s="38" t="s">
        <v>61</v>
      </c>
      <c r="Y1327" s="38">
        <v>114.38</v>
      </c>
      <c r="Z1327" s="38">
        <v>1</v>
      </c>
      <c r="AF1327" s="38"/>
      <c r="AI1327" s="38">
        <v>1</v>
      </c>
      <c r="AJ1327" s="38">
        <v>4</v>
      </c>
      <c r="AK1327" s="14">
        <f t="shared" si="6"/>
        <v>0.25</v>
      </c>
      <c r="AM1327" s="38"/>
      <c r="AO1327" s="28"/>
    </row>
    <row r="1328" spans="1:60" ht="12.5">
      <c r="A1328" s="28" t="s">
        <v>4836</v>
      </c>
      <c r="B1328" s="37">
        <v>45848</v>
      </c>
      <c r="C1328" s="29">
        <v>45850</v>
      </c>
      <c r="D1328" s="38" t="s">
        <v>41</v>
      </c>
      <c r="E1328" s="38" t="s">
        <v>4837</v>
      </c>
      <c r="G1328" s="38" t="s">
        <v>43</v>
      </c>
      <c r="H1328" s="38">
        <v>12.42</v>
      </c>
      <c r="I1328" s="38" t="s">
        <v>44</v>
      </c>
      <c r="J1328" s="38" t="s">
        <v>45</v>
      </c>
      <c r="K1328" s="38" t="s">
        <v>4838</v>
      </c>
      <c r="L1328" s="30" t="s">
        <v>58</v>
      </c>
      <c r="M1328" s="38" t="s">
        <v>48</v>
      </c>
      <c r="N1328" s="38" t="s">
        <v>48</v>
      </c>
      <c r="O1328" s="31" t="s">
        <v>96</v>
      </c>
      <c r="P1328" s="28" t="s">
        <v>97</v>
      </c>
      <c r="Q1328" s="38" t="s">
        <v>4150</v>
      </c>
      <c r="R1328" s="38">
        <v>1</v>
      </c>
      <c r="S1328" s="38" t="s">
        <v>3878</v>
      </c>
      <c r="T1328" s="38" t="s">
        <v>53</v>
      </c>
      <c r="U1328" s="38" t="s">
        <v>54</v>
      </c>
      <c r="V1328" s="38" t="s">
        <v>61</v>
      </c>
      <c r="Y1328" s="38">
        <v>84.32</v>
      </c>
      <c r="Z1328" s="38">
        <v>1</v>
      </c>
      <c r="AF1328" s="38"/>
      <c r="AI1328" s="38">
        <v>1</v>
      </c>
      <c r="AJ1328" s="38">
        <v>3</v>
      </c>
      <c r="AK1328" s="14">
        <f t="shared" si="6"/>
        <v>0.33333333333333331</v>
      </c>
      <c r="AM1328" s="38"/>
      <c r="AO1328" s="28"/>
    </row>
    <row r="1329" spans="1:41" ht="12.5">
      <c r="A1329" s="28" t="s">
        <v>4839</v>
      </c>
      <c r="B1329" s="37">
        <v>45845</v>
      </c>
      <c r="C1329" s="29">
        <v>45851</v>
      </c>
      <c r="D1329" s="38" t="s">
        <v>41</v>
      </c>
      <c r="E1329" s="38" t="s">
        <v>4840</v>
      </c>
      <c r="G1329" s="38" t="s">
        <v>43</v>
      </c>
      <c r="H1329" s="38">
        <v>10.57</v>
      </c>
      <c r="I1329" s="38" t="s">
        <v>44</v>
      </c>
      <c r="J1329" s="38" t="s">
        <v>45</v>
      </c>
      <c r="K1329" s="38" t="s">
        <v>4841</v>
      </c>
      <c r="L1329" s="30" t="s">
        <v>58</v>
      </c>
      <c r="M1329" s="38" t="s">
        <v>48</v>
      </c>
      <c r="N1329" s="38" t="s">
        <v>48</v>
      </c>
      <c r="O1329" s="31" t="s">
        <v>960</v>
      </c>
      <c r="P1329" s="28" t="s">
        <v>961</v>
      </c>
      <c r="Q1329" s="38" t="s">
        <v>4842</v>
      </c>
      <c r="R1329" s="38">
        <v>1</v>
      </c>
      <c r="S1329" s="38" t="s">
        <v>59</v>
      </c>
      <c r="T1329" s="38" t="s">
        <v>53</v>
      </c>
      <c r="U1329" s="38" t="s">
        <v>54</v>
      </c>
      <c r="V1329" s="38" t="s">
        <v>61</v>
      </c>
      <c r="Y1329" s="38">
        <v>79.63</v>
      </c>
      <c r="Z1329" s="38">
        <v>1</v>
      </c>
      <c r="AF1329" s="38"/>
      <c r="AI1329" s="38">
        <v>1</v>
      </c>
      <c r="AJ1329" s="38">
        <v>2</v>
      </c>
      <c r="AK1329" s="14">
        <f t="shared" si="6"/>
        <v>0.5</v>
      </c>
      <c r="AM1329" s="38"/>
      <c r="AO1329" s="28"/>
    </row>
    <row r="1330" spans="1:41" ht="12.5">
      <c r="A1330" s="28" t="s">
        <v>4843</v>
      </c>
      <c r="B1330" s="37">
        <v>45840</v>
      </c>
      <c r="C1330" s="29">
        <v>45849</v>
      </c>
      <c r="D1330" s="38" t="s">
        <v>41</v>
      </c>
      <c r="E1330" s="38" t="s">
        <v>4844</v>
      </c>
      <c r="G1330" s="38" t="s">
        <v>43</v>
      </c>
      <c r="H1330" s="38">
        <v>9.8000000000000007</v>
      </c>
      <c r="I1330" s="38" t="s">
        <v>44</v>
      </c>
      <c r="J1330" s="38" t="s">
        <v>45</v>
      </c>
      <c r="K1330" s="38" t="s">
        <v>4845</v>
      </c>
      <c r="L1330" s="30" t="s">
        <v>58</v>
      </c>
      <c r="M1330" s="38" t="s">
        <v>48</v>
      </c>
      <c r="N1330" s="38" t="s">
        <v>48</v>
      </c>
      <c r="O1330" s="31" t="s">
        <v>972</v>
      </c>
      <c r="P1330" s="28" t="s">
        <v>973</v>
      </c>
      <c r="Q1330" s="38" t="s">
        <v>4153</v>
      </c>
      <c r="R1330" s="38">
        <v>1</v>
      </c>
      <c r="S1330" s="38" t="s">
        <v>3878</v>
      </c>
      <c r="T1330" s="38" t="s">
        <v>53</v>
      </c>
      <c r="U1330" s="38" t="s">
        <v>54</v>
      </c>
      <c r="V1330" s="38" t="s">
        <v>55</v>
      </c>
      <c r="Y1330" s="38">
        <v>56.24</v>
      </c>
      <c r="Z1330" s="38">
        <v>1</v>
      </c>
      <c r="AF1330" s="38">
        <v>46.44</v>
      </c>
      <c r="AI1330" s="38">
        <v>3</v>
      </c>
      <c r="AJ1330" s="38">
        <v>23</v>
      </c>
      <c r="AK1330" s="14">
        <f t="shared" si="6"/>
        <v>0.13043478260869565</v>
      </c>
      <c r="AM1330" s="38"/>
      <c r="AO1330" s="28"/>
    </row>
    <row r="1331" spans="1:41" ht="12.5">
      <c r="A1331" s="28" t="s">
        <v>4846</v>
      </c>
      <c r="B1331" s="37">
        <v>45837</v>
      </c>
      <c r="C1331" s="29">
        <v>45847</v>
      </c>
      <c r="D1331" s="38" t="s">
        <v>41</v>
      </c>
      <c r="E1331" s="38" t="s">
        <v>4847</v>
      </c>
      <c r="G1331" s="38" t="s">
        <v>43</v>
      </c>
      <c r="H1331" s="38">
        <v>9.8000000000000007</v>
      </c>
      <c r="I1331" s="38" t="s">
        <v>44</v>
      </c>
      <c r="J1331" s="38" t="s">
        <v>45</v>
      </c>
      <c r="K1331" s="38" t="s">
        <v>4848</v>
      </c>
      <c r="L1331" s="30" t="s">
        <v>58</v>
      </c>
      <c r="M1331" s="38" t="s">
        <v>48</v>
      </c>
      <c r="N1331" s="38" t="s">
        <v>48</v>
      </c>
      <c r="O1331" s="31" t="s">
        <v>972</v>
      </c>
      <c r="P1331" s="28" t="s">
        <v>973</v>
      </c>
      <c r="Q1331" s="38" t="s">
        <v>4153</v>
      </c>
      <c r="R1331" s="38">
        <v>1</v>
      </c>
      <c r="S1331" s="38" t="s">
        <v>75</v>
      </c>
      <c r="T1331" s="38" t="s">
        <v>53</v>
      </c>
      <c r="U1331" s="38" t="s">
        <v>54</v>
      </c>
      <c r="V1331" s="38" t="s">
        <v>61</v>
      </c>
      <c r="Y1331" s="38">
        <v>56.63</v>
      </c>
      <c r="Z1331" s="38">
        <v>1</v>
      </c>
      <c r="AF1331" s="38"/>
      <c r="AK1331" s="14" t="e">
        <f t="shared" si="6"/>
        <v>#DIV/0!</v>
      </c>
      <c r="AM1331" s="38"/>
      <c r="AO1331" s="28"/>
    </row>
    <row r="1332" spans="1:41" ht="12.5">
      <c r="A1332" s="28" t="s">
        <v>4849</v>
      </c>
      <c r="B1332" s="37">
        <v>45839</v>
      </c>
      <c r="C1332" s="29">
        <v>45843</v>
      </c>
      <c r="D1332" s="38" t="s">
        <v>41</v>
      </c>
      <c r="E1332" s="38" t="s">
        <v>4850</v>
      </c>
      <c r="G1332" s="38" t="s">
        <v>43</v>
      </c>
      <c r="H1332" s="38">
        <v>9.8000000000000007</v>
      </c>
      <c r="I1332" s="38" t="s">
        <v>44</v>
      </c>
      <c r="J1332" s="38" t="s">
        <v>45</v>
      </c>
      <c r="K1332" s="38" t="s">
        <v>4851</v>
      </c>
      <c r="L1332" s="30" t="s">
        <v>58</v>
      </c>
      <c r="M1332" s="38" t="s">
        <v>48</v>
      </c>
      <c r="N1332" s="38" t="s">
        <v>48</v>
      </c>
      <c r="O1332" s="31" t="s">
        <v>972</v>
      </c>
      <c r="P1332" s="28" t="s">
        <v>973</v>
      </c>
      <c r="Q1332" s="38" t="s">
        <v>4153</v>
      </c>
      <c r="R1332" s="38">
        <v>1</v>
      </c>
      <c r="S1332" s="38" t="s">
        <v>3878</v>
      </c>
      <c r="T1332" s="38" t="s">
        <v>53</v>
      </c>
      <c r="U1332" s="38" t="s">
        <v>54</v>
      </c>
      <c r="V1332" s="38" t="s">
        <v>55</v>
      </c>
      <c r="Y1332" s="38">
        <v>53.9</v>
      </c>
      <c r="Z1332" s="38">
        <v>1</v>
      </c>
      <c r="AF1332" s="38">
        <v>44.1</v>
      </c>
      <c r="AK1332" s="14" t="e">
        <f t="shared" si="6"/>
        <v>#DIV/0!</v>
      </c>
      <c r="AM1332" s="38"/>
      <c r="AO1332" s="28"/>
    </row>
    <row r="1333" spans="1:41" ht="12.5">
      <c r="A1333" s="28" t="s">
        <v>4852</v>
      </c>
      <c r="B1333" s="37">
        <v>45846</v>
      </c>
      <c r="C1333" s="29">
        <v>45850</v>
      </c>
      <c r="D1333" s="38" t="s">
        <v>41</v>
      </c>
      <c r="E1333" s="38" t="s">
        <v>4853</v>
      </c>
      <c r="G1333" s="38" t="s">
        <v>43</v>
      </c>
      <c r="H1333" s="38">
        <v>11.96</v>
      </c>
      <c r="I1333" s="38" t="s">
        <v>44</v>
      </c>
      <c r="J1333" s="38" t="s">
        <v>45</v>
      </c>
      <c r="K1333" s="38" t="s">
        <v>4854</v>
      </c>
      <c r="L1333" s="30" t="s">
        <v>47</v>
      </c>
      <c r="M1333" s="38" t="s">
        <v>48</v>
      </c>
      <c r="N1333" s="38" t="s">
        <v>48</v>
      </c>
      <c r="O1333" s="31" t="s">
        <v>160</v>
      </c>
      <c r="P1333" s="28" t="s">
        <v>161</v>
      </c>
      <c r="Q1333" s="38" t="s">
        <v>4426</v>
      </c>
      <c r="R1333" s="38">
        <v>1</v>
      </c>
      <c r="S1333" s="38" t="s">
        <v>421</v>
      </c>
      <c r="T1333" s="38" t="s">
        <v>53</v>
      </c>
      <c r="U1333" s="38" t="s">
        <v>54</v>
      </c>
      <c r="V1333" s="38" t="s">
        <v>61</v>
      </c>
      <c r="Y1333" s="38">
        <v>55.87</v>
      </c>
      <c r="Z1333" s="38">
        <v>1</v>
      </c>
      <c r="AF1333" s="38"/>
      <c r="AI1333" s="38">
        <v>3</v>
      </c>
      <c r="AJ1333" s="38">
        <v>8</v>
      </c>
      <c r="AK1333" s="14">
        <f t="shared" si="6"/>
        <v>0.375</v>
      </c>
      <c r="AM1333" s="38"/>
      <c r="AN1333" s="45" t="s">
        <v>3284</v>
      </c>
      <c r="AO1333" s="28" t="s">
        <v>4855</v>
      </c>
    </row>
    <row r="1334" spans="1:41" ht="12.5">
      <c r="A1334" s="28" t="s">
        <v>4856</v>
      </c>
      <c r="B1334" s="37">
        <v>45846</v>
      </c>
      <c r="C1334" s="29">
        <v>45849</v>
      </c>
      <c r="D1334" s="38" t="s">
        <v>41</v>
      </c>
      <c r="E1334" s="38" t="s">
        <v>4857</v>
      </c>
      <c r="G1334" s="38" t="s">
        <v>43</v>
      </c>
      <c r="H1334" s="38">
        <v>11.96</v>
      </c>
      <c r="I1334" s="38" t="s">
        <v>44</v>
      </c>
      <c r="J1334" s="38" t="s">
        <v>45</v>
      </c>
      <c r="K1334" s="38" t="s">
        <v>4858</v>
      </c>
      <c r="L1334" s="30" t="s">
        <v>58</v>
      </c>
      <c r="M1334" s="38" t="s">
        <v>48</v>
      </c>
      <c r="N1334" s="38" t="s">
        <v>48</v>
      </c>
      <c r="O1334" s="31" t="s">
        <v>160</v>
      </c>
      <c r="P1334" s="28" t="s">
        <v>161</v>
      </c>
      <c r="Q1334" s="38" t="s">
        <v>4426</v>
      </c>
      <c r="R1334" s="38">
        <v>1</v>
      </c>
      <c r="S1334" s="38" t="s">
        <v>3878</v>
      </c>
      <c r="T1334" s="38" t="s">
        <v>53</v>
      </c>
      <c r="U1334" s="38" t="s">
        <v>54</v>
      </c>
      <c r="V1334" s="38" t="s">
        <v>61</v>
      </c>
      <c r="Y1334" s="38">
        <v>54.85</v>
      </c>
      <c r="Z1334" s="38">
        <v>1</v>
      </c>
      <c r="AF1334" s="38"/>
      <c r="AK1334" s="14" t="e">
        <f t="shared" si="6"/>
        <v>#DIV/0!</v>
      </c>
      <c r="AM1334" s="38"/>
      <c r="AO1334" s="28"/>
    </row>
    <row r="1335" spans="1:41" ht="12.5">
      <c r="A1335" s="28" t="s">
        <v>4859</v>
      </c>
      <c r="B1335" s="37">
        <v>45841</v>
      </c>
      <c r="C1335" s="29">
        <v>45847</v>
      </c>
      <c r="D1335" s="38" t="s">
        <v>41</v>
      </c>
      <c r="E1335" s="38" t="s">
        <v>4860</v>
      </c>
      <c r="G1335" s="38" t="s">
        <v>43</v>
      </c>
      <c r="H1335" s="38">
        <v>11.96</v>
      </c>
      <c r="I1335" s="38" t="s">
        <v>44</v>
      </c>
      <c r="J1335" s="38" t="s">
        <v>45</v>
      </c>
      <c r="K1335" s="38" t="s">
        <v>4861</v>
      </c>
      <c r="L1335" s="30" t="s">
        <v>58</v>
      </c>
      <c r="M1335" s="38" t="s">
        <v>48</v>
      </c>
      <c r="N1335" s="38" t="s">
        <v>48</v>
      </c>
      <c r="O1335" s="31" t="s">
        <v>160</v>
      </c>
      <c r="P1335" s="28" t="s">
        <v>161</v>
      </c>
      <c r="Q1335" s="38" t="s">
        <v>4426</v>
      </c>
      <c r="R1335" s="38">
        <v>1</v>
      </c>
      <c r="S1335" s="38" t="s">
        <v>3878</v>
      </c>
      <c r="T1335" s="38" t="s">
        <v>53</v>
      </c>
      <c r="U1335" s="38" t="s">
        <v>54</v>
      </c>
      <c r="V1335" s="38" t="s">
        <v>61</v>
      </c>
      <c r="Y1335" s="38">
        <v>53.42</v>
      </c>
      <c r="Z1335" s="38">
        <v>1</v>
      </c>
      <c r="AF1335" s="38"/>
      <c r="AK1335" s="14" t="e">
        <f t="shared" si="6"/>
        <v>#DIV/0!</v>
      </c>
      <c r="AM1335" s="38"/>
      <c r="AO1335" s="28"/>
    </row>
    <row r="1336" spans="1:41" ht="12.5">
      <c r="A1336" s="28" t="s">
        <v>4862</v>
      </c>
      <c r="B1336" s="37">
        <v>45835</v>
      </c>
      <c r="C1336" s="29">
        <v>45841</v>
      </c>
      <c r="D1336" s="38" t="s">
        <v>41</v>
      </c>
      <c r="E1336" s="38" t="s">
        <v>4863</v>
      </c>
      <c r="G1336" s="38" t="s">
        <v>43</v>
      </c>
      <c r="H1336" s="38">
        <v>13.81</v>
      </c>
      <c r="I1336" s="38" t="s">
        <v>44</v>
      </c>
      <c r="J1336" s="38" t="s">
        <v>45</v>
      </c>
      <c r="K1336" s="38" t="s">
        <v>4864</v>
      </c>
      <c r="L1336" s="30" t="s">
        <v>47</v>
      </c>
      <c r="M1336" s="38" t="s">
        <v>48</v>
      </c>
      <c r="N1336" s="38" t="s">
        <v>48</v>
      </c>
      <c r="O1336" s="31" t="s">
        <v>219</v>
      </c>
      <c r="P1336" s="28" t="s">
        <v>220</v>
      </c>
      <c r="Q1336" s="38" t="s">
        <v>221</v>
      </c>
      <c r="R1336" s="38">
        <v>1</v>
      </c>
      <c r="S1336" s="38" t="s">
        <v>52</v>
      </c>
      <c r="T1336" s="38" t="s">
        <v>53</v>
      </c>
      <c r="U1336" s="38" t="s">
        <v>54</v>
      </c>
      <c r="V1336" s="38" t="s">
        <v>55</v>
      </c>
      <c r="Y1336" s="38">
        <v>81.52</v>
      </c>
      <c r="Z1336" s="38">
        <v>1</v>
      </c>
      <c r="AF1336" s="38">
        <v>81.52</v>
      </c>
      <c r="AI1336" s="38">
        <v>1</v>
      </c>
      <c r="AJ1336" s="38">
        <v>23</v>
      </c>
      <c r="AK1336" s="14">
        <f t="shared" si="6"/>
        <v>4.3478260869565216E-2</v>
      </c>
      <c r="AM1336" s="38"/>
      <c r="AO1336" s="28" t="s">
        <v>4865</v>
      </c>
    </row>
    <row r="1337" spans="1:41" ht="12.5">
      <c r="A1337" s="28" t="s">
        <v>4866</v>
      </c>
      <c r="B1337" s="37">
        <v>45843</v>
      </c>
      <c r="C1337" s="29">
        <v>45851</v>
      </c>
      <c r="D1337" s="38" t="s">
        <v>41</v>
      </c>
      <c r="E1337" s="38"/>
      <c r="G1337" s="38" t="s">
        <v>137</v>
      </c>
      <c r="H1337" s="38">
        <v>0</v>
      </c>
      <c r="I1337" s="38"/>
      <c r="J1337" s="38"/>
      <c r="K1337" s="38"/>
      <c r="L1337" s="30" t="s">
        <v>58</v>
      </c>
      <c r="M1337" s="38" t="s">
        <v>48</v>
      </c>
      <c r="N1337" s="38" t="s">
        <v>48</v>
      </c>
      <c r="O1337" s="31" t="s">
        <v>2502</v>
      </c>
      <c r="P1337" s="28" t="s">
        <v>2503</v>
      </c>
      <c r="Q1337" s="38" t="s">
        <v>2504</v>
      </c>
      <c r="R1337" s="38">
        <v>1</v>
      </c>
      <c r="S1337" s="38" t="s">
        <v>3868</v>
      </c>
      <c r="T1337" s="38" t="s">
        <v>53</v>
      </c>
      <c r="U1337" s="38" t="s">
        <v>54</v>
      </c>
      <c r="V1337" s="38" t="s">
        <v>141</v>
      </c>
      <c r="Y1337" s="38">
        <v>12.02</v>
      </c>
      <c r="Z1337" s="38">
        <v>1</v>
      </c>
      <c r="AF1337" s="38">
        <v>12.02</v>
      </c>
      <c r="AI1337" s="38">
        <v>1</v>
      </c>
      <c r="AJ1337" s="38">
        <v>4</v>
      </c>
      <c r="AK1337" s="14">
        <f t="shared" si="6"/>
        <v>0.25</v>
      </c>
      <c r="AM1337" s="38"/>
      <c r="AO1337" s="28"/>
    </row>
    <row r="1338" spans="1:41" ht="12.5">
      <c r="A1338" s="28" t="s">
        <v>4867</v>
      </c>
      <c r="B1338" s="37">
        <v>45845</v>
      </c>
      <c r="C1338" s="29">
        <v>45849</v>
      </c>
      <c r="D1338" s="38" t="s">
        <v>41</v>
      </c>
      <c r="E1338" s="38" t="s">
        <v>4868</v>
      </c>
      <c r="G1338" s="38" t="s">
        <v>43</v>
      </c>
      <c r="H1338" s="38">
        <v>11.31</v>
      </c>
      <c r="I1338" s="38" t="s">
        <v>44</v>
      </c>
      <c r="J1338" s="38" t="s">
        <v>45</v>
      </c>
      <c r="K1338" s="38" t="s">
        <v>4869</v>
      </c>
      <c r="L1338" s="30" t="s">
        <v>58</v>
      </c>
      <c r="M1338" s="38" t="s">
        <v>48</v>
      </c>
      <c r="N1338" s="38" t="s">
        <v>48</v>
      </c>
      <c r="O1338" s="31" t="s">
        <v>4464</v>
      </c>
      <c r="P1338" s="28" t="s">
        <v>4465</v>
      </c>
      <c r="Q1338" s="38" t="s">
        <v>4466</v>
      </c>
      <c r="R1338" s="38">
        <v>1</v>
      </c>
      <c r="S1338" s="38" t="s">
        <v>3868</v>
      </c>
      <c r="T1338" s="38" t="s">
        <v>53</v>
      </c>
      <c r="U1338" s="38" t="s">
        <v>54</v>
      </c>
      <c r="V1338" s="38" t="s">
        <v>55</v>
      </c>
      <c r="Y1338" s="38">
        <v>62.54</v>
      </c>
      <c r="Z1338" s="38">
        <v>1</v>
      </c>
      <c r="AF1338" s="38">
        <v>51.23</v>
      </c>
      <c r="AI1338" s="38">
        <v>1</v>
      </c>
      <c r="AJ1338" s="38">
        <v>4</v>
      </c>
      <c r="AK1338" s="14">
        <f t="shared" si="6"/>
        <v>0.25</v>
      </c>
      <c r="AM1338" s="38"/>
      <c r="AO1338" s="28"/>
    </row>
    <row r="1339" spans="1:41" ht="12.5">
      <c r="A1339" s="28" t="s">
        <v>4870</v>
      </c>
      <c r="B1339" s="37">
        <v>45840</v>
      </c>
      <c r="C1339" s="29">
        <v>45841</v>
      </c>
      <c r="D1339" s="38" t="s">
        <v>41</v>
      </c>
      <c r="E1339" s="38" t="s">
        <v>4871</v>
      </c>
      <c r="G1339" s="38" t="s">
        <v>43</v>
      </c>
      <c r="H1339" s="38">
        <v>11.71</v>
      </c>
      <c r="I1339" s="38" t="s">
        <v>44</v>
      </c>
      <c r="J1339" s="38" t="s">
        <v>45</v>
      </c>
      <c r="K1339" s="38" t="s">
        <v>4872</v>
      </c>
      <c r="L1339" s="30" t="s">
        <v>58</v>
      </c>
      <c r="M1339" s="38" t="s">
        <v>48</v>
      </c>
      <c r="N1339" s="38" t="s">
        <v>48</v>
      </c>
      <c r="O1339" s="31" t="s">
        <v>2888</v>
      </c>
      <c r="P1339" s="28" t="s">
        <v>2889</v>
      </c>
      <c r="Q1339" s="38" t="s">
        <v>4873</v>
      </c>
      <c r="R1339" s="38">
        <v>1</v>
      </c>
      <c r="S1339" s="38" t="s">
        <v>68</v>
      </c>
      <c r="T1339" s="38" t="s">
        <v>53</v>
      </c>
      <c r="U1339" s="38" t="s">
        <v>54</v>
      </c>
      <c r="V1339" s="38" t="s">
        <v>61</v>
      </c>
      <c r="Y1339" s="38">
        <v>92.33</v>
      </c>
      <c r="Z1339" s="38">
        <v>1</v>
      </c>
      <c r="AF1339" s="38"/>
      <c r="AI1339" s="38">
        <v>1</v>
      </c>
      <c r="AJ1339" s="38">
        <v>4</v>
      </c>
      <c r="AK1339" s="14">
        <f t="shared" si="6"/>
        <v>0.25</v>
      </c>
      <c r="AM1339" s="38"/>
      <c r="AO1339" s="28"/>
    </row>
    <row r="1340" spans="1:41" ht="12.5">
      <c r="A1340" s="28" t="s">
        <v>4874</v>
      </c>
      <c r="B1340" s="37">
        <v>45829</v>
      </c>
      <c r="C1340" s="29">
        <v>45842</v>
      </c>
      <c r="D1340" s="38" t="s">
        <v>41</v>
      </c>
      <c r="E1340" s="38" t="s">
        <v>4875</v>
      </c>
      <c r="G1340" s="38" t="s">
        <v>43</v>
      </c>
      <c r="H1340" s="38">
        <v>11.31</v>
      </c>
      <c r="I1340" s="38" t="s">
        <v>44</v>
      </c>
      <c r="J1340" s="38" t="s">
        <v>45</v>
      </c>
      <c r="K1340" s="38" t="s">
        <v>4876</v>
      </c>
      <c r="L1340" s="30" t="s">
        <v>58</v>
      </c>
      <c r="M1340" s="38" t="s">
        <v>48</v>
      </c>
      <c r="N1340" s="38" t="s">
        <v>48</v>
      </c>
      <c r="O1340" s="31" t="s">
        <v>2904</v>
      </c>
      <c r="P1340" s="28" t="s">
        <v>2905</v>
      </c>
      <c r="Q1340" s="38" t="s">
        <v>2906</v>
      </c>
      <c r="R1340" s="38">
        <v>1</v>
      </c>
      <c r="S1340" s="38" t="s">
        <v>68</v>
      </c>
      <c r="T1340" s="38" t="s">
        <v>53</v>
      </c>
      <c r="U1340" s="38" t="s">
        <v>54</v>
      </c>
      <c r="V1340" s="38" t="s">
        <v>61</v>
      </c>
      <c r="Y1340" s="38">
        <v>95.15</v>
      </c>
      <c r="Z1340" s="38">
        <v>1</v>
      </c>
      <c r="AF1340" s="38"/>
      <c r="AI1340" s="38">
        <v>2</v>
      </c>
      <c r="AJ1340" s="38">
        <v>11</v>
      </c>
      <c r="AK1340" s="14">
        <f t="shared" si="6"/>
        <v>0.18181818181818182</v>
      </c>
      <c r="AM1340" s="38"/>
      <c r="AO1340" s="28"/>
    </row>
    <row r="1341" spans="1:41" ht="12.5">
      <c r="A1341" s="28" t="s">
        <v>4877</v>
      </c>
      <c r="B1341" s="37">
        <v>45832</v>
      </c>
      <c r="C1341" s="29">
        <v>45840</v>
      </c>
      <c r="D1341" s="38" t="s">
        <v>41</v>
      </c>
      <c r="E1341" s="38" t="s">
        <v>4878</v>
      </c>
      <c r="G1341" s="38" t="s">
        <v>43</v>
      </c>
      <c r="H1341" s="38">
        <v>11.31</v>
      </c>
      <c r="I1341" s="38" t="s">
        <v>44</v>
      </c>
      <c r="J1341" s="38" t="s">
        <v>45</v>
      </c>
      <c r="K1341" s="38" t="s">
        <v>4879</v>
      </c>
      <c r="L1341" s="30" t="s">
        <v>47</v>
      </c>
      <c r="M1341" s="38" t="s">
        <v>48</v>
      </c>
      <c r="N1341" s="38" t="s">
        <v>48</v>
      </c>
      <c r="O1341" s="31" t="s">
        <v>2904</v>
      </c>
      <c r="P1341" s="28" t="s">
        <v>2905</v>
      </c>
      <c r="Q1341" s="38" t="s">
        <v>2906</v>
      </c>
      <c r="R1341" s="38">
        <v>1</v>
      </c>
      <c r="S1341" s="38" t="s">
        <v>52</v>
      </c>
      <c r="T1341" s="38" t="s">
        <v>53</v>
      </c>
      <c r="U1341" s="38" t="s">
        <v>54</v>
      </c>
      <c r="V1341" s="38" t="s">
        <v>55</v>
      </c>
      <c r="Y1341" s="38">
        <v>96.58</v>
      </c>
      <c r="Z1341" s="38">
        <v>1</v>
      </c>
      <c r="AF1341" s="38">
        <v>96.58</v>
      </c>
      <c r="AK1341" s="14" t="e">
        <f t="shared" si="6"/>
        <v>#DIV/0!</v>
      </c>
      <c r="AM1341" s="38"/>
      <c r="AO1341" s="28" t="s">
        <v>4880</v>
      </c>
    </row>
    <row r="1342" spans="1:41" ht="12.5">
      <c r="A1342" s="28" t="s">
        <v>4881</v>
      </c>
      <c r="B1342" s="37">
        <v>45841</v>
      </c>
      <c r="C1342" s="29">
        <v>45847</v>
      </c>
      <c r="D1342" s="38" t="s">
        <v>41</v>
      </c>
      <c r="E1342" s="38" t="s">
        <v>4882</v>
      </c>
      <c r="G1342" s="38" t="s">
        <v>43</v>
      </c>
      <c r="H1342" s="38">
        <v>10.85</v>
      </c>
      <c r="I1342" s="38" t="s">
        <v>44</v>
      </c>
      <c r="J1342" s="38" t="s">
        <v>45</v>
      </c>
      <c r="K1342" s="38" t="s">
        <v>4883</v>
      </c>
      <c r="L1342" s="30" t="s">
        <v>47</v>
      </c>
      <c r="M1342" s="38" t="s">
        <v>48</v>
      </c>
      <c r="N1342" s="38" t="s">
        <v>48</v>
      </c>
      <c r="O1342" s="31" t="s">
        <v>1840</v>
      </c>
      <c r="P1342" s="28" t="s">
        <v>1841</v>
      </c>
      <c r="Q1342" s="38" t="s">
        <v>1842</v>
      </c>
      <c r="R1342" s="38">
        <v>1</v>
      </c>
      <c r="S1342" s="38" t="s">
        <v>99</v>
      </c>
      <c r="T1342" s="38" t="s">
        <v>53</v>
      </c>
      <c r="U1342" s="38" t="s">
        <v>54</v>
      </c>
      <c r="V1342" s="38" t="s">
        <v>61</v>
      </c>
      <c r="Y1342" s="38">
        <v>102.5</v>
      </c>
      <c r="Z1342" s="38">
        <v>1</v>
      </c>
      <c r="AF1342" s="38"/>
      <c r="AI1342" s="38">
        <v>2</v>
      </c>
      <c r="AJ1342" s="38">
        <v>4</v>
      </c>
      <c r="AK1342" s="14">
        <f t="shared" si="6"/>
        <v>0.5</v>
      </c>
      <c r="AM1342" s="38"/>
      <c r="AO1342" s="28"/>
    </row>
    <row r="1343" spans="1:41" ht="12.5">
      <c r="A1343" s="28" t="s">
        <v>4884</v>
      </c>
      <c r="B1343" s="37">
        <v>45837</v>
      </c>
      <c r="C1343" s="29">
        <v>45845</v>
      </c>
      <c r="D1343" s="38" t="s">
        <v>41</v>
      </c>
      <c r="E1343" s="38" t="s">
        <v>4885</v>
      </c>
      <c r="G1343" s="38" t="s">
        <v>43</v>
      </c>
      <c r="H1343" s="38">
        <v>10.85</v>
      </c>
      <c r="I1343" s="38" t="s">
        <v>44</v>
      </c>
      <c r="J1343" s="38" t="s">
        <v>45</v>
      </c>
      <c r="K1343" s="38" t="s">
        <v>4886</v>
      </c>
      <c r="L1343" s="30" t="s">
        <v>58</v>
      </c>
      <c r="M1343" s="38" t="s">
        <v>48</v>
      </c>
      <c r="N1343" s="38" t="s">
        <v>48</v>
      </c>
      <c r="O1343" s="31" t="s">
        <v>1840</v>
      </c>
      <c r="P1343" s="28" t="s">
        <v>1841</v>
      </c>
      <c r="Q1343" s="38" t="s">
        <v>1842</v>
      </c>
      <c r="R1343" s="38">
        <v>1</v>
      </c>
      <c r="S1343" s="38" t="s">
        <v>68</v>
      </c>
      <c r="T1343" s="38" t="s">
        <v>53</v>
      </c>
      <c r="U1343" s="38" t="s">
        <v>54</v>
      </c>
      <c r="V1343" s="38" t="s">
        <v>61</v>
      </c>
      <c r="Y1343" s="38">
        <v>102.38</v>
      </c>
      <c r="Z1343" s="38">
        <v>1</v>
      </c>
      <c r="AF1343" s="38"/>
      <c r="AK1343" s="14" t="e">
        <f t="shared" si="6"/>
        <v>#DIV/0!</v>
      </c>
      <c r="AM1343" s="38"/>
      <c r="AO1343" s="28"/>
    </row>
    <row r="1344" spans="1:41" ht="12.5">
      <c r="A1344" s="28" t="s">
        <v>4887</v>
      </c>
      <c r="B1344" s="37">
        <v>45838</v>
      </c>
      <c r="C1344" s="29">
        <v>45841</v>
      </c>
      <c r="D1344" s="38" t="s">
        <v>41</v>
      </c>
      <c r="E1344" s="38" t="s">
        <v>4888</v>
      </c>
      <c r="G1344" s="38" t="s">
        <v>43</v>
      </c>
      <c r="H1344" s="38">
        <v>10.85</v>
      </c>
      <c r="I1344" s="38" t="s">
        <v>44</v>
      </c>
      <c r="J1344" s="38" t="s">
        <v>45</v>
      </c>
      <c r="K1344" s="38" t="s">
        <v>4889</v>
      </c>
      <c r="L1344" s="30" t="s">
        <v>47</v>
      </c>
      <c r="M1344" s="38" t="s">
        <v>48</v>
      </c>
      <c r="N1344" s="38" t="s">
        <v>48</v>
      </c>
      <c r="O1344" s="31" t="s">
        <v>325</v>
      </c>
      <c r="P1344" s="28" t="s">
        <v>326</v>
      </c>
      <c r="Q1344" s="38" t="s">
        <v>327</v>
      </c>
      <c r="R1344" s="38">
        <v>1</v>
      </c>
      <c r="S1344" s="38" t="s">
        <v>99</v>
      </c>
      <c r="T1344" s="38" t="s">
        <v>53</v>
      </c>
      <c r="U1344" s="38" t="s">
        <v>54</v>
      </c>
      <c r="V1344" s="38" t="s">
        <v>55</v>
      </c>
      <c r="Y1344" s="38">
        <v>94.9</v>
      </c>
      <c r="Z1344" s="38">
        <v>1</v>
      </c>
      <c r="AF1344" s="38">
        <v>94.9</v>
      </c>
      <c r="AI1344" s="38">
        <v>1</v>
      </c>
      <c r="AK1344" s="14" t="e">
        <f t="shared" si="6"/>
        <v>#DIV/0!</v>
      </c>
      <c r="AM1344" s="38"/>
      <c r="AO1344" s="28"/>
    </row>
    <row r="1345" spans="1:41" ht="12.5">
      <c r="A1345" s="28" t="s">
        <v>4890</v>
      </c>
      <c r="B1345" s="37">
        <v>45843</v>
      </c>
      <c r="C1345" s="29">
        <v>45846</v>
      </c>
      <c r="D1345" s="38" t="s">
        <v>41</v>
      </c>
      <c r="E1345" s="38" t="s">
        <v>4891</v>
      </c>
      <c r="G1345" s="38" t="s">
        <v>43</v>
      </c>
      <c r="H1345" s="38">
        <v>10.57</v>
      </c>
      <c r="I1345" s="38" t="s">
        <v>44</v>
      </c>
      <c r="J1345" s="38" t="s">
        <v>45</v>
      </c>
      <c r="K1345" s="38" t="s">
        <v>4892</v>
      </c>
      <c r="L1345" s="30" t="s">
        <v>47</v>
      </c>
      <c r="M1345" s="38" t="s">
        <v>48</v>
      </c>
      <c r="N1345" s="38" t="s">
        <v>48</v>
      </c>
      <c r="O1345" s="31" t="s">
        <v>337</v>
      </c>
      <c r="P1345" s="28" t="s">
        <v>338</v>
      </c>
      <c r="Q1345" s="38" t="s">
        <v>1846</v>
      </c>
      <c r="R1345" s="38">
        <v>1</v>
      </c>
      <c r="S1345" s="38" t="s">
        <v>82</v>
      </c>
      <c r="T1345" s="38" t="s">
        <v>53</v>
      </c>
      <c r="U1345" s="38" t="s">
        <v>54</v>
      </c>
      <c r="V1345" s="38" t="s">
        <v>61</v>
      </c>
      <c r="Y1345" s="38">
        <v>74.42</v>
      </c>
      <c r="Z1345" s="38">
        <v>1</v>
      </c>
      <c r="AF1345" s="38"/>
      <c r="AI1345" s="38">
        <v>1</v>
      </c>
      <c r="AJ1345" s="38">
        <v>12</v>
      </c>
      <c r="AK1345" s="14">
        <f t="shared" si="6"/>
        <v>8.3333333333333329E-2</v>
      </c>
      <c r="AM1345" s="38"/>
      <c r="AO1345" s="28" t="s">
        <v>4893</v>
      </c>
    </row>
    <row r="1346" spans="1:41" ht="12.5">
      <c r="A1346" s="28" t="s">
        <v>4894</v>
      </c>
      <c r="B1346" s="37">
        <v>45835</v>
      </c>
      <c r="C1346" s="29">
        <v>45840</v>
      </c>
      <c r="D1346" s="38" t="s">
        <v>41</v>
      </c>
      <c r="E1346" s="38" t="s">
        <v>4895</v>
      </c>
      <c r="G1346" s="38" t="s">
        <v>43</v>
      </c>
      <c r="H1346" s="38">
        <v>11.91</v>
      </c>
      <c r="I1346" s="38" t="s">
        <v>44</v>
      </c>
      <c r="J1346" s="38" t="s">
        <v>45</v>
      </c>
      <c r="K1346" s="38" t="s">
        <v>4896</v>
      </c>
      <c r="L1346" s="30" t="s">
        <v>47</v>
      </c>
      <c r="M1346" s="38" t="s">
        <v>48</v>
      </c>
      <c r="N1346" s="38" t="s">
        <v>48</v>
      </c>
      <c r="O1346" s="31" t="s">
        <v>384</v>
      </c>
      <c r="P1346" s="28" t="s">
        <v>385</v>
      </c>
      <c r="Q1346" s="38" t="s">
        <v>386</v>
      </c>
      <c r="R1346" s="38">
        <v>1</v>
      </c>
      <c r="S1346" s="38" t="s">
        <v>52</v>
      </c>
      <c r="T1346" s="38" t="s">
        <v>53</v>
      </c>
      <c r="U1346" s="38" t="s">
        <v>54</v>
      </c>
      <c r="V1346" s="38" t="s">
        <v>55</v>
      </c>
      <c r="Y1346" s="38">
        <v>92.48</v>
      </c>
      <c r="Z1346" s="38">
        <v>1</v>
      </c>
      <c r="AF1346" s="38">
        <v>92.48</v>
      </c>
      <c r="AI1346" s="38">
        <v>1</v>
      </c>
      <c r="AK1346" s="14" t="e">
        <f t="shared" si="6"/>
        <v>#DIV/0!</v>
      </c>
      <c r="AM1346" s="38"/>
      <c r="AO1346" s="28" t="s">
        <v>4897</v>
      </c>
    </row>
    <row r="1347" spans="1:41" ht="12.5">
      <c r="A1347" s="28" t="s">
        <v>4898</v>
      </c>
      <c r="B1347" s="37">
        <v>45823</v>
      </c>
      <c r="C1347" s="29">
        <v>45846</v>
      </c>
      <c r="D1347" s="38" t="s">
        <v>41</v>
      </c>
      <c r="E1347" s="38" t="s">
        <v>4899</v>
      </c>
      <c r="G1347" s="38" t="s">
        <v>43</v>
      </c>
      <c r="H1347" s="38">
        <v>7.45</v>
      </c>
      <c r="I1347" s="38" t="s">
        <v>44</v>
      </c>
      <c r="J1347" s="38" t="s">
        <v>45</v>
      </c>
      <c r="K1347" s="38" t="s">
        <v>4900</v>
      </c>
      <c r="L1347" s="30" t="s">
        <v>58</v>
      </c>
      <c r="M1347" s="38" t="s">
        <v>48</v>
      </c>
      <c r="N1347" s="38" t="s">
        <v>48</v>
      </c>
      <c r="O1347" s="31" t="s">
        <v>390</v>
      </c>
      <c r="P1347" s="28" t="s">
        <v>391</v>
      </c>
      <c r="Q1347" s="38" t="s">
        <v>4234</v>
      </c>
      <c r="R1347" s="38">
        <v>1</v>
      </c>
      <c r="S1347" s="38" t="s">
        <v>3868</v>
      </c>
      <c r="T1347" s="38" t="s">
        <v>53</v>
      </c>
      <c r="U1347" s="38" t="s">
        <v>54</v>
      </c>
      <c r="V1347" s="38" t="s">
        <v>61</v>
      </c>
      <c r="Y1347" s="38">
        <v>48.42</v>
      </c>
      <c r="Z1347" s="38">
        <v>1</v>
      </c>
      <c r="AF1347" s="38"/>
      <c r="AI1347" s="38">
        <v>1</v>
      </c>
      <c r="AJ1347" s="38">
        <v>18</v>
      </c>
      <c r="AK1347" s="14">
        <f t="shared" si="6"/>
        <v>5.5555555555555552E-2</v>
      </c>
      <c r="AM1347" s="38"/>
      <c r="AO1347" s="28"/>
    </row>
    <row r="1348" spans="1:41" ht="12.5">
      <c r="A1348" s="28" t="s">
        <v>4901</v>
      </c>
      <c r="B1348" s="37">
        <v>45837</v>
      </c>
      <c r="C1348" s="29">
        <v>45853</v>
      </c>
      <c r="D1348" s="38" t="s">
        <v>41</v>
      </c>
      <c r="E1348" s="38" t="s">
        <v>4902</v>
      </c>
      <c r="G1348" s="38" t="s">
        <v>43</v>
      </c>
      <c r="H1348" s="38">
        <v>10.85</v>
      </c>
      <c r="I1348" s="38" t="s">
        <v>44</v>
      </c>
      <c r="J1348" s="38" t="s">
        <v>45</v>
      </c>
      <c r="K1348" s="38" t="s">
        <v>4903</v>
      </c>
      <c r="L1348" s="30" t="s">
        <v>58</v>
      </c>
      <c r="M1348" s="38" t="s">
        <v>48</v>
      </c>
      <c r="N1348" s="38" t="s">
        <v>48</v>
      </c>
      <c r="O1348" s="31" t="s">
        <v>396</v>
      </c>
      <c r="P1348" s="28" t="s">
        <v>397</v>
      </c>
      <c r="Q1348" s="38" t="s">
        <v>4505</v>
      </c>
      <c r="R1348" s="38">
        <v>1</v>
      </c>
      <c r="S1348" s="38" t="s">
        <v>59</v>
      </c>
      <c r="T1348" s="38" t="s">
        <v>53</v>
      </c>
      <c r="U1348" s="38" t="s">
        <v>54</v>
      </c>
      <c r="V1348" s="38" t="s">
        <v>55</v>
      </c>
      <c r="Y1348" s="38">
        <v>65.62</v>
      </c>
      <c r="Z1348" s="38">
        <v>1</v>
      </c>
      <c r="AF1348" s="38">
        <v>54.77</v>
      </c>
      <c r="AI1348" s="38">
        <v>1</v>
      </c>
      <c r="AJ1348" s="38">
        <v>8</v>
      </c>
      <c r="AK1348" s="14">
        <f t="shared" si="6"/>
        <v>0.125</v>
      </c>
      <c r="AM1348" s="38"/>
      <c r="AO1348" s="28"/>
    </row>
    <row r="1349" spans="1:41" ht="12.5">
      <c r="A1349" s="28" t="s">
        <v>4904</v>
      </c>
      <c r="B1349" s="37">
        <v>45836</v>
      </c>
      <c r="C1349" s="29">
        <v>45841</v>
      </c>
      <c r="D1349" s="38" t="s">
        <v>41</v>
      </c>
      <c r="E1349" s="38" t="s">
        <v>4905</v>
      </c>
      <c r="G1349" s="38" t="s">
        <v>43</v>
      </c>
      <c r="H1349" s="38">
        <v>10.85</v>
      </c>
      <c r="I1349" s="38" t="s">
        <v>44</v>
      </c>
      <c r="J1349" s="38" t="s">
        <v>45</v>
      </c>
      <c r="K1349" s="38" t="s">
        <v>4906</v>
      </c>
      <c r="L1349" s="30" t="s">
        <v>47</v>
      </c>
      <c r="M1349" s="38" t="s">
        <v>48</v>
      </c>
      <c r="N1349" s="38" t="s">
        <v>48</v>
      </c>
      <c r="O1349" s="31" t="s">
        <v>2548</v>
      </c>
      <c r="P1349" s="28" t="s">
        <v>2549</v>
      </c>
      <c r="Q1349" s="38" t="s">
        <v>4509</v>
      </c>
      <c r="R1349" s="38">
        <v>1</v>
      </c>
      <c r="S1349" s="38" t="s">
        <v>99</v>
      </c>
      <c r="T1349" s="38" t="s">
        <v>53</v>
      </c>
      <c r="U1349" s="38" t="s">
        <v>54</v>
      </c>
      <c r="V1349" s="38" t="s">
        <v>61</v>
      </c>
      <c r="Y1349" s="38">
        <v>74.58</v>
      </c>
      <c r="Z1349" s="38">
        <v>1</v>
      </c>
      <c r="AF1349" s="38"/>
      <c r="AI1349" s="38">
        <v>1</v>
      </c>
      <c r="AK1349" s="14" t="e">
        <f t="shared" si="6"/>
        <v>#DIV/0!</v>
      </c>
      <c r="AM1349" s="38"/>
      <c r="AO1349" s="28"/>
    </row>
    <row r="1350" spans="1:41" ht="12.5">
      <c r="A1350" s="28" t="s">
        <v>4907</v>
      </c>
      <c r="B1350" s="37">
        <v>45842</v>
      </c>
      <c r="C1350" s="29">
        <v>45849</v>
      </c>
      <c r="D1350" s="38" t="s">
        <v>41</v>
      </c>
      <c r="E1350" s="38" t="s">
        <v>4908</v>
      </c>
      <c r="G1350" s="38" t="s">
        <v>43</v>
      </c>
      <c r="H1350" s="38">
        <v>69.7</v>
      </c>
      <c r="I1350" s="38" t="s">
        <v>44</v>
      </c>
      <c r="J1350" s="38" t="s">
        <v>45</v>
      </c>
      <c r="K1350" s="38" t="s">
        <v>4909</v>
      </c>
      <c r="L1350" s="30" t="s">
        <v>47</v>
      </c>
      <c r="M1350" s="38" t="s">
        <v>48</v>
      </c>
      <c r="N1350" s="38" t="s">
        <v>48</v>
      </c>
      <c r="O1350" s="31" t="s">
        <v>412</v>
      </c>
      <c r="P1350" s="28" t="s">
        <v>413</v>
      </c>
      <c r="Q1350" s="38" t="s">
        <v>1193</v>
      </c>
      <c r="R1350" s="38">
        <v>1</v>
      </c>
      <c r="S1350" s="38" t="s">
        <v>92</v>
      </c>
      <c r="T1350" s="38" t="s">
        <v>53</v>
      </c>
      <c r="U1350" s="38" t="s">
        <v>54</v>
      </c>
      <c r="V1350" s="38" t="s">
        <v>61</v>
      </c>
      <c r="Y1350" s="38">
        <v>190.06</v>
      </c>
      <c r="Z1350" s="38">
        <v>1</v>
      </c>
      <c r="AF1350" s="38"/>
      <c r="AI1350" s="38">
        <v>1</v>
      </c>
      <c r="AJ1350" s="38">
        <v>8</v>
      </c>
      <c r="AK1350" s="14">
        <f t="shared" si="6"/>
        <v>0.125</v>
      </c>
      <c r="AM1350" s="38"/>
      <c r="AO1350" s="28" t="s">
        <v>4910</v>
      </c>
    </row>
    <row r="1351" spans="1:41" ht="12.5">
      <c r="A1351" s="28" t="s">
        <v>4911</v>
      </c>
      <c r="B1351" s="37">
        <v>45832</v>
      </c>
      <c r="C1351" s="29">
        <v>45845</v>
      </c>
      <c r="D1351" s="38" t="s">
        <v>41</v>
      </c>
      <c r="E1351" s="38" t="s">
        <v>4912</v>
      </c>
      <c r="G1351" s="38" t="s">
        <v>43</v>
      </c>
      <c r="H1351" s="38">
        <v>7.21</v>
      </c>
      <c r="I1351" s="38" t="s">
        <v>44</v>
      </c>
      <c r="J1351" s="38" t="s">
        <v>45</v>
      </c>
      <c r="K1351" s="38" t="s">
        <v>4913</v>
      </c>
      <c r="L1351" s="30" t="s">
        <v>47</v>
      </c>
      <c r="M1351" s="38" t="s">
        <v>48</v>
      </c>
      <c r="N1351" s="38" t="s">
        <v>48</v>
      </c>
      <c r="O1351" s="31" t="s">
        <v>2230</v>
      </c>
      <c r="P1351" s="28" t="s">
        <v>2231</v>
      </c>
      <c r="Q1351" s="38" t="s">
        <v>4732</v>
      </c>
      <c r="R1351" s="38">
        <v>1</v>
      </c>
      <c r="S1351" s="38" t="s">
        <v>52</v>
      </c>
      <c r="T1351" s="38" t="s">
        <v>53</v>
      </c>
      <c r="U1351" s="38" t="s">
        <v>54</v>
      </c>
      <c r="V1351" s="38" t="s">
        <v>61</v>
      </c>
      <c r="Y1351" s="38">
        <v>84.23</v>
      </c>
      <c r="Z1351" s="38">
        <v>1</v>
      </c>
      <c r="AF1351" s="38"/>
      <c r="AI1351" s="38">
        <v>1</v>
      </c>
      <c r="AJ1351" s="38">
        <v>6</v>
      </c>
      <c r="AK1351" s="14">
        <f t="shared" si="6"/>
        <v>0.16666666666666666</v>
      </c>
      <c r="AM1351" s="38"/>
      <c r="AO1351" s="51" t="s">
        <v>4914</v>
      </c>
    </row>
    <row r="1352" spans="1:41" ht="12.5">
      <c r="A1352" s="28" t="s">
        <v>4915</v>
      </c>
      <c r="B1352" s="37">
        <v>45847</v>
      </c>
      <c r="C1352" s="29">
        <v>45850</v>
      </c>
      <c r="D1352" s="38" t="s">
        <v>41</v>
      </c>
      <c r="E1352" s="38" t="s">
        <v>4916</v>
      </c>
      <c r="G1352" s="38" t="s">
        <v>43</v>
      </c>
      <c r="H1352" s="38">
        <v>9.8000000000000007</v>
      </c>
      <c r="I1352" s="38" t="s">
        <v>44</v>
      </c>
      <c r="J1352" s="38" t="s">
        <v>45</v>
      </c>
      <c r="K1352" s="38" t="s">
        <v>4917</v>
      </c>
      <c r="L1352" s="30" t="s">
        <v>58</v>
      </c>
      <c r="M1352" s="38" t="s">
        <v>48</v>
      </c>
      <c r="N1352" s="38" t="s">
        <v>48</v>
      </c>
      <c r="O1352" s="31" t="s">
        <v>2554</v>
      </c>
      <c r="P1352" s="28" t="s">
        <v>2555</v>
      </c>
      <c r="Q1352" s="38" t="s">
        <v>2556</v>
      </c>
      <c r="R1352" s="38">
        <v>1</v>
      </c>
      <c r="S1352" s="38" t="s">
        <v>3868</v>
      </c>
      <c r="T1352" s="38" t="s">
        <v>53</v>
      </c>
      <c r="U1352" s="38" t="s">
        <v>54</v>
      </c>
      <c r="V1352" s="38" t="s">
        <v>55</v>
      </c>
      <c r="Y1352" s="38">
        <v>78.260000000000005</v>
      </c>
      <c r="Z1352" s="38">
        <v>1</v>
      </c>
      <c r="AF1352" s="38">
        <v>68.459999999999994</v>
      </c>
      <c r="AI1352" s="38">
        <v>1</v>
      </c>
      <c r="AJ1352" s="38">
        <v>8</v>
      </c>
      <c r="AK1352" s="14">
        <f t="shared" si="6"/>
        <v>0.125</v>
      </c>
      <c r="AM1352" s="38"/>
      <c r="AO1352" s="28"/>
    </row>
    <row r="1353" spans="1:41" ht="12.5">
      <c r="A1353" s="28" t="s">
        <v>4918</v>
      </c>
      <c r="B1353" s="37">
        <v>45837</v>
      </c>
      <c r="C1353" s="29">
        <v>45839</v>
      </c>
      <c r="D1353" s="38" t="s">
        <v>41</v>
      </c>
      <c r="E1353" s="38" t="s">
        <v>4919</v>
      </c>
      <c r="G1353" s="38" t="s">
        <v>43</v>
      </c>
      <c r="H1353" s="38">
        <v>14.23</v>
      </c>
      <c r="I1353" s="38" t="s">
        <v>44</v>
      </c>
      <c r="J1353" s="38" t="s">
        <v>45</v>
      </c>
      <c r="K1353" s="38" t="s">
        <v>4920</v>
      </c>
      <c r="L1353" s="30" t="s">
        <v>58</v>
      </c>
      <c r="M1353" s="38" t="s">
        <v>48</v>
      </c>
      <c r="N1353" s="38" t="s">
        <v>48</v>
      </c>
      <c r="O1353" s="31" t="s">
        <v>1214</v>
      </c>
      <c r="P1353" s="28" t="s">
        <v>1215</v>
      </c>
      <c r="Q1353" s="38" t="s">
        <v>1216</v>
      </c>
      <c r="R1353" s="38">
        <v>1</v>
      </c>
      <c r="S1353" s="38" t="s">
        <v>3878</v>
      </c>
      <c r="T1353" s="38" t="s">
        <v>53</v>
      </c>
      <c r="U1353" s="38" t="s">
        <v>54</v>
      </c>
      <c r="V1353" s="38" t="s">
        <v>55</v>
      </c>
      <c r="Y1353" s="38">
        <v>72.819999999999993</v>
      </c>
      <c r="Z1353" s="38">
        <v>1</v>
      </c>
      <c r="AF1353" s="38">
        <v>58.59</v>
      </c>
      <c r="AI1353" s="38">
        <v>1</v>
      </c>
      <c r="AJ1353" s="38">
        <v>6</v>
      </c>
      <c r="AK1353" s="14">
        <f t="shared" si="6"/>
        <v>0.16666666666666666</v>
      </c>
      <c r="AM1353" s="38"/>
      <c r="AO1353" s="28"/>
    </row>
    <row r="1354" spans="1:41" ht="12.5">
      <c r="A1354" s="28" t="s">
        <v>4921</v>
      </c>
      <c r="B1354" s="37">
        <v>45848</v>
      </c>
      <c r="C1354" s="29">
        <v>45853</v>
      </c>
      <c r="D1354" s="38" t="s">
        <v>41</v>
      </c>
      <c r="E1354" s="38" t="s">
        <v>4922</v>
      </c>
      <c r="G1354" s="38" t="s">
        <v>43</v>
      </c>
      <c r="H1354" s="38">
        <v>11.96</v>
      </c>
      <c r="I1354" s="38" t="s">
        <v>44</v>
      </c>
      <c r="J1354" s="38" t="s">
        <v>45</v>
      </c>
      <c r="K1354" s="38" t="s">
        <v>4923</v>
      </c>
      <c r="L1354" s="30" t="s">
        <v>47</v>
      </c>
      <c r="M1354" s="38" t="s">
        <v>48</v>
      </c>
      <c r="N1354" s="38" t="s">
        <v>48</v>
      </c>
      <c r="O1354" s="31" t="s">
        <v>4924</v>
      </c>
      <c r="P1354" s="28" t="s">
        <v>4925</v>
      </c>
      <c r="Q1354" s="38" t="s">
        <v>4926</v>
      </c>
      <c r="R1354" s="38">
        <v>1</v>
      </c>
      <c r="S1354" s="38" t="s">
        <v>99</v>
      </c>
      <c r="T1354" s="38" t="s">
        <v>53</v>
      </c>
      <c r="U1354" s="38" t="s">
        <v>54</v>
      </c>
      <c r="V1354" s="38" t="s">
        <v>61</v>
      </c>
      <c r="Y1354" s="38">
        <v>123.31</v>
      </c>
      <c r="Z1354" s="38">
        <v>1</v>
      </c>
      <c r="AF1354" s="38"/>
      <c r="AI1354" s="38">
        <v>1</v>
      </c>
      <c r="AJ1354" s="38">
        <v>1</v>
      </c>
      <c r="AK1354" s="14">
        <f t="shared" si="6"/>
        <v>1</v>
      </c>
      <c r="AM1354" s="38"/>
      <c r="AO1354" s="28"/>
    </row>
    <row r="1355" spans="1:41" ht="12.5">
      <c r="A1355" s="28" t="s">
        <v>4927</v>
      </c>
      <c r="B1355" s="37">
        <v>45844</v>
      </c>
      <c r="C1355" s="29">
        <v>45848</v>
      </c>
      <c r="D1355" s="38" t="s">
        <v>41</v>
      </c>
      <c r="E1355" s="38" t="s">
        <v>4928</v>
      </c>
      <c r="G1355" s="38" t="s">
        <v>43</v>
      </c>
      <c r="H1355" s="38">
        <v>17.77</v>
      </c>
      <c r="I1355" s="38" t="s">
        <v>44</v>
      </c>
      <c r="J1355" s="38" t="s">
        <v>45</v>
      </c>
      <c r="K1355" s="38" t="s">
        <v>4929</v>
      </c>
      <c r="L1355" s="30" t="s">
        <v>58</v>
      </c>
      <c r="M1355" s="38" t="s">
        <v>48</v>
      </c>
      <c r="N1355" s="38" t="s">
        <v>48</v>
      </c>
      <c r="O1355" s="31" t="s">
        <v>437</v>
      </c>
      <c r="P1355" s="28" t="s">
        <v>438</v>
      </c>
      <c r="Q1355" s="38" t="s">
        <v>2246</v>
      </c>
      <c r="R1355" s="38">
        <v>1</v>
      </c>
      <c r="S1355" s="38" t="s">
        <v>3868</v>
      </c>
      <c r="T1355" s="38" t="s">
        <v>53</v>
      </c>
      <c r="U1355" s="38" t="s">
        <v>54</v>
      </c>
      <c r="V1355" s="38" t="s">
        <v>61</v>
      </c>
      <c r="Y1355" s="38">
        <v>125.31</v>
      </c>
      <c r="Z1355" s="38">
        <v>1</v>
      </c>
      <c r="AF1355" s="38"/>
      <c r="AI1355" s="38">
        <v>1</v>
      </c>
      <c r="AJ1355" s="38">
        <v>4</v>
      </c>
      <c r="AK1355" s="14">
        <f t="shared" si="6"/>
        <v>0.25</v>
      </c>
      <c r="AM1355" s="38"/>
      <c r="AO1355" s="28"/>
    </row>
    <row r="1356" spans="1:41" ht="12.5">
      <c r="A1356" s="28" t="s">
        <v>4930</v>
      </c>
      <c r="B1356" s="37">
        <v>45834</v>
      </c>
      <c r="C1356" s="29">
        <v>45843</v>
      </c>
      <c r="D1356" s="38" t="s">
        <v>41</v>
      </c>
      <c r="E1356" s="38" t="s">
        <v>4931</v>
      </c>
      <c r="G1356" s="38" t="s">
        <v>43</v>
      </c>
      <c r="H1356" s="38">
        <v>10.85</v>
      </c>
      <c r="I1356" s="38" t="s">
        <v>44</v>
      </c>
      <c r="J1356" s="38" t="s">
        <v>45</v>
      </c>
      <c r="K1356" s="38" t="s">
        <v>4932</v>
      </c>
      <c r="L1356" s="30" t="s">
        <v>58</v>
      </c>
      <c r="M1356" s="38" t="s">
        <v>48</v>
      </c>
      <c r="N1356" s="38" t="s">
        <v>48</v>
      </c>
      <c r="O1356" s="31" t="s">
        <v>3745</v>
      </c>
      <c r="P1356" s="28" t="s">
        <v>3746</v>
      </c>
      <c r="Q1356" s="38" t="s">
        <v>3747</v>
      </c>
      <c r="R1356" s="38">
        <v>1</v>
      </c>
      <c r="S1356" s="38" t="s">
        <v>75</v>
      </c>
      <c r="T1356" s="38" t="s">
        <v>53</v>
      </c>
      <c r="U1356" s="38" t="s">
        <v>54</v>
      </c>
      <c r="V1356" s="38" t="s">
        <v>55</v>
      </c>
      <c r="Y1356" s="38">
        <v>86.59</v>
      </c>
      <c r="Z1356" s="38">
        <v>1</v>
      </c>
      <c r="AF1356" s="38">
        <v>75.739999999999995</v>
      </c>
      <c r="AI1356" s="38">
        <v>1</v>
      </c>
      <c r="AJ1356" s="38">
        <v>1</v>
      </c>
      <c r="AK1356" s="14">
        <f t="shared" si="6"/>
        <v>1</v>
      </c>
      <c r="AM1356" s="38"/>
      <c r="AO1356" s="28"/>
    </row>
    <row r="1357" spans="1:41" ht="12.5">
      <c r="A1357" s="28" t="s">
        <v>4933</v>
      </c>
      <c r="B1357" s="37">
        <v>45822</v>
      </c>
      <c r="C1357" s="29">
        <v>45844</v>
      </c>
      <c r="D1357" s="38" t="s">
        <v>41</v>
      </c>
      <c r="E1357" s="38" t="s">
        <v>4934</v>
      </c>
      <c r="G1357" s="38" t="s">
        <v>43</v>
      </c>
      <c r="H1357" s="38">
        <v>14.29</v>
      </c>
      <c r="I1357" s="38" t="s">
        <v>44</v>
      </c>
      <c r="J1357" s="38" t="s">
        <v>45</v>
      </c>
      <c r="K1357" s="38" t="s">
        <v>4935</v>
      </c>
      <c r="L1357" s="30" t="s">
        <v>58</v>
      </c>
      <c r="M1357" s="38" t="s">
        <v>48</v>
      </c>
      <c r="N1357" s="38" t="s">
        <v>48</v>
      </c>
      <c r="O1357" s="31" t="s">
        <v>4936</v>
      </c>
      <c r="P1357" s="28" t="s">
        <v>4937</v>
      </c>
      <c r="Q1357" s="38" t="s">
        <v>4938</v>
      </c>
      <c r="R1357" s="38">
        <v>1</v>
      </c>
      <c r="S1357" s="38" t="s">
        <v>306</v>
      </c>
      <c r="T1357" s="38" t="s">
        <v>53</v>
      </c>
      <c r="U1357" s="38" t="s">
        <v>54</v>
      </c>
      <c r="V1357" s="38" t="s">
        <v>55</v>
      </c>
      <c r="Y1357" s="38">
        <v>111.2</v>
      </c>
      <c r="Z1357" s="38">
        <v>1</v>
      </c>
      <c r="AF1357" s="38">
        <v>96.91</v>
      </c>
      <c r="AI1357" s="38">
        <v>1</v>
      </c>
      <c r="AJ1357" s="38">
        <v>1</v>
      </c>
      <c r="AK1357" s="14">
        <f t="shared" si="6"/>
        <v>1</v>
      </c>
      <c r="AM1357" s="38"/>
      <c r="AO1357" s="28"/>
    </row>
    <row r="1358" spans="1:41" ht="12.5">
      <c r="A1358" s="28" t="s">
        <v>4939</v>
      </c>
      <c r="B1358" s="37">
        <v>45837</v>
      </c>
      <c r="C1358" s="29">
        <v>45846</v>
      </c>
      <c r="D1358" s="38" t="s">
        <v>41</v>
      </c>
      <c r="E1358" s="38" t="s">
        <v>4940</v>
      </c>
      <c r="G1358" s="38" t="s">
        <v>43</v>
      </c>
      <c r="H1358" s="38">
        <v>8.0299999999999994</v>
      </c>
      <c r="I1358" s="38" t="s">
        <v>44</v>
      </c>
      <c r="J1358" s="38" t="s">
        <v>45</v>
      </c>
      <c r="K1358" s="38" t="s">
        <v>4941</v>
      </c>
      <c r="L1358" s="30" t="s">
        <v>58</v>
      </c>
      <c r="M1358" s="38" t="s">
        <v>48</v>
      </c>
      <c r="N1358" s="38" t="s">
        <v>48</v>
      </c>
      <c r="O1358" s="31" t="s">
        <v>455</v>
      </c>
      <c r="P1358" s="28" t="s">
        <v>456</v>
      </c>
      <c r="Q1358" s="38" t="s">
        <v>4530</v>
      </c>
      <c r="R1358" s="38">
        <v>1</v>
      </c>
      <c r="S1358" s="38" t="s">
        <v>3868</v>
      </c>
      <c r="T1358" s="38" t="s">
        <v>53</v>
      </c>
      <c r="U1358" s="38" t="s">
        <v>54</v>
      </c>
      <c r="V1358" s="38" t="s">
        <v>55</v>
      </c>
      <c r="Y1358" s="38">
        <v>75.2</v>
      </c>
      <c r="Z1358" s="38">
        <v>1</v>
      </c>
      <c r="AF1358" s="38">
        <v>67.17</v>
      </c>
      <c r="AI1358" s="38">
        <v>1</v>
      </c>
      <c r="AJ1358" s="38">
        <v>10</v>
      </c>
      <c r="AK1358" s="14">
        <f t="shared" si="6"/>
        <v>0.1</v>
      </c>
      <c r="AM1358" s="38"/>
      <c r="AO1358" s="28"/>
    </row>
    <row r="1359" spans="1:41" ht="12.5">
      <c r="A1359" s="28" t="s">
        <v>4942</v>
      </c>
      <c r="B1359" s="37">
        <v>45838</v>
      </c>
      <c r="C1359" s="29">
        <v>45841</v>
      </c>
      <c r="D1359" s="38" t="s">
        <v>41</v>
      </c>
      <c r="E1359" s="38" t="s">
        <v>4943</v>
      </c>
      <c r="G1359" s="38" t="s">
        <v>43</v>
      </c>
      <c r="H1359" s="38">
        <v>10.57</v>
      </c>
      <c r="I1359" s="38" t="s">
        <v>44</v>
      </c>
      <c r="J1359" s="38" t="s">
        <v>45</v>
      </c>
      <c r="K1359" s="38" t="s">
        <v>4944</v>
      </c>
      <c r="L1359" s="30" t="s">
        <v>58</v>
      </c>
      <c r="M1359" s="38" t="s">
        <v>48</v>
      </c>
      <c r="N1359" s="38" t="s">
        <v>48</v>
      </c>
      <c r="O1359" s="31" t="s">
        <v>1259</v>
      </c>
      <c r="P1359" s="28" t="s">
        <v>1260</v>
      </c>
      <c r="Q1359" s="38" t="s">
        <v>1261</v>
      </c>
      <c r="R1359" s="38">
        <v>1</v>
      </c>
      <c r="S1359" s="38" t="s">
        <v>3868</v>
      </c>
      <c r="T1359" s="38" t="s">
        <v>53</v>
      </c>
      <c r="U1359" s="38" t="s">
        <v>54</v>
      </c>
      <c r="V1359" s="38" t="s">
        <v>55</v>
      </c>
      <c r="Y1359" s="38">
        <v>64.56</v>
      </c>
      <c r="Z1359" s="38">
        <v>1</v>
      </c>
      <c r="AF1359" s="38">
        <v>53.99</v>
      </c>
      <c r="AI1359" s="38">
        <v>1</v>
      </c>
      <c r="AJ1359" s="38">
        <v>4</v>
      </c>
      <c r="AK1359" s="14">
        <f t="shared" si="6"/>
        <v>0.25</v>
      </c>
      <c r="AM1359" s="38"/>
      <c r="AO1359" s="28"/>
    </row>
    <row r="1360" spans="1:41" ht="12.5">
      <c r="A1360" s="28" t="s">
        <v>4945</v>
      </c>
      <c r="B1360" s="37">
        <v>45839</v>
      </c>
      <c r="C1360" s="29">
        <v>45846</v>
      </c>
      <c r="D1360" s="38" t="s">
        <v>41</v>
      </c>
      <c r="E1360" s="38" t="s">
        <v>4946</v>
      </c>
      <c r="G1360" s="38" t="s">
        <v>43</v>
      </c>
      <c r="H1360" s="38">
        <v>13.81</v>
      </c>
      <c r="I1360" s="38" t="s">
        <v>44</v>
      </c>
      <c r="J1360" s="38" t="s">
        <v>45</v>
      </c>
      <c r="K1360" s="38" t="s">
        <v>4947</v>
      </c>
      <c r="L1360" s="30" t="s">
        <v>58</v>
      </c>
      <c r="M1360" s="38" t="s">
        <v>48</v>
      </c>
      <c r="N1360" s="38" t="s">
        <v>48</v>
      </c>
      <c r="O1360" s="31" t="s">
        <v>463</v>
      </c>
      <c r="P1360" s="28" t="s">
        <v>464</v>
      </c>
      <c r="Q1360" s="38" t="s">
        <v>4948</v>
      </c>
      <c r="R1360" s="38">
        <v>1</v>
      </c>
      <c r="S1360" s="38" t="s">
        <v>3878</v>
      </c>
      <c r="T1360" s="38" t="s">
        <v>53</v>
      </c>
      <c r="U1360" s="38" t="s">
        <v>54</v>
      </c>
      <c r="V1360" s="38" t="s">
        <v>55</v>
      </c>
      <c r="Y1360" s="38">
        <v>79.66</v>
      </c>
      <c r="Z1360" s="38">
        <v>1</v>
      </c>
      <c r="AF1360" s="38">
        <v>65.849999999999994</v>
      </c>
      <c r="AI1360" s="38">
        <v>1</v>
      </c>
      <c r="AJ1360" s="38">
        <v>6</v>
      </c>
      <c r="AK1360" s="14">
        <f t="shared" si="6"/>
        <v>0.16666666666666666</v>
      </c>
      <c r="AM1360" s="38"/>
      <c r="AO1360" s="28"/>
    </row>
    <row r="1361" spans="1:41" ht="12.5">
      <c r="A1361" s="28" t="s">
        <v>4949</v>
      </c>
      <c r="B1361" s="37">
        <v>45846</v>
      </c>
      <c r="C1361" s="29">
        <v>45852</v>
      </c>
      <c r="D1361" s="38" t="s">
        <v>41</v>
      </c>
      <c r="E1361" s="38" t="s">
        <v>4950</v>
      </c>
      <c r="G1361" s="38" t="s">
        <v>43</v>
      </c>
      <c r="H1361" s="38">
        <v>9.8000000000000007</v>
      </c>
      <c r="I1361" s="38" t="s">
        <v>44</v>
      </c>
      <c r="J1361" s="38" t="s">
        <v>45</v>
      </c>
      <c r="K1361" s="38" t="s">
        <v>4951</v>
      </c>
      <c r="L1361" s="30" t="s">
        <v>58</v>
      </c>
      <c r="M1361" s="38" t="s">
        <v>48</v>
      </c>
      <c r="N1361" s="38" t="s">
        <v>48</v>
      </c>
      <c r="O1361" s="31" t="s">
        <v>4952</v>
      </c>
      <c r="P1361" s="28" t="s">
        <v>4953</v>
      </c>
      <c r="Q1361" s="38" t="s">
        <v>4954</v>
      </c>
      <c r="R1361" s="38">
        <v>1</v>
      </c>
      <c r="S1361" s="38" t="s">
        <v>59</v>
      </c>
      <c r="T1361" s="38" t="s">
        <v>53</v>
      </c>
      <c r="U1361" s="38" t="s">
        <v>54</v>
      </c>
      <c r="V1361" s="38" t="s">
        <v>55</v>
      </c>
      <c r="Y1361" s="38">
        <v>85.52</v>
      </c>
      <c r="Z1361" s="38">
        <v>1</v>
      </c>
      <c r="AF1361" s="38">
        <v>75.72</v>
      </c>
      <c r="AI1361" s="38">
        <v>1</v>
      </c>
      <c r="AJ1361" s="38">
        <v>5</v>
      </c>
      <c r="AK1361" s="14">
        <f t="shared" si="6"/>
        <v>0.2</v>
      </c>
      <c r="AM1361" s="38"/>
      <c r="AO1361" s="28"/>
    </row>
    <row r="1362" spans="1:41" ht="12.5">
      <c r="A1362" s="28" t="s">
        <v>4955</v>
      </c>
      <c r="B1362" s="37">
        <v>45839</v>
      </c>
      <c r="C1362" s="29">
        <v>45846</v>
      </c>
      <c r="D1362" s="38" t="s">
        <v>41</v>
      </c>
      <c r="E1362" s="38" t="s">
        <v>4956</v>
      </c>
      <c r="G1362" s="38" t="s">
        <v>43</v>
      </c>
      <c r="H1362" s="38">
        <v>14.29</v>
      </c>
      <c r="I1362" s="38" t="s">
        <v>44</v>
      </c>
      <c r="J1362" s="38" t="s">
        <v>45</v>
      </c>
      <c r="K1362" s="38" t="s">
        <v>4957</v>
      </c>
      <c r="L1362" s="30" t="s">
        <v>58</v>
      </c>
      <c r="M1362" s="38" t="s">
        <v>48</v>
      </c>
      <c r="N1362" s="38" t="s">
        <v>48</v>
      </c>
      <c r="O1362" s="31" t="s">
        <v>3112</v>
      </c>
      <c r="P1362" s="28" t="s">
        <v>3113</v>
      </c>
      <c r="Q1362" s="38" t="s">
        <v>3114</v>
      </c>
      <c r="R1362" s="38">
        <v>1</v>
      </c>
      <c r="S1362" s="38" t="s">
        <v>3868</v>
      </c>
      <c r="T1362" s="38" t="s">
        <v>53</v>
      </c>
      <c r="U1362" s="38" t="s">
        <v>54</v>
      </c>
      <c r="V1362" s="38" t="s">
        <v>61</v>
      </c>
      <c r="Y1362" s="38">
        <v>126.26</v>
      </c>
      <c r="Z1362" s="38">
        <v>1</v>
      </c>
      <c r="AF1362" s="38"/>
      <c r="AI1362" s="38">
        <v>1</v>
      </c>
      <c r="AJ1362" s="38">
        <v>1</v>
      </c>
      <c r="AK1362" s="14">
        <f t="shared" si="6"/>
        <v>1</v>
      </c>
      <c r="AM1362" s="38"/>
      <c r="AO1362" s="28"/>
    </row>
    <row r="1363" spans="1:41" ht="12.5">
      <c r="A1363" s="28" t="s">
        <v>4958</v>
      </c>
      <c r="B1363" s="37">
        <v>45836</v>
      </c>
      <c r="C1363" s="29">
        <v>45844</v>
      </c>
      <c r="D1363" s="38" t="s">
        <v>41</v>
      </c>
      <c r="E1363" s="38" t="s">
        <v>4959</v>
      </c>
      <c r="G1363" s="38" t="s">
        <v>43</v>
      </c>
      <c r="H1363" s="38">
        <v>20.9</v>
      </c>
      <c r="I1363" s="38" t="s">
        <v>44</v>
      </c>
      <c r="J1363" s="38" t="s">
        <v>45</v>
      </c>
      <c r="K1363" s="38" t="s">
        <v>4960</v>
      </c>
      <c r="L1363" s="30" t="s">
        <v>47</v>
      </c>
      <c r="M1363" s="38" t="s">
        <v>48</v>
      </c>
      <c r="N1363" s="38" t="s">
        <v>48</v>
      </c>
      <c r="O1363" s="31" t="s">
        <v>551</v>
      </c>
      <c r="P1363" s="28" t="s">
        <v>552</v>
      </c>
      <c r="Q1363" s="38" t="s">
        <v>553</v>
      </c>
      <c r="R1363" s="38">
        <v>1</v>
      </c>
      <c r="S1363" s="38" t="s">
        <v>99</v>
      </c>
      <c r="T1363" s="38" t="s">
        <v>53</v>
      </c>
      <c r="U1363" s="38" t="s">
        <v>54</v>
      </c>
      <c r="V1363" s="38" t="s">
        <v>55</v>
      </c>
      <c r="Y1363" s="38">
        <v>98.83</v>
      </c>
      <c r="Z1363" s="38">
        <v>1</v>
      </c>
      <c r="AF1363" s="38">
        <v>98.83</v>
      </c>
      <c r="AI1363" s="38">
        <v>2</v>
      </c>
      <c r="AK1363" s="14" t="e">
        <f t="shared" si="6"/>
        <v>#DIV/0!</v>
      </c>
      <c r="AM1363" s="38"/>
      <c r="AO1363" s="28"/>
    </row>
    <row r="1364" spans="1:41" ht="12.5">
      <c r="A1364" s="28" t="s">
        <v>4961</v>
      </c>
      <c r="B1364" s="37">
        <v>45834</v>
      </c>
      <c r="C1364" s="29">
        <v>45840</v>
      </c>
      <c r="D1364" s="38" t="s">
        <v>41</v>
      </c>
      <c r="E1364" s="38" t="s">
        <v>4962</v>
      </c>
      <c r="G1364" s="38" t="s">
        <v>43</v>
      </c>
      <c r="H1364" s="38">
        <v>20.9</v>
      </c>
      <c r="I1364" s="38" t="s">
        <v>44</v>
      </c>
      <c r="J1364" s="38" t="s">
        <v>45</v>
      </c>
      <c r="K1364" s="38" t="s">
        <v>4963</v>
      </c>
      <c r="L1364" s="30" t="s">
        <v>47</v>
      </c>
      <c r="M1364" s="38" t="s">
        <v>48</v>
      </c>
      <c r="N1364" s="38" t="s">
        <v>48</v>
      </c>
      <c r="O1364" s="31" t="s">
        <v>551</v>
      </c>
      <c r="P1364" s="28" t="s">
        <v>552</v>
      </c>
      <c r="Q1364" s="38" t="s">
        <v>553</v>
      </c>
      <c r="R1364" s="38">
        <v>1</v>
      </c>
      <c r="S1364" s="38" t="s">
        <v>99</v>
      </c>
      <c r="T1364" s="38" t="s">
        <v>53</v>
      </c>
      <c r="U1364" s="38" t="s">
        <v>54</v>
      </c>
      <c r="V1364" s="38" t="s">
        <v>61</v>
      </c>
      <c r="Y1364" s="38">
        <v>99.43</v>
      </c>
      <c r="Z1364" s="38">
        <v>1</v>
      </c>
      <c r="AF1364" s="38"/>
      <c r="AK1364" s="14" t="e">
        <f t="shared" si="6"/>
        <v>#DIV/0!</v>
      </c>
      <c r="AM1364" s="38"/>
      <c r="AO1364" s="28"/>
    </row>
    <row r="1365" spans="1:41" ht="12.5">
      <c r="A1365" s="28" t="s">
        <v>4964</v>
      </c>
      <c r="B1365" s="37">
        <v>45831</v>
      </c>
      <c r="C1365" s="29">
        <v>45853</v>
      </c>
      <c r="D1365" s="38" t="s">
        <v>41</v>
      </c>
      <c r="E1365" s="38" t="s">
        <v>4965</v>
      </c>
      <c r="G1365" s="38" t="s">
        <v>43</v>
      </c>
      <c r="H1365" s="38">
        <v>17.77</v>
      </c>
      <c r="I1365" s="38" t="s">
        <v>44</v>
      </c>
      <c r="J1365" s="38" t="s">
        <v>45</v>
      </c>
      <c r="K1365" s="38" t="s">
        <v>4966</v>
      </c>
      <c r="L1365" s="30" t="s">
        <v>58</v>
      </c>
      <c r="M1365" s="38" t="s">
        <v>48</v>
      </c>
      <c r="N1365" s="38" t="s">
        <v>48</v>
      </c>
      <c r="O1365" s="31" t="s">
        <v>2617</v>
      </c>
      <c r="P1365" s="28" t="s">
        <v>2618</v>
      </c>
      <c r="Q1365" s="38" t="s">
        <v>2619</v>
      </c>
      <c r="R1365" s="38">
        <v>1</v>
      </c>
      <c r="S1365" s="38" t="s">
        <v>68</v>
      </c>
      <c r="T1365" s="38" t="s">
        <v>53</v>
      </c>
      <c r="U1365" s="38" t="s">
        <v>54</v>
      </c>
      <c r="V1365" s="38" t="s">
        <v>61</v>
      </c>
      <c r="Y1365" s="38"/>
      <c r="Z1365" s="38">
        <v>1</v>
      </c>
      <c r="AF1365" s="38"/>
      <c r="AI1365" s="38">
        <v>2</v>
      </c>
      <c r="AJ1365" s="38">
        <v>1</v>
      </c>
      <c r="AK1365" s="14">
        <f t="shared" si="6"/>
        <v>2</v>
      </c>
      <c r="AM1365" s="38"/>
      <c r="AO1365" s="28"/>
    </row>
    <row r="1366" spans="1:41" ht="12.5">
      <c r="A1366" s="28" t="s">
        <v>4967</v>
      </c>
      <c r="B1366" s="37">
        <v>45843</v>
      </c>
      <c r="C1366" s="29">
        <v>45849</v>
      </c>
      <c r="D1366" s="38" t="s">
        <v>41</v>
      </c>
      <c r="E1366" s="38" t="s">
        <v>4968</v>
      </c>
      <c r="G1366" s="38" t="s">
        <v>43</v>
      </c>
      <c r="H1366" s="38">
        <v>17.77</v>
      </c>
      <c r="I1366" s="38" t="s">
        <v>44</v>
      </c>
      <c r="J1366" s="38" t="s">
        <v>45</v>
      </c>
      <c r="K1366" s="38" t="s">
        <v>4969</v>
      </c>
      <c r="L1366" s="30" t="s">
        <v>58</v>
      </c>
      <c r="M1366" s="38" t="s">
        <v>48</v>
      </c>
      <c r="N1366" s="38" t="s">
        <v>48</v>
      </c>
      <c r="O1366" s="31" t="s">
        <v>2617</v>
      </c>
      <c r="P1366" s="28" t="s">
        <v>2618</v>
      </c>
      <c r="Q1366" s="38" t="s">
        <v>2619</v>
      </c>
      <c r="R1366" s="38">
        <v>1</v>
      </c>
      <c r="S1366" s="38" t="s">
        <v>75</v>
      </c>
      <c r="T1366" s="38" t="s">
        <v>53</v>
      </c>
      <c r="U1366" s="38" t="s">
        <v>54</v>
      </c>
      <c r="V1366" s="38" t="s">
        <v>55</v>
      </c>
      <c r="Y1366" s="38">
        <v>100.24</v>
      </c>
      <c r="Z1366" s="38">
        <v>1</v>
      </c>
      <c r="AF1366" s="38">
        <v>82.47</v>
      </c>
      <c r="AK1366" s="14" t="e">
        <f t="shared" si="6"/>
        <v>#DIV/0!</v>
      </c>
      <c r="AM1366" s="38"/>
      <c r="AO1366" s="28"/>
    </row>
    <row r="1367" spans="1:41" ht="12.5">
      <c r="A1367" s="28" t="s">
        <v>4970</v>
      </c>
      <c r="B1367" s="37">
        <v>45847</v>
      </c>
      <c r="C1367" s="29">
        <v>45853</v>
      </c>
      <c r="D1367" s="38" t="s">
        <v>41</v>
      </c>
      <c r="E1367" s="38" t="s">
        <v>4971</v>
      </c>
      <c r="G1367" s="38" t="s">
        <v>43</v>
      </c>
      <c r="H1367" s="38">
        <v>11.96</v>
      </c>
      <c r="I1367" s="38" t="s">
        <v>44</v>
      </c>
      <c r="J1367" s="38" t="s">
        <v>45</v>
      </c>
      <c r="K1367" s="38" t="s">
        <v>4972</v>
      </c>
      <c r="L1367" s="30" t="s">
        <v>58</v>
      </c>
      <c r="M1367" s="38" t="s">
        <v>48</v>
      </c>
      <c r="N1367" s="38" t="s">
        <v>48</v>
      </c>
      <c r="O1367" s="31" t="s">
        <v>566</v>
      </c>
      <c r="P1367" s="28" t="s">
        <v>567</v>
      </c>
      <c r="Q1367" s="38" t="s">
        <v>568</v>
      </c>
      <c r="R1367" s="38">
        <v>1</v>
      </c>
      <c r="S1367" s="38" t="s">
        <v>3868</v>
      </c>
      <c r="T1367" s="38" t="s">
        <v>53</v>
      </c>
      <c r="U1367" s="38" t="s">
        <v>54</v>
      </c>
      <c r="V1367" s="38" t="s">
        <v>61</v>
      </c>
      <c r="Y1367" s="38">
        <v>130.44</v>
      </c>
      <c r="Z1367" s="38">
        <v>1</v>
      </c>
      <c r="AF1367" s="38"/>
      <c r="AI1367" s="38">
        <v>1</v>
      </c>
      <c r="AJ1367" s="38">
        <v>2</v>
      </c>
      <c r="AK1367" s="14">
        <f t="shared" si="6"/>
        <v>0.5</v>
      </c>
      <c r="AM1367" s="38"/>
      <c r="AO1367" s="28"/>
    </row>
    <row r="1368" spans="1:41" ht="12.5">
      <c r="A1368" s="28" t="s">
        <v>4973</v>
      </c>
      <c r="B1368" s="37">
        <v>45839</v>
      </c>
      <c r="C1368" s="29">
        <v>45846</v>
      </c>
      <c r="D1368" s="38" t="s">
        <v>41</v>
      </c>
      <c r="E1368" s="38" t="s">
        <v>4974</v>
      </c>
      <c r="G1368" s="38" t="s">
        <v>43</v>
      </c>
      <c r="H1368" s="38">
        <v>11.31</v>
      </c>
      <c r="I1368" s="38" t="s">
        <v>44</v>
      </c>
      <c r="J1368" s="38" t="s">
        <v>45</v>
      </c>
      <c r="K1368" s="38" t="s">
        <v>4975</v>
      </c>
      <c r="L1368" s="30" t="s">
        <v>58</v>
      </c>
      <c r="M1368" s="38" t="s">
        <v>48</v>
      </c>
      <c r="N1368" s="38" t="s">
        <v>48</v>
      </c>
      <c r="O1368" s="31" t="s">
        <v>1366</v>
      </c>
      <c r="P1368" s="28" t="s">
        <v>1367</v>
      </c>
      <c r="Q1368" s="38" t="s">
        <v>1368</v>
      </c>
      <c r="R1368" s="38">
        <v>1</v>
      </c>
      <c r="S1368" s="38" t="s">
        <v>3878</v>
      </c>
      <c r="T1368" s="38" t="s">
        <v>53</v>
      </c>
      <c r="U1368" s="38" t="s">
        <v>54</v>
      </c>
      <c r="V1368" s="38" t="s">
        <v>55</v>
      </c>
      <c r="Y1368" s="38">
        <v>103.2</v>
      </c>
      <c r="Z1368" s="38">
        <v>1</v>
      </c>
      <c r="AF1368" s="38">
        <v>91.89</v>
      </c>
      <c r="AI1368" s="38">
        <v>2</v>
      </c>
      <c r="AJ1368" s="60">
        <v>6</v>
      </c>
      <c r="AK1368" s="14">
        <f t="shared" si="6"/>
        <v>0.33333333333333331</v>
      </c>
      <c r="AM1368" s="38"/>
      <c r="AO1368" s="28"/>
    </row>
    <row r="1369" spans="1:41" ht="12.5">
      <c r="A1369" s="28" t="s">
        <v>4976</v>
      </c>
      <c r="B1369" s="37">
        <v>45832</v>
      </c>
      <c r="C1369" s="29">
        <v>45844</v>
      </c>
      <c r="D1369" s="38" t="s">
        <v>41</v>
      </c>
      <c r="E1369" s="38" t="s">
        <v>4977</v>
      </c>
      <c r="G1369" s="38" t="s">
        <v>43</v>
      </c>
      <c r="H1369" s="38">
        <v>11.31</v>
      </c>
      <c r="I1369" s="38" t="s">
        <v>44</v>
      </c>
      <c r="J1369" s="38" t="s">
        <v>45</v>
      </c>
      <c r="K1369" s="38" t="s">
        <v>4978</v>
      </c>
      <c r="L1369" s="30" t="s">
        <v>47</v>
      </c>
      <c r="M1369" s="38" t="s">
        <v>48</v>
      </c>
      <c r="N1369" s="38" t="s">
        <v>48</v>
      </c>
      <c r="O1369" s="31" t="s">
        <v>1366</v>
      </c>
      <c r="P1369" s="28" t="s">
        <v>1367</v>
      </c>
      <c r="Q1369" s="38" t="s">
        <v>1368</v>
      </c>
      <c r="R1369" s="38">
        <v>1</v>
      </c>
      <c r="S1369" s="38" t="s">
        <v>99</v>
      </c>
      <c r="T1369" s="38" t="s">
        <v>53</v>
      </c>
      <c r="U1369" s="38" t="s">
        <v>54</v>
      </c>
      <c r="V1369" s="38" t="s">
        <v>61</v>
      </c>
      <c r="Y1369" s="38">
        <v>102.62</v>
      </c>
      <c r="Z1369" s="38">
        <v>1</v>
      </c>
      <c r="AF1369" s="38"/>
      <c r="AK1369" s="14" t="e">
        <f t="shared" si="6"/>
        <v>#DIV/0!</v>
      </c>
      <c r="AM1369" s="38"/>
      <c r="AO1369" s="28"/>
    </row>
    <row r="1370" spans="1:41" ht="12.5">
      <c r="A1370" s="28" t="s">
        <v>4979</v>
      </c>
      <c r="B1370" s="37">
        <v>45831</v>
      </c>
      <c r="C1370" s="29">
        <v>45839</v>
      </c>
      <c r="D1370" s="38" t="s">
        <v>41</v>
      </c>
      <c r="E1370" s="38" t="s">
        <v>4980</v>
      </c>
      <c r="G1370" s="38" t="s">
        <v>43</v>
      </c>
      <c r="H1370" s="38">
        <v>12.37</v>
      </c>
      <c r="I1370" s="38" t="s">
        <v>44</v>
      </c>
      <c r="J1370" s="38" t="s">
        <v>45</v>
      </c>
      <c r="K1370" s="38" t="s">
        <v>4981</v>
      </c>
      <c r="L1370" s="30" t="s">
        <v>47</v>
      </c>
      <c r="M1370" s="38" t="s">
        <v>48</v>
      </c>
      <c r="N1370" s="38" t="s">
        <v>48</v>
      </c>
      <c r="O1370" s="31" t="s">
        <v>4982</v>
      </c>
      <c r="P1370" s="28" t="s">
        <v>4983</v>
      </c>
      <c r="Q1370" s="38" t="s">
        <v>4984</v>
      </c>
      <c r="R1370" s="38">
        <v>1</v>
      </c>
      <c r="S1370" s="38" t="s">
        <v>421</v>
      </c>
      <c r="T1370" s="38" t="s">
        <v>53</v>
      </c>
      <c r="U1370" s="38" t="s">
        <v>54</v>
      </c>
      <c r="V1370" s="38" t="s">
        <v>61</v>
      </c>
      <c r="Y1370" s="38">
        <v>105.01</v>
      </c>
      <c r="Z1370" s="38">
        <v>1</v>
      </c>
      <c r="AF1370" s="38"/>
      <c r="AI1370" s="38">
        <v>1</v>
      </c>
      <c r="AK1370" s="14" t="e">
        <f t="shared" si="6"/>
        <v>#DIV/0!</v>
      </c>
      <c r="AM1370" s="38"/>
      <c r="AO1370" s="51" t="s">
        <v>4985</v>
      </c>
    </row>
    <row r="1371" spans="1:41" ht="12.5">
      <c r="A1371" s="28" t="s">
        <v>4986</v>
      </c>
      <c r="B1371" s="37">
        <v>45846</v>
      </c>
      <c r="C1371" s="29">
        <v>45849</v>
      </c>
      <c r="D1371" s="38" t="s">
        <v>41</v>
      </c>
      <c r="E1371" s="38" t="s">
        <v>4987</v>
      </c>
      <c r="G1371" s="38" t="s">
        <v>43</v>
      </c>
      <c r="H1371" s="38">
        <v>16.75</v>
      </c>
      <c r="I1371" s="38" t="s">
        <v>44</v>
      </c>
      <c r="J1371" s="38" t="s">
        <v>45</v>
      </c>
      <c r="K1371" s="38" t="s">
        <v>4988</v>
      </c>
      <c r="L1371" s="30" t="s">
        <v>58</v>
      </c>
      <c r="M1371" s="38" t="s">
        <v>48</v>
      </c>
      <c r="N1371" s="38" t="s">
        <v>48</v>
      </c>
      <c r="O1371" s="31" t="s">
        <v>1378</v>
      </c>
      <c r="P1371" s="28" t="s">
        <v>1379</v>
      </c>
      <c r="Q1371" s="38" t="s">
        <v>1380</v>
      </c>
      <c r="R1371" s="38">
        <v>1</v>
      </c>
      <c r="S1371" s="38" t="s">
        <v>3878</v>
      </c>
      <c r="T1371" s="38" t="s">
        <v>53</v>
      </c>
      <c r="U1371" s="38" t="s">
        <v>54</v>
      </c>
      <c r="V1371" s="38" t="s">
        <v>55</v>
      </c>
      <c r="Y1371" s="38">
        <v>121.22</v>
      </c>
      <c r="Z1371" s="38">
        <v>1</v>
      </c>
      <c r="AF1371" s="38">
        <v>103.55</v>
      </c>
      <c r="AI1371" s="38">
        <v>1</v>
      </c>
      <c r="AJ1371" s="38">
        <v>2</v>
      </c>
      <c r="AK1371" s="14">
        <f t="shared" si="6"/>
        <v>0.5</v>
      </c>
      <c r="AM1371" s="38"/>
      <c r="AO1371" s="28"/>
    </row>
    <row r="1372" spans="1:41" ht="12.5">
      <c r="A1372" s="28" t="s">
        <v>4989</v>
      </c>
      <c r="B1372" s="37">
        <v>45834</v>
      </c>
      <c r="C1372" s="29">
        <v>45839</v>
      </c>
      <c r="D1372" s="38" t="s">
        <v>41</v>
      </c>
      <c r="E1372" s="38" t="s">
        <v>4990</v>
      </c>
      <c r="G1372" s="38" t="s">
        <v>43</v>
      </c>
      <c r="H1372" s="38">
        <v>11.66</v>
      </c>
      <c r="I1372" s="38" t="s">
        <v>44</v>
      </c>
      <c r="J1372" s="38" t="s">
        <v>45</v>
      </c>
      <c r="K1372" s="38" t="s">
        <v>4991</v>
      </c>
      <c r="L1372" s="30" t="s">
        <v>58</v>
      </c>
      <c r="M1372" s="38" t="s">
        <v>48</v>
      </c>
      <c r="N1372" s="38" t="s">
        <v>48</v>
      </c>
      <c r="O1372" s="31" t="s">
        <v>1384</v>
      </c>
      <c r="P1372" s="28" t="s">
        <v>1385</v>
      </c>
      <c r="Q1372" s="38" t="s">
        <v>1386</v>
      </c>
      <c r="R1372" s="38">
        <v>1</v>
      </c>
      <c r="S1372" s="38" t="s">
        <v>75</v>
      </c>
      <c r="T1372" s="38" t="s">
        <v>53</v>
      </c>
      <c r="U1372" s="38" t="s">
        <v>54</v>
      </c>
      <c r="V1372" s="38" t="s">
        <v>61</v>
      </c>
      <c r="Y1372" s="38">
        <v>98.4</v>
      </c>
      <c r="Z1372" s="38">
        <v>1</v>
      </c>
      <c r="AF1372" s="38"/>
      <c r="AI1372" s="38">
        <v>1</v>
      </c>
      <c r="AJ1372" s="38">
        <v>2</v>
      </c>
      <c r="AK1372" s="14">
        <f t="shared" si="6"/>
        <v>0.5</v>
      </c>
      <c r="AM1372" s="38"/>
      <c r="AO1372" s="28"/>
    </row>
    <row r="1373" spans="1:41" ht="12.5">
      <c r="A1373" s="28" t="s">
        <v>4992</v>
      </c>
      <c r="B1373" s="37">
        <v>45827</v>
      </c>
      <c r="C1373" s="29">
        <v>45839</v>
      </c>
      <c r="D1373" s="38" t="s">
        <v>41</v>
      </c>
      <c r="E1373" s="38" t="s">
        <v>4993</v>
      </c>
      <c r="G1373" s="38" t="s">
        <v>43</v>
      </c>
      <c r="H1373" s="38">
        <v>14.64</v>
      </c>
      <c r="I1373" s="38" t="s">
        <v>44</v>
      </c>
      <c r="J1373" s="38" t="s">
        <v>45</v>
      </c>
      <c r="K1373" s="38" t="s">
        <v>4994</v>
      </c>
      <c r="L1373" s="30" t="s">
        <v>58</v>
      </c>
      <c r="M1373" s="38" t="s">
        <v>48</v>
      </c>
      <c r="N1373" s="38" t="s">
        <v>48</v>
      </c>
      <c r="O1373" s="31" t="s">
        <v>2296</v>
      </c>
      <c r="P1373" s="28" t="s">
        <v>2297</v>
      </c>
      <c r="Q1373" s="38" t="s">
        <v>2298</v>
      </c>
      <c r="R1373" s="38">
        <v>1</v>
      </c>
      <c r="S1373" s="38" t="s">
        <v>3884</v>
      </c>
      <c r="T1373" s="38" t="s">
        <v>53</v>
      </c>
      <c r="U1373" s="38" t="s">
        <v>54</v>
      </c>
      <c r="V1373" s="38" t="s">
        <v>55</v>
      </c>
      <c r="Y1373" s="38">
        <v>110.67</v>
      </c>
      <c r="Z1373" s="38">
        <v>1</v>
      </c>
      <c r="AF1373" s="38">
        <v>96.03</v>
      </c>
      <c r="AI1373" s="38">
        <v>1</v>
      </c>
      <c r="AJ1373" s="38">
        <v>1</v>
      </c>
      <c r="AK1373" s="14">
        <f t="shared" si="6"/>
        <v>1</v>
      </c>
      <c r="AM1373" s="38"/>
      <c r="AO1373" s="28"/>
    </row>
    <row r="1374" spans="1:41" ht="12.5">
      <c r="A1374" s="28" t="s">
        <v>4995</v>
      </c>
      <c r="B1374" s="37">
        <v>45846</v>
      </c>
      <c r="C1374" s="29">
        <v>45850</v>
      </c>
      <c r="D1374" s="38" t="s">
        <v>41</v>
      </c>
      <c r="E1374" s="38" t="s">
        <v>4996</v>
      </c>
      <c r="G1374" s="38" t="s">
        <v>43</v>
      </c>
      <c r="H1374" s="38">
        <v>12.87</v>
      </c>
      <c r="I1374" s="38" t="s">
        <v>44</v>
      </c>
      <c r="J1374" s="38" t="s">
        <v>45</v>
      </c>
      <c r="K1374" s="38" t="s">
        <v>4997</v>
      </c>
      <c r="L1374" s="30" t="s">
        <v>47</v>
      </c>
      <c r="M1374" s="38" t="s">
        <v>48</v>
      </c>
      <c r="N1374" s="38" t="s">
        <v>48</v>
      </c>
      <c r="O1374" s="31" t="s">
        <v>4998</v>
      </c>
      <c r="P1374" s="28" t="s">
        <v>4999</v>
      </c>
      <c r="Q1374" s="38" t="s">
        <v>5000</v>
      </c>
      <c r="R1374" s="38">
        <v>1</v>
      </c>
      <c r="S1374" s="38" t="s">
        <v>99</v>
      </c>
      <c r="T1374" s="38" t="s">
        <v>53</v>
      </c>
      <c r="U1374" s="38" t="s">
        <v>54</v>
      </c>
      <c r="V1374" s="38" t="s">
        <v>61</v>
      </c>
      <c r="Y1374" s="38">
        <v>200.38</v>
      </c>
      <c r="Z1374" s="38">
        <v>1</v>
      </c>
      <c r="AF1374" s="38"/>
      <c r="AI1374" s="38">
        <v>1</v>
      </c>
      <c r="AJ1374" s="38">
        <v>1</v>
      </c>
      <c r="AK1374" s="14">
        <f t="shared" si="6"/>
        <v>1</v>
      </c>
      <c r="AM1374" s="38"/>
      <c r="AO1374" s="28"/>
    </row>
    <row r="1375" spans="1:41" ht="12.5">
      <c r="A1375" s="28" t="s">
        <v>5001</v>
      </c>
      <c r="B1375" s="37">
        <v>45845</v>
      </c>
      <c r="C1375" s="29">
        <v>45852</v>
      </c>
      <c r="D1375" s="38" t="s">
        <v>41</v>
      </c>
      <c r="E1375" s="38" t="s">
        <v>5002</v>
      </c>
      <c r="G1375" s="38" t="s">
        <v>43</v>
      </c>
      <c r="H1375" s="38">
        <v>11.96</v>
      </c>
      <c r="I1375" s="38" t="s">
        <v>44</v>
      </c>
      <c r="J1375" s="38" t="s">
        <v>45</v>
      </c>
      <c r="K1375" s="38" t="s">
        <v>5003</v>
      </c>
      <c r="L1375" s="30" t="s">
        <v>47</v>
      </c>
      <c r="M1375" s="38" t="s">
        <v>48</v>
      </c>
      <c r="N1375" s="38" t="s">
        <v>48</v>
      </c>
      <c r="O1375" s="31" t="s">
        <v>5004</v>
      </c>
      <c r="P1375" s="28" t="s">
        <v>5005</v>
      </c>
      <c r="Q1375" s="38" t="s">
        <v>5006</v>
      </c>
      <c r="R1375" s="38">
        <v>1</v>
      </c>
      <c r="S1375" s="38" t="s">
        <v>99</v>
      </c>
      <c r="T1375" s="38" t="s">
        <v>53</v>
      </c>
      <c r="U1375" s="38" t="s">
        <v>54</v>
      </c>
      <c r="V1375" s="38" t="s">
        <v>61</v>
      </c>
      <c r="Y1375" s="38">
        <v>109.06</v>
      </c>
      <c r="Z1375" s="38">
        <v>1</v>
      </c>
      <c r="AF1375" s="38"/>
      <c r="AI1375" s="38">
        <v>1</v>
      </c>
      <c r="AJ1375" s="38">
        <v>3</v>
      </c>
      <c r="AK1375" s="14">
        <f t="shared" si="6"/>
        <v>0.33333333333333331</v>
      </c>
      <c r="AM1375" s="38"/>
      <c r="AO1375" s="28"/>
    </row>
    <row r="1376" spans="1:41" ht="12.5">
      <c r="A1376" s="28" t="s">
        <v>5001</v>
      </c>
      <c r="B1376" s="37">
        <v>45845</v>
      </c>
      <c r="C1376" s="29">
        <v>45852</v>
      </c>
      <c r="D1376" s="38" t="s">
        <v>41</v>
      </c>
      <c r="E1376" s="38" t="s">
        <v>5007</v>
      </c>
      <c r="G1376" s="38" t="s">
        <v>43</v>
      </c>
      <c r="H1376" s="38">
        <v>11.96</v>
      </c>
      <c r="I1376" s="38" t="s">
        <v>44</v>
      </c>
      <c r="J1376" s="38" t="s">
        <v>45</v>
      </c>
      <c r="K1376" s="38" t="s">
        <v>5008</v>
      </c>
      <c r="L1376" s="30" t="s">
        <v>47</v>
      </c>
      <c r="M1376" s="38" t="s">
        <v>48</v>
      </c>
      <c r="N1376" s="38" t="s">
        <v>48</v>
      </c>
      <c r="O1376" s="31" t="s">
        <v>5004</v>
      </c>
      <c r="P1376" s="28" t="s">
        <v>5005</v>
      </c>
      <c r="Q1376" s="38" t="s">
        <v>5006</v>
      </c>
      <c r="R1376" s="38">
        <v>1</v>
      </c>
      <c r="S1376" s="38" t="s">
        <v>99</v>
      </c>
      <c r="T1376" s="38" t="s">
        <v>53</v>
      </c>
      <c r="U1376" s="38" t="s">
        <v>54</v>
      </c>
      <c r="V1376" s="38" t="s">
        <v>61</v>
      </c>
      <c r="Y1376" s="38">
        <v>109.06</v>
      </c>
      <c r="Z1376" s="38">
        <v>1</v>
      </c>
      <c r="AF1376" s="38"/>
      <c r="AK1376" s="14" t="e">
        <f t="shared" si="6"/>
        <v>#DIV/0!</v>
      </c>
      <c r="AM1376" s="38"/>
      <c r="AO1376" s="28"/>
    </row>
    <row r="1377" spans="1:41" ht="12.5">
      <c r="A1377" s="28" t="s">
        <v>5009</v>
      </c>
      <c r="B1377" s="37">
        <v>45840</v>
      </c>
      <c r="C1377" s="29">
        <v>45847</v>
      </c>
      <c r="D1377" s="38" t="s">
        <v>41</v>
      </c>
      <c r="E1377" s="38" t="s">
        <v>5010</v>
      </c>
      <c r="G1377" s="38" t="s">
        <v>43</v>
      </c>
      <c r="H1377" s="38">
        <v>11.71</v>
      </c>
      <c r="I1377" s="38" t="s">
        <v>44</v>
      </c>
      <c r="J1377" s="38" t="s">
        <v>45</v>
      </c>
      <c r="K1377" s="38" t="s">
        <v>5011</v>
      </c>
      <c r="L1377" s="30" t="s">
        <v>47</v>
      </c>
      <c r="M1377" s="38" t="s">
        <v>48</v>
      </c>
      <c r="N1377" s="38" t="s">
        <v>48</v>
      </c>
      <c r="O1377" s="31" t="s">
        <v>680</v>
      </c>
      <c r="P1377" s="28" t="s">
        <v>681</v>
      </c>
      <c r="Q1377" s="38" t="s">
        <v>5012</v>
      </c>
      <c r="R1377" s="38">
        <v>1</v>
      </c>
      <c r="S1377" s="38" t="s">
        <v>99</v>
      </c>
      <c r="T1377" s="38" t="s">
        <v>53</v>
      </c>
      <c r="U1377" s="38" t="s">
        <v>54</v>
      </c>
      <c r="V1377" s="38" t="s">
        <v>61</v>
      </c>
      <c r="Y1377" s="38">
        <v>70.84</v>
      </c>
      <c r="Z1377" s="38">
        <v>1</v>
      </c>
      <c r="AF1377" s="38"/>
      <c r="AI1377" s="38">
        <v>1</v>
      </c>
      <c r="AJ1377" s="38">
        <v>4</v>
      </c>
      <c r="AK1377" s="14">
        <f t="shared" si="6"/>
        <v>0.25</v>
      </c>
      <c r="AM1377" s="38"/>
      <c r="AO1377" s="28"/>
    </row>
    <row r="1378" spans="1:41" ht="12.5">
      <c r="A1378" s="28" t="s">
        <v>5013</v>
      </c>
      <c r="B1378" s="37">
        <v>45840</v>
      </c>
      <c r="C1378" s="29">
        <v>45847</v>
      </c>
      <c r="D1378" s="38" t="s">
        <v>41</v>
      </c>
      <c r="E1378" s="38" t="s">
        <v>5014</v>
      </c>
      <c r="G1378" s="38" t="s">
        <v>43</v>
      </c>
      <c r="H1378" s="38">
        <v>11.96</v>
      </c>
      <c r="I1378" s="38" t="s">
        <v>44</v>
      </c>
      <c r="J1378" s="38" t="s">
        <v>45</v>
      </c>
      <c r="K1378" s="38" t="s">
        <v>5015</v>
      </c>
      <c r="L1378" s="30" t="s">
        <v>58</v>
      </c>
      <c r="M1378" s="38" t="s">
        <v>48</v>
      </c>
      <c r="N1378" s="38" t="s">
        <v>48</v>
      </c>
      <c r="O1378" s="31" t="s">
        <v>5016</v>
      </c>
      <c r="P1378" s="28" t="s">
        <v>5017</v>
      </c>
      <c r="Q1378" s="38" t="s">
        <v>5018</v>
      </c>
      <c r="R1378" s="38">
        <v>1</v>
      </c>
      <c r="S1378" s="38" t="s">
        <v>75</v>
      </c>
      <c r="T1378" s="38" t="s">
        <v>53</v>
      </c>
      <c r="U1378" s="38" t="s">
        <v>54</v>
      </c>
      <c r="V1378" s="38" t="s">
        <v>61</v>
      </c>
      <c r="Y1378" s="38">
        <v>92.78</v>
      </c>
      <c r="Z1378" s="38">
        <v>1</v>
      </c>
      <c r="AF1378" s="38"/>
      <c r="AI1378" s="38">
        <v>1</v>
      </c>
      <c r="AJ1378" s="38">
        <v>1</v>
      </c>
      <c r="AK1378" s="14">
        <f t="shared" si="6"/>
        <v>1</v>
      </c>
      <c r="AM1378" s="38"/>
      <c r="AO1378" s="28"/>
    </row>
    <row r="1379" spans="1:41" ht="12.5">
      <c r="A1379" s="28" t="s">
        <v>5019</v>
      </c>
      <c r="B1379" s="37">
        <v>45827</v>
      </c>
      <c r="C1379" s="29">
        <v>45843</v>
      </c>
      <c r="D1379" s="38" t="s">
        <v>41</v>
      </c>
      <c r="E1379" s="38" t="s">
        <v>5020</v>
      </c>
      <c r="G1379" s="38" t="s">
        <v>137</v>
      </c>
      <c r="H1379" s="38">
        <v>0</v>
      </c>
      <c r="I1379" s="38"/>
      <c r="J1379" s="38"/>
      <c r="K1379" s="38"/>
      <c r="L1379" s="30" t="s">
        <v>58</v>
      </c>
      <c r="M1379" s="38" t="s">
        <v>48</v>
      </c>
      <c r="N1379" s="38" t="s">
        <v>48</v>
      </c>
      <c r="O1379" s="31" t="s">
        <v>5021</v>
      </c>
      <c r="P1379" s="28" t="s">
        <v>5022</v>
      </c>
      <c r="Q1379" s="38" t="s">
        <v>5023</v>
      </c>
      <c r="R1379" s="38">
        <v>1</v>
      </c>
      <c r="S1379" s="38" t="s">
        <v>3868</v>
      </c>
      <c r="T1379" s="38" t="s">
        <v>53</v>
      </c>
      <c r="U1379" s="38" t="s">
        <v>54</v>
      </c>
      <c r="V1379" s="38" t="s">
        <v>61</v>
      </c>
      <c r="Y1379" s="38">
        <v>162.19</v>
      </c>
      <c r="Z1379" s="38">
        <v>1</v>
      </c>
      <c r="AF1379" s="38"/>
      <c r="AI1379" s="38">
        <v>1</v>
      </c>
      <c r="AK1379" s="14" t="e">
        <f t="shared" si="6"/>
        <v>#DIV/0!</v>
      </c>
      <c r="AM1379" s="38"/>
      <c r="AO1379" s="28"/>
    </row>
    <row r="1380" spans="1:41" ht="12.5">
      <c r="A1380" s="28" t="s">
        <v>5024</v>
      </c>
      <c r="B1380" s="37">
        <v>45837</v>
      </c>
      <c r="C1380" s="29">
        <v>45847</v>
      </c>
      <c r="D1380" s="38" t="s">
        <v>41</v>
      </c>
      <c r="E1380" s="38" t="s">
        <v>5025</v>
      </c>
      <c r="G1380" s="38" t="s">
        <v>43</v>
      </c>
      <c r="H1380" s="38">
        <v>14.29</v>
      </c>
      <c r="I1380" s="38" t="s">
        <v>44</v>
      </c>
      <c r="J1380" s="38" t="s">
        <v>45</v>
      </c>
      <c r="K1380" s="38" t="s">
        <v>5026</v>
      </c>
      <c r="L1380" s="30" t="s">
        <v>58</v>
      </c>
      <c r="M1380" s="38" t="s">
        <v>48</v>
      </c>
      <c r="N1380" s="38" t="s">
        <v>48</v>
      </c>
      <c r="O1380" s="31" t="s">
        <v>761</v>
      </c>
      <c r="P1380" s="28" t="s">
        <v>762</v>
      </c>
      <c r="Q1380" s="38" t="s">
        <v>763</v>
      </c>
      <c r="R1380" s="38">
        <v>1</v>
      </c>
      <c r="S1380" s="38" t="s">
        <v>3868</v>
      </c>
      <c r="T1380" s="38" t="s">
        <v>53</v>
      </c>
      <c r="U1380" s="38" t="s">
        <v>54</v>
      </c>
      <c r="V1380" s="38" t="s">
        <v>55</v>
      </c>
      <c r="Y1380" s="38">
        <v>96.87</v>
      </c>
      <c r="Z1380" s="38">
        <v>1</v>
      </c>
      <c r="AF1380" s="38">
        <v>82.58</v>
      </c>
      <c r="AI1380" s="38">
        <v>1</v>
      </c>
      <c r="AK1380" s="14" t="e">
        <f t="shared" si="6"/>
        <v>#DIV/0!</v>
      </c>
      <c r="AM1380" s="38"/>
      <c r="AO1380" s="28"/>
    </row>
    <row r="1381" spans="1:41" ht="12.5">
      <c r="A1381" s="28" t="s">
        <v>5027</v>
      </c>
      <c r="B1381" s="37">
        <v>45848</v>
      </c>
      <c r="C1381" s="29">
        <v>45851</v>
      </c>
      <c r="D1381" s="38" t="s">
        <v>41</v>
      </c>
      <c r="E1381" s="38" t="s">
        <v>5028</v>
      </c>
      <c r="G1381" s="38" t="s">
        <v>43</v>
      </c>
      <c r="H1381" s="38">
        <v>14.7</v>
      </c>
      <c r="I1381" s="38" t="s">
        <v>44</v>
      </c>
      <c r="J1381" s="38" t="s">
        <v>45</v>
      </c>
      <c r="K1381" s="38" t="s">
        <v>5029</v>
      </c>
      <c r="L1381" s="30" t="s">
        <v>58</v>
      </c>
      <c r="M1381" s="38" t="s">
        <v>48</v>
      </c>
      <c r="N1381" s="38" t="s">
        <v>48</v>
      </c>
      <c r="O1381" s="31" t="s">
        <v>5030</v>
      </c>
      <c r="P1381" s="28" t="s">
        <v>5031</v>
      </c>
      <c r="Q1381" s="38" t="s">
        <v>5032</v>
      </c>
      <c r="R1381" s="38">
        <v>1</v>
      </c>
      <c r="S1381" s="38" t="s">
        <v>3868</v>
      </c>
      <c r="T1381" s="38" t="s">
        <v>53</v>
      </c>
      <c r="U1381" s="38" t="s">
        <v>54</v>
      </c>
      <c r="V1381" s="38" t="s">
        <v>61</v>
      </c>
      <c r="Y1381" s="38">
        <v>100.48</v>
      </c>
      <c r="Z1381" s="38">
        <v>1</v>
      </c>
      <c r="AF1381" s="38"/>
      <c r="AI1381" s="38">
        <v>1</v>
      </c>
      <c r="AJ1381" s="38">
        <v>2</v>
      </c>
      <c r="AK1381" s="14">
        <f t="shared" si="6"/>
        <v>0.5</v>
      </c>
      <c r="AM1381" s="38"/>
      <c r="AO1381" s="28"/>
    </row>
    <row r="1382" spans="1:41" ht="12.5">
      <c r="A1382" s="28" t="s">
        <v>5033</v>
      </c>
      <c r="B1382" s="37">
        <v>45835</v>
      </c>
      <c r="C1382" s="29">
        <v>45840</v>
      </c>
      <c r="D1382" s="38" t="s">
        <v>41</v>
      </c>
      <c r="E1382" s="38" t="s">
        <v>5034</v>
      </c>
      <c r="G1382" s="38" t="s">
        <v>43</v>
      </c>
      <c r="H1382" s="38">
        <v>15.16</v>
      </c>
      <c r="I1382" s="38" t="s">
        <v>44</v>
      </c>
      <c r="J1382" s="38" t="s">
        <v>45</v>
      </c>
      <c r="K1382" s="38" t="s">
        <v>5035</v>
      </c>
      <c r="L1382" s="30" t="s">
        <v>47</v>
      </c>
      <c r="M1382" s="38" t="s">
        <v>48</v>
      </c>
      <c r="N1382" s="38" t="s">
        <v>48</v>
      </c>
      <c r="O1382" s="31" t="s">
        <v>827</v>
      </c>
      <c r="P1382" s="28" t="s">
        <v>828</v>
      </c>
      <c r="Q1382" s="38" t="s">
        <v>829</v>
      </c>
      <c r="R1382" s="38">
        <v>1</v>
      </c>
      <c r="S1382" s="38" t="s">
        <v>99</v>
      </c>
      <c r="T1382" s="38" t="s">
        <v>53</v>
      </c>
      <c r="U1382" s="38" t="s">
        <v>54</v>
      </c>
      <c r="V1382" s="38" t="s">
        <v>55</v>
      </c>
      <c r="Y1382" s="38">
        <v>99.82</v>
      </c>
      <c r="Z1382" s="38">
        <v>1</v>
      </c>
      <c r="AF1382" s="38">
        <v>99.82</v>
      </c>
      <c r="AI1382" s="38">
        <v>1</v>
      </c>
      <c r="AJ1382" s="38">
        <v>7</v>
      </c>
      <c r="AK1382" s="14">
        <f t="shared" si="6"/>
        <v>0.14285714285714285</v>
      </c>
      <c r="AM1382" s="38"/>
      <c r="AO1382" s="28"/>
    </row>
    <row r="1383" spans="1:41" ht="12.5">
      <c r="A1383" s="28" t="s">
        <v>5033</v>
      </c>
      <c r="B1383" s="37">
        <v>45835</v>
      </c>
      <c r="C1383" s="29">
        <v>45839</v>
      </c>
      <c r="D1383" s="38" t="s">
        <v>41</v>
      </c>
      <c r="E1383" s="38" t="s">
        <v>5036</v>
      </c>
      <c r="G1383" s="38" t="s">
        <v>43</v>
      </c>
      <c r="H1383" s="38">
        <v>15.16</v>
      </c>
      <c r="I1383" s="38" t="s">
        <v>44</v>
      </c>
      <c r="J1383" s="38" t="s">
        <v>45</v>
      </c>
      <c r="K1383" s="38" t="s">
        <v>5037</v>
      </c>
      <c r="L1383" s="30" t="s">
        <v>58</v>
      </c>
      <c r="M1383" s="38" t="s">
        <v>48</v>
      </c>
      <c r="N1383" s="38" t="s">
        <v>48</v>
      </c>
      <c r="O1383" s="31" t="s">
        <v>827</v>
      </c>
      <c r="P1383" s="28" t="s">
        <v>828</v>
      </c>
      <c r="Q1383" s="38" t="s">
        <v>829</v>
      </c>
      <c r="R1383" s="38">
        <v>1</v>
      </c>
      <c r="S1383" s="38" t="s">
        <v>59</v>
      </c>
      <c r="T1383" s="38" t="s">
        <v>53</v>
      </c>
      <c r="U1383" s="38" t="s">
        <v>54</v>
      </c>
      <c r="V1383" s="38" t="s">
        <v>61</v>
      </c>
      <c r="Y1383" s="38">
        <v>99.82</v>
      </c>
      <c r="Z1383" s="38">
        <v>1</v>
      </c>
      <c r="AF1383" s="38"/>
      <c r="AK1383" s="14" t="e">
        <f t="shared" si="6"/>
        <v>#DIV/0!</v>
      </c>
      <c r="AM1383" s="38"/>
      <c r="AO1383" s="28"/>
    </row>
    <row r="1384" spans="1:41" ht="12.5">
      <c r="A1384" s="28" t="s">
        <v>5038</v>
      </c>
      <c r="B1384" s="37">
        <v>45842</v>
      </c>
      <c r="C1384" s="29">
        <v>45851</v>
      </c>
      <c r="D1384" s="38" t="s">
        <v>41</v>
      </c>
      <c r="E1384" s="38" t="s">
        <v>5039</v>
      </c>
      <c r="G1384" s="38" t="s">
        <v>43</v>
      </c>
      <c r="H1384" s="38">
        <v>15.23</v>
      </c>
      <c r="I1384" s="38" t="s">
        <v>44</v>
      </c>
      <c r="J1384" s="38" t="s">
        <v>45</v>
      </c>
      <c r="K1384" s="38" t="s">
        <v>5040</v>
      </c>
      <c r="L1384" s="30" t="s">
        <v>47</v>
      </c>
      <c r="M1384" s="38" t="s">
        <v>48</v>
      </c>
      <c r="N1384" s="38" t="s">
        <v>48</v>
      </c>
      <c r="O1384" s="31" t="s">
        <v>1584</v>
      </c>
      <c r="P1384" s="28" t="s">
        <v>1585</v>
      </c>
      <c r="Q1384" s="38" t="s">
        <v>1586</v>
      </c>
      <c r="R1384" s="38">
        <v>1</v>
      </c>
      <c r="S1384" s="38" t="s">
        <v>52</v>
      </c>
      <c r="T1384" s="38" t="s">
        <v>53</v>
      </c>
      <c r="U1384" s="38" t="s">
        <v>54</v>
      </c>
      <c r="V1384" s="38" t="s">
        <v>61</v>
      </c>
      <c r="Y1384" s="38">
        <v>99.43</v>
      </c>
      <c r="Z1384" s="38">
        <v>1</v>
      </c>
      <c r="AF1384" s="38"/>
      <c r="AI1384" s="38">
        <v>2</v>
      </c>
      <c r="AJ1384" s="38">
        <v>3</v>
      </c>
      <c r="AK1384" s="14">
        <f t="shared" si="6"/>
        <v>0.66666666666666663</v>
      </c>
      <c r="AM1384" s="38"/>
      <c r="AO1384" s="51" t="s">
        <v>5041</v>
      </c>
    </row>
    <row r="1385" spans="1:41" ht="12.5">
      <c r="A1385" s="28" t="s">
        <v>5042</v>
      </c>
      <c r="B1385" s="37">
        <v>45847</v>
      </c>
      <c r="C1385" s="29">
        <v>45850</v>
      </c>
      <c r="D1385" s="38" t="s">
        <v>41</v>
      </c>
      <c r="E1385" s="38" t="s">
        <v>5043</v>
      </c>
      <c r="G1385" s="38" t="s">
        <v>43</v>
      </c>
      <c r="H1385" s="38">
        <v>15.23</v>
      </c>
      <c r="I1385" s="38" t="s">
        <v>44</v>
      </c>
      <c r="J1385" s="38" t="s">
        <v>45</v>
      </c>
      <c r="K1385" s="38" t="s">
        <v>5044</v>
      </c>
      <c r="L1385" s="30" t="s">
        <v>58</v>
      </c>
      <c r="M1385" s="38" t="s">
        <v>48</v>
      </c>
      <c r="N1385" s="38" t="s">
        <v>48</v>
      </c>
      <c r="O1385" s="31" t="s">
        <v>1584</v>
      </c>
      <c r="P1385" s="28" t="s">
        <v>1585</v>
      </c>
      <c r="Q1385" s="38" t="s">
        <v>1586</v>
      </c>
      <c r="R1385" s="38">
        <v>1</v>
      </c>
      <c r="S1385" s="38" t="s">
        <v>3878</v>
      </c>
      <c r="T1385" s="38" t="s">
        <v>53</v>
      </c>
      <c r="U1385" s="38" t="s">
        <v>54</v>
      </c>
      <c r="V1385" s="38" t="s">
        <v>61</v>
      </c>
      <c r="Y1385" s="38">
        <v>101.76</v>
      </c>
      <c r="Z1385" s="38">
        <v>1</v>
      </c>
      <c r="AF1385" s="38"/>
      <c r="AK1385" s="14" t="e">
        <f t="shared" si="6"/>
        <v>#DIV/0!</v>
      </c>
      <c r="AM1385" s="38"/>
      <c r="AO1385" s="28"/>
    </row>
    <row r="1386" spans="1:41" ht="12.5">
      <c r="A1386" s="28" t="s">
        <v>5045</v>
      </c>
      <c r="B1386" s="37">
        <v>45830</v>
      </c>
      <c r="C1386" s="29">
        <v>45845</v>
      </c>
      <c r="D1386" s="38" t="s">
        <v>41</v>
      </c>
      <c r="E1386" s="38" t="s">
        <v>5046</v>
      </c>
      <c r="G1386" s="38" t="s">
        <v>43</v>
      </c>
      <c r="H1386" s="38">
        <v>10.57</v>
      </c>
      <c r="I1386" s="38" t="s">
        <v>44</v>
      </c>
      <c r="J1386" s="38" t="s">
        <v>45</v>
      </c>
      <c r="K1386" s="38" t="s">
        <v>5047</v>
      </c>
      <c r="L1386" s="30" t="s">
        <v>58</v>
      </c>
      <c r="M1386" s="38" t="s">
        <v>48</v>
      </c>
      <c r="N1386" s="38" t="s">
        <v>48</v>
      </c>
      <c r="O1386" s="31" t="s">
        <v>1659</v>
      </c>
      <c r="P1386" s="28" t="s">
        <v>1660</v>
      </c>
      <c r="Q1386" s="38" t="s">
        <v>3533</v>
      </c>
      <c r="R1386" s="38">
        <v>1</v>
      </c>
      <c r="S1386" s="38" t="s">
        <v>59</v>
      </c>
      <c r="T1386" s="38" t="s">
        <v>53</v>
      </c>
      <c r="U1386" s="38" t="s">
        <v>54</v>
      </c>
      <c r="V1386" s="38" t="s">
        <v>61</v>
      </c>
      <c r="Y1386" s="38">
        <v>68.150000000000006</v>
      </c>
      <c r="Z1386" s="38">
        <v>1</v>
      </c>
      <c r="AF1386" s="38"/>
      <c r="AI1386" s="38">
        <v>1</v>
      </c>
      <c r="AJ1386" s="38">
        <v>17</v>
      </c>
      <c r="AK1386" s="14">
        <f t="shared" si="6"/>
        <v>5.8823529411764705E-2</v>
      </c>
      <c r="AM1386" s="38"/>
      <c r="AO1386" s="28"/>
    </row>
    <row r="1387" spans="1:41" ht="12.5">
      <c r="A1387" s="28" t="s">
        <v>5048</v>
      </c>
      <c r="B1387" s="37">
        <v>45844</v>
      </c>
      <c r="C1387" s="29">
        <v>45849</v>
      </c>
      <c r="D1387" s="38" t="s">
        <v>41</v>
      </c>
      <c r="E1387" s="38" t="s">
        <v>5049</v>
      </c>
      <c r="G1387" s="38" t="s">
        <v>43</v>
      </c>
      <c r="H1387" s="38">
        <v>17.399999999999999</v>
      </c>
      <c r="I1387" s="38" t="s">
        <v>44</v>
      </c>
      <c r="J1387" s="38" t="s">
        <v>45</v>
      </c>
      <c r="K1387" s="38" t="s">
        <v>5050</v>
      </c>
      <c r="L1387" s="30" t="s">
        <v>58</v>
      </c>
      <c r="M1387" s="38" t="s">
        <v>48</v>
      </c>
      <c r="N1387" s="38" t="s">
        <v>48</v>
      </c>
      <c r="O1387" s="31" t="s">
        <v>4357</v>
      </c>
      <c r="P1387" s="28" t="s">
        <v>4358</v>
      </c>
      <c r="Q1387" s="38" t="s">
        <v>4359</v>
      </c>
      <c r="R1387" s="38">
        <v>1</v>
      </c>
      <c r="S1387" s="38" t="s">
        <v>3868</v>
      </c>
      <c r="T1387" s="38" t="s">
        <v>53</v>
      </c>
      <c r="U1387" s="38" t="s">
        <v>54</v>
      </c>
      <c r="V1387" s="38" t="s">
        <v>61</v>
      </c>
      <c r="Y1387" s="38">
        <v>156.91</v>
      </c>
      <c r="Z1387" s="38">
        <v>1</v>
      </c>
      <c r="AF1387" s="38"/>
      <c r="AI1387" s="38">
        <v>1</v>
      </c>
      <c r="AJ1387" s="38">
        <v>1</v>
      </c>
      <c r="AK1387" s="14">
        <f t="shared" si="6"/>
        <v>1</v>
      </c>
      <c r="AM1387" s="38"/>
      <c r="AO1387" s="28"/>
    </row>
    <row r="1388" spans="1:41" ht="12.5">
      <c r="A1388" s="28" t="s">
        <v>5051</v>
      </c>
      <c r="B1388" s="37">
        <v>45838</v>
      </c>
      <c r="C1388" s="29">
        <v>45839</v>
      </c>
      <c r="D1388" s="38" t="s">
        <v>41</v>
      </c>
      <c r="E1388" s="38" t="s">
        <v>5052</v>
      </c>
      <c r="G1388" s="38" t="s">
        <v>43</v>
      </c>
      <c r="H1388" s="38">
        <v>10.53</v>
      </c>
      <c r="I1388" s="38" t="s">
        <v>44</v>
      </c>
      <c r="J1388" s="38" t="s">
        <v>45</v>
      </c>
      <c r="K1388" s="38" t="s">
        <v>5053</v>
      </c>
      <c r="L1388" s="30" t="s">
        <v>58</v>
      </c>
      <c r="M1388" s="38" t="s">
        <v>48</v>
      </c>
      <c r="N1388" s="38" t="s">
        <v>48</v>
      </c>
      <c r="O1388" s="31" t="s">
        <v>5054</v>
      </c>
      <c r="P1388" s="28" t="s">
        <v>5055</v>
      </c>
      <c r="Q1388" s="38" t="s">
        <v>5056</v>
      </c>
      <c r="R1388" s="38">
        <v>1</v>
      </c>
      <c r="S1388" s="38" t="s">
        <v>75</v>
      </c>
      <c r="T1388" s="38" t="s">
        <v>53</v>
      </c>
      <c r="U1388" s="38" t="s">
        <v>54</v>
      </c>
      <c r="V1388" s="38" t="s">
        <v>55</v>
      </c>
      <c r="Y1388" s="38">
        <v>71.92</v>
      </c>
      <c r="Z1388" s="38">
        <v>1</v>
      </c>
      <c r="AF1388" s="38">
        <v>61.39</v>
      </c>
      <c r="AI1388" s="38">
        <v>1</v>
      </c>
      <c r="AK1388" s="14">
        <v>0.01</v>
      </c>
      <c r="AM1388" s="38"/>
      <c r="AO1388" s="28"/>
    </row>
    <row r="1389" spans="1:41" ht="12.5">
      <c r="A1389" s="28" t="s">
        <v>5057</v>
      </c>
      <c r="B1389" s="37">
        <v>45857</v>
      </c>
      <c r="C1389" s="29">
        <v>45861</v>
      </c>
      <c r="D1389" s="38" t="s">
        <v>41</v>
      </c>
      <c r="E1389" s="38" t="s">
        <v>5058</v>
      </c>
      <c r="G1389" s="38" t="s">
        <v>43</v>
      </c>
      <c r="H1389" s="38">
        <v>14.29</v>
      </c>
      <c r="I1389" s="38" t="s">
        <v>44</v>
      </c>
      <c r="J1389" s="38" t="s">
        <v>45</v>
      </c>
      <c r="K1389" s="38" t="s">
        <v>5059</v>
      </c>
      <c r="L1389" s="30" t="s">
        <v>58</v>
      </c>
      <c r="M1389" s="38" t="s">
        <v>48</v>
      </c>
      <c r="N1389" s="38" t="s">
        <v>48</v>
      </c>
      <c r="O1389" s="31" t="s">
        <v>49</v>
      </c>
      <c r="P1389" s="28" t="s">
        <v>50</v>
      </c>
      <c r="Q1389" s="38" t="s">
        <v>51</v>
      </c>
      <c r="R1389" s="38">
        <v>1</v>
      </c>
      <c r="S1389" s="38" t="s">
        <v>68</v>
      </c>
      <c r="T1389" s="38" t="s">
        <v>53</v>
      </c>
      <c r="U1389" s="38" t="s">
        <v>54</v>
      </c>
      <c r="V1389" s="38" t="s">
        <v>55</v>
      </c>
      <c r="Y1389" s="38">
        <v>97.31</v>
      </c>
      <c r="Z1389" s="38">
        <v>1</v>
      </c>
      <c r="AF1389" s="38">
        <v>83.02</v>
      </c>
      <c r="AI1389" s="38">
        <v>3</v>
      </c>
      <c r="AJ1389" s="38">
        <v>11</v>
      </c>
      <c r="AK1389" s="14">
        <f t="shared" ref="AK1389:AK1643" si="7">AI1389/AJ1389*1</f>
        <v>0.27272727272727271</v>
      </c>
      <c r="AM1389" s="38"/>
      <c r="AO1389" s="28"/>
    </row>
    <row r="1390" spans="1:41" ht="12.5">
      <c r="A1390" s="28" t="s">
        <v>5060</v>
      </c>
      <c r="B1390" s="37">
        <v>45851</v>
      </c>
      <c r="C1390" s="29">
        <v>45859</v>
      </c>
      <c r="D1390" s="38" t="s">
        <v>41</v>
      </c>
      <c r="E1390" s="38" t="s">
        <v>5061</v>
      </c>
      <c r="G1390" s="38" t="s">
        <v>43</v>
      </c>
      <c r="H1390" s="38">
        <v>14.29</v>
      </c>
      <c r="I1390" s="38" t="s">
        <v>44</v>
      </c>
      <c r="J1390" s="38" t="s">
        <v>45</v>
      </c>
      <c r="K1390" s="38" t="s">
        <v>5062</v>
      </c>
      <c r="L1390" s="30" t="s">
        <v>58</v>
      </c>
      <c r="M1390" s="38" t="s">
        <v>48</v>
      </c>
      <c r="N1390" s="38" t="s">
        <v>48</v>
      </c>
      <c r="O1390" s="31" t="s">
        <v>49</v>
      </c>
      <c r="P1390" s="28" t="s">
        <v>50</v>
      </c>
      <c r="Q1390" s="38" t="s">
        <v>51</v>
      </c>
      <c r="R1390" s="38">
        <v>1</v>
      </c>
      <c r="S1390" s="38" t="s">
        <v>59</v>
      </c>
      <c r="T1390" s="38" t="s">
        <v>53</v>
      </c>
      <c r="U1390" s="38" t="s">
        <v>54</v>
      </c>
      <c r="V1390" s="38" t="s">
        <v>61</v>
      </c>
      <c r="Y1390" s="38">
        <v>94.4</v>
      </c>
      <c r="Z1390" s="38">
        <v>1</v>
      </c>
      <c r="AF1390" s="38"/>
      <c r="AK1390" s="14" t="e">
        <f t="shared" si="7"/>
        <v>#DIV/0!</v>
      </c>
      <c r="AM1390" s="38"/>
      <c r="AO1390" s="28"/>
    </row>
    <row r="1391" spans="1:41" ht="12.5">
      <c r="A1391" s="28" t="s">
        <v>5063</v>
      </c>
      <c r="B1391" s="37">
        <v>45853</v>
      </c>
      <c r="C1391" s="29">
        <v>45856</v>
      </c>
      <c r="D1391" s="38" t="s">
        <v>41</v>
      </c>
      <c r="E1391" s="38" t="s">
        <v>5064</v>
      </c>
      <c r="G1391" s="38" t="s">
        <v>43</v>
      </c>
      <c r="H1391" s="38">
        <v>14.29</v>
      </c>
      <c r="I1391" s="38" t="s">
        <v>44</v>
      </c>
      <c r="J1391" s="38" t="s">
        <v>45</v>
      </c>
      <c r="K1391" s="38" t="s">
        <v>5065</v>
      </c>
      <c r="L1391" s="30" t="s">
        <v>58</v>
      </c>
      <c r="M1391" s="38" t="s">
        <v>48</v>
      </c>
      <c r="N1391" s="38" t="s">
        <v>48</v>
      </c>
      <c r="O1391" s="31" t="s">
        <v>49</v>
      </c>
      <c r="P1391" s="28" t="s">
        <v>50</v>
      </c>
      <c r="Q1391" s="38" t="s">
        <v>51</v>
      </c>
      <c r="R1391" s="38">
        <v>1</v>
      </c>
      <c r="S1391" s="38" t="s">
        <v>3868</v>
      </c>
      <c r="T1391" s="38" t="s">
        <v>53</v>
      </c>
      <c r="U1391" s="38" t="s">
        <v>54</v>
      </c>
      <c r="V1391" s="38" t="s">
        <v>55</v>
      </c>
      <c r="Y1391" s="38">
        <v>96.62</v>
      </c>
      <c r="Z1391" s="38">
        <v>1</v>
      </c>
      <c r="AF1391" s="38">
        <v>82.33</v>
      </c>
      <c r="AK1391" s="14" t="e">
        <f t="shared" si="7"/>
        <v>#DIV/0!</v>
      </c>
      <c r="AM1391" s="38"/>
      <c r="AO1391" s="28"/>
    </row>
    <row r="1392" spans="1:41" ht="12.5">
      <c r="A1392" s="28" t="s">
        <v>5066</v>
      </c>
      <c r="B1392" s="37">
        <v>45863</v>
      </c>
      <c r="C1392" s="29">
        <v>45868</v>
      </c>
      <c r="D1392" s="38" t="s">
        <v>41</v>
      </c>
      <c r="E1392" s="38" t="s">
        <v>5067</v>
      </c>
      <c r="G1392" s="38" t="s">
        <v>43</v>
      </c>
      <c r="H1392" s="38">
        <v>7.45</v>
      </c>
      <c r="I1392" s="38" t="s">
        <v>44</v>
      </c>
      <c r="J1392" s="38" t="s">
        <v>45</v>
      </c>
      <c r="K1392" s="38" t="s">
        <v>5068</v>
      </c>
      <c r="L1392" s="30" t="s">
        <v>47</v>
      </c>
      <c r="M1392" s="38" t="s">
        <v>48</v>
      </c>
      <c r="N1392" s="38" t="s">
        <v>48</v>
      </c>
      <c r="O1392" s="31" t="s">
        <v>5069</v>
      </c>
      <c r="P1392" s="28" t="s">
        <v>5070</v>
      </c>
      <c r="Q1392" s="38" t="s">
        <v>5071</v>
      </c>
      <c r="R1392" s="38">
        <v>1</v>
      </c>
      <c r="S1392" s="38" t="s">
        <v>52</v>
      </c>
      <c r="T1392" s="38" t="s">
        <v>53</v>
      </c>
      <c r="U1392" s="38" t="s">
        <v>54</v>
      </c>
      <c r="V1392" s="38" t="s">
        <v>55</v>
      </c>
      <c r="Y1392" s="38">
        <v>47.32</v>
      </c>
      <c r="Z1392" s="38">
        <v>1</v>
      </c>
      <c r="AF1392" s="38">
        <v>47.32</v>
      </c>
      <c r="AI1392" s="38">
        <v>1</v>
      </c>
      <c r="AJ1392" s="38">
        <v>6</v>
      </c>
      <c r="AK1392" s="14">
        <f t="shared" si="7"/>
        <v>0.16666666666666666</v>
      </c>
      <c r="AM1392" s="38"/>
      <c r="AO1392" s="28"/>
    </row>
    <row r="1393" spans="1:41" ht="12.5">
      <c r="A1393" s="28" t="s">
        <v>5072</v>
      </c>
      <c r="B1393" s="37">
        <v>45846</v>
      </c>
      <c r="C1393" s="29">
        <v>45866</v>
      </c>
      <c r="D1393" s="38" t="s">
        <v>41</v>
      </c>
      <c r="E1393" s="38" t="s">
        <v>5073</v>
      </c>
      <c r="G1393" s="38" t="s">
        <v>43</v>
      </c>
      <c r="H1393" s="38">
        <v>11.31</v>
      </c>
      <c r="I1393" s="38" t="s">
        <v>44</v>
      </c>
      <c r="J1393" s="38" t="s">
        <v>45</v>
      </c>
      <c r="K1393" s="38" t="s">
        <v>5074</v>
      </c>
      <c r="L1393" s="30" t="s">
        <v>58</v>
      </c>
      <c r="M1393" s="38" t="s">
        <v>48</v>
      </c>
      <c r="N1393" s="38" t="s">
        <v>48</v>
      </c>
      <c r="O1393" s="31" t="s">
        <v>79</v>
      </c>
      <c r="P1393" s="28" t="s">
        <v>80</v>
      </c>
      <c r="Q1393" s="38" t="s">
        <v>4631</v>
      </c>
      <c r="R1393" s="38">
        <v>1</v>
      </c>
      <c r="S1393" s="38" t="s">
        <v>68</v>
      </c>
      <c r="T1393" s="38" t="s">
        <v>53</v>
      </c>
      <c r="U1393" s="38" t="s">
        <v>54</v>
      </c>
      <c r="V1393" s="38" t="s">
        <v>55</v>
      </c>
      <c r="Y1393" s="38">
        <v>112.22</v>
      </c>
      <c r="Z1393" s="38">
        <v>2</v>
      </c>
      <c r="AF1393" s="38">
        <v>44.8</v>
      </c>
      <c r="AI1393" s="38">
        <v>2</v>
      </c>
      <c r="AJ1393" s="38">
        <v>18</v>
      </c>
      <c r="AK1393" s="14">
        <f t="shared" si="7"/>
        <v>0.1111111111111111</v>
      </c>
      <c r="AM1393" s="38"/>
      <c r="AO1393" s="28"/>
    </row>
    <row r="1394" spans="1:41" ht="12.5">
      <c r="A1394" s="28" t="s">
        <v>5075</v>
      </c>
      <c r="B1394" s="37">
        <v>45838</v>
      </c>
      <c r="C1394" s="29">
        <v>45857</v>
      </c>
      <c r="D1394" s="38" t="s">
        <v>41</v>
      </c>
      <c r="E1394" s="38" t="s">
        <v>5076</v>
      </c>
      <c r="G1394" s="38" t="s">
        <v>43</v>
      </c>
      <c r="H1394" s="38">
        <v>11.31</v>
      </c>
      <c r="I1394" s="38" t="s">
        <v>44</v>
      </c>
      <c r="J1394" s="38" t="s">
        <v>45</v>
      </c>
      <c r="K1394" s="38" t="s">
        <v>5077</v>
      </c>
      <c r="L1394" s="30" t="s">
        <v>47</v>
      </c>
      <c r="M1394" s="38" t="s">
        <v>48</v>
      </c>
      <c r="N1394" s="38" t="s">
        <v>48</v>
      </c>
      <c r="O1394" s="31" t="s">
        <v>79</v>
      </c>
      <c r="P1394" s="28" t="s">
        <v>80</v>
      </c>
      <c r="Q1394" s="38" t="s">
        <v>4631</v>
      </c>
      <c r="R1394" s="38">
        <v>1</v>
      </c>
      <c r="S1394" s="38" t="s">
        <v>92</v>
      </c>
      <c r="T1394" s="38" t="s">
        <v>53</v>
      </c>
      <c r="U1394" s="38" t="s">
        <v>54</v>
      </c>
      <c r="V1394" s="38" t="s">
        <v>61</v>
      </c>
      <c r="Y1394" s="38">
        <v>53.96</v>
      </c>
      <c r="Z1394" s="38">
        <v>1</v>
      </c>
      <c r="AF1394" s="38">
        <v>38.11</v>
      </c>
      <c r="AK1394" s="14" t="e">
        <f t="shared" si="7"/>
        <v>#DIV/0!</v>
      </c>
      <c r="AM1394" s="38"/>
      <c r="AO1394" s="28"/>
    </row>
    <row r="1395" spans="1:41" ht="12.5">
      <c r="A1395" s="28" t="s">
        <v>5078</v>
      </c>
      <c r="B1395" s="37">
        <v>45858</v>
      </c>
      <c r="C1395" s="29">
        <v>45867</v>
      </c>
      <c r="D1395" s="38" t="s">
        <v>41</v>
      </c>
      <c r="E1395" s="38" t="s">
        <v>5079</v>
      </c>
      <c r="G1395" s="38" t="s">
        <v>43</v>
      </c>
      <c r="H1395" s="38">
        <v>9.8000000000000007</v>
      </c>
      <c r="I1395" s="38" t="s">
        <v>44</v>
      </c>
      <c r="J1395" s="38" t="s">
        <v>45</v>
      </c>
      <c r="K1395" s="38" t="s">
        <v>5080</v>
      </c>
      <c r="L1395" s="30" t="s">
        <v>58</v>
      </c>
      <c r="M1395" s="38" t="s">
        <v>48</v>
      </c>
      <c r="N1395" s="38" t="s">
        <v>48</v>
      </c>
      <c r="O1395" s="31" t="s">
        <v>972</v>
      </c>
      <c r="P1395" s="28" t="s">
        <v>973</v>
      </c>
      <c r="Q1395" s="38" t="s">
        <v>4153</v>
      </c>
      <c r="R1395" s="38">
        <v>1</v>
      </c>
      <c r="S1395" s="38" t="s">
        <v>3878</v>
      </c>
      <c r="T1395" s="38" t="s">
        <v>53</v>
      </c>
      <c r="U1395" s="38" t="s">
        <v>54</v>
      </c>
      <c r="V1395" s="38" t="s">
        <v>55</v>
      </c>
      <c r="Y1395" s="38">
        <v>59.16</v>
      </c>
      <c r="Z1395" s="38">
        <v>1</v>
      </c>
      <c r="AF1395" s="38">
        <v>49.36</v>
      </c>
      <c r="AI1395" s="38">
        <v>4</v>
      </c>
      <c r="AJ1395" s="38">
        <v>18</v>
      </c>
      <c r="AK1395" s="14">
        <f t="shared" si="7"/>
        <v>0.22222222222222221</v>
      </c>
      <c r="AM1395" s="38"/>
      <c r="AO1395" s="28"/>
    </row>
    <row r="1396" spans="1:41" ht="12.5">
      <c r="A1396" s="28" t="s">
        <v>5081</v>
      </c>
      <c r="B1396" s="37">
        <v>45842</v>
      </c>
      <c r="C1396" s="29">
        <v>45864</v>
      </c>
      <c r="D1396" s="38" t="s">
        <v>41</v>
      </c>
      <c r="E1396" s="38" t="s">
        <v>5082</v>
      </c>
      <c r="G1396" s="38" t="s">
        <v>43</v>
      </c>
      <c r="H1396" s="38">
        <v>9.8000000000000007</v>
      </c>
      <c r="I1396" s="38" t="s">
        <v>44</v>
      </c>
      <c r="J1396" s="38" t="s">
        <v>45</v>
      </c>
      <c r="K1396" s="38" t="s">
        <v>5083</v>
      </c>
      <c r="L1396" s="30" t="s">
        <v>58</v>
      </c>
      <c r="M1396" s="38" t="s">
        <v>48</v>
      </c>
      <c r="N1396" s="38" t="s">
        <v>48</v>
      </c>
      <c r="O1396" s="31" t="s">
        <v>972</v>
      </c>
      <c r="P1396" s="28" t="s">
        <v>973</v>
      </c>
      <c r="Q1396" s="38" t="s">
        <v>4153</v>
      </c>
      <c r="R1396" s="38">
        <v>1</v>
      </c>
      <c r="S1396" s="38" t="s">
        <v>3878</v>
      </c>
      <c r="T1396" s="38" t="s">
        <v>53</v>
      </c>
      <c r="U1396" s="38" t="s">
        <v>54</v>
      </c>
      <c r="V1396" s="38" t="s">
        <v>61</v>
      </c>
      <c r="Y1396" s="38">
        <v>58.08</v>
      </c>
      <c r="Z1396" s="38">
        <v>1</v>
      </c>
      <c r="AF1396" s="38"/>
      <c r="AK1396" s="14" t="e">
        <f t="shared" si="7"/>
        <v>#DIV/0!</v>
      </c>
      <c r="AM1396" s="38"/>
      <c r="AO1396" s="28"/>
    </row>
    <row r="1397" spans="1:41" ht="12.5">
      <c r="A1397" s="28" t="s">
        <v>5084</v>
      </c>
      <c r="B1397" s="37">
        <v>45840</v>
      </c>
      <c r="C1397" s="29">
        <v>45861</v>
      </c>
      <c r="D1397" s="38" t="s">
        <v>41</v>
      </c>
      <c r="E1397" s="38" t="s">
        <v>5085</v>
      </c>
      <c r="G1397" s="38" t="s">
        <v>43</v>
      </c>
      <c r="H1397" s="38">
        <v>9.8000000000000007</v>
      </c>
      <c r="I1397" s="38" t="s">
        <v>44</v>
      </c>
      <c r="J1397" s="38" t="s">
        <v>45</v>
      </c>
      <c r="K1397" s="38" t="s">
        <v>5086</v>
      </c>
      <c r="L1397" s="30" t="s">
        <v>47</v>
      </c>
      <c r="M1397" s="38" t="s">
        <v>48</v>
      </c>
      <c r="N1397" s="38" t="s">
        <v>48</v>
      </c>
      <c r="O1397" s="31" t="s">
        <v>972</v>
      </c>
      <c r="P1397" s="28" t="s">
        <v>973</v>
      </c>
      <c r="Q1397" s="38" t="s">
        <v>4153</v>
      </c>
      <c r="R1397" s="38">
        <v>1</v>
      </c>
      <c r="S1397" s="38" t="s">
        <v>99</v>
      </c>
      <c r="T1397" s="38" t="s">
        <v>53</v>
      </c>
      <c r="U1397" s="38" t="s">
        <v>54</v>
      </c>
      <c r="V1397" s="38" t="s">
        <v>55</v>
      </c>
      <c r="Y1397" s="38">
        <v>58.62</v>
      </c>
      <c r="Z1397" s="38">
        <v>1</v>
      </c>
      <c r="AF1397" s="38">
        <v>58.62</v>
      </c>
      <c r="AK1397" s="14" t="e">
        <f t="shared" si="7"/>
        <v>#DIV/0!</v>
      </c>
      <c r="AM1397" s="38"/>
      <c r="AO1397" s="28"/>
    </row>
    <row r="1398" spans="1:41" ht="12.5">
      <c r="A1398" s="28" t="s">
        <v>5087</v>
      </c>
      <c r="B1398" s="37">
        <v>45825</v>
      </c>
      <c r="C1398" s="29">
        <v>45861</v>
      </c>
      <c r="D1398" s="38" t="s">
        <v>41</v>
      </c>
      <c r="E1398" s="38" t="s">
        <v>5088</v>
      </c>
      <c r="G1398" s="38" t="s">
        <v>43</v>
      </c>
      <c r="H1398" s="38">
        <v>9.8000000000000007</v>
      </c>
      <c r="I1398" s="38" t="s">
        <v>44</v>
      </c>
      <c r="J1398" s="38" t="s">
        <v>45</v>
      </c>
      <c r="K1398" s="38" t="s">
        <v>5089</v>
      </c>
      <c r="L1398" s="30" t="s">
        <v>58</v>
      </c>
      <c r="M1398" s="38" t="s">
        <v>48</v>
      </c>
      <c r="N1398" s="38" t="s">
        <v>48</v>
      </c>
      <c r="O1398" s="31" t="s">
        <v>972</v>
      </c>
      <c r="P1398" s="28" t="s">
        <v>973</v>
      </c>
      <c r="Q1398" s="38" t="s">
        <v>4153</v>
      </c>
      <c r="R1398" s="38">
        <v>1</v>
      </c>
      <c r="S1398" s="38" t="s">
        <v>68</v>
      </c>
      <c r="T1398" s="38" t="s">
        <v>53</v>
      </c>
      <c r="U1398" s="38" t="s">
        <v>54</v>
      </c>
      <c r="V1398" s="38" t="s">
        <v>61</v>
      </c>
      <c r="Y1398" s="38">
        <v>57.14</v>
      </c>
      <c r="Z1398" s="38">
        <v>1</v>
      </c>
      <c r="AF1398" s="38"/>
      <c r="AK1398" s="14" t="e">
        <f t="shared" si="7"/>
        <v>#DIV/0!</v>
      </c>
      <c r="AM1398" s="38"/>
      <c r="AO1398" s="28"/>
    </row>
    <row r="1399" spans="1:41" ht="12.5">
      <c r="A1399" s="28" t="s">
        <v>5090</v>
      </c>
      <c r="B1399" s="37">
        <v>45848</v>
      </c>
      <c r="C1399" s="29">
        <v>45857</v>
      </c>
      <c r="D1399" s="38" t="s">
        <v>41</v>
      </c>
      <c r="E1399" s="38" t="s">
        <v>5091</v>
      </c>
      <c r="G1399" s="38" t="s">
        <v>43</v>
      </c>
      <c r="H1399" s="38">
        <v>12.87</v>
      </c>
      <c r="I1399" s="38" t="s">
        <v>44</v>
      </c>
      <c r="J1399" s="38" t="s">
        <v>45</v>
      </c>
      <c r="K1399" s="38" t="s">
        <v>5092</v>
      </c>
      <c r="L1399" s="30" t="s">
        <v>58</v>
      </c>
      <c r="M1399" s="38" t="s">
        <v>48</v>
      </c>
      <c r="N1399" s="38" t="s">
        <v>48</v>
      </c>
      <c r="O1399" s="31" t="s">
        <v>109</v>
      </c>
      <c r="P1399" s="28" t="s">
        <v>110</v>
      </c>
      <c r="Q1399" s="38" t="s">
        <v>5093</v>
      </c>
      <c r="R1399" s="38">
        <v>1</v>
      </c>
      <c r="S1399" s="38" t="s">
        <v>3884</v>
      </c>
      <c r="T1399" s="38" t="s">
        <v>53</v>
      </c>
      <c r="U1399" s="38" t="s">
        <v>54</v>
      </c>
      <c r="V1399" s="38" t="s">
        <v>61</v>
      </c>
      <c r="Y1399" s="38">
        <v>109.85</v>
      </c>
      <c r="Z1399" s="38">
        <v>1</v>
      </c>
      <c r="AF1399" s="38"/>
      <c r="AI1399" s="38">
        <v>1</v>
      </c>
      <c r="AK1399" s="14" t="e">
        <f t="shared" si="7"/>
        <v>#DIV/0!</v>
      </c>
      <c r="AM1399" s="38"/>
      <c r="AO1399" s="28"/>
    </row>
    <row r="1400" spans="1:41" ht="12.5">
      <c r="A1400" s="28" t="s">
        <v>5094</v>
      </c>
      <c r="B1400" s="37">
        <v>45860</v>
      </c>
      <c r="C1400" s="29">
        <v>45867</v>
      </c>
      <c r="D1400" s="38" t="s">
        <v>41</v>
      </c>
      <c r="E1400" s="38" t="s">
        <v>5095</v>
      </c>
      <c r="G1400" s="38" t="s">
        <v>43</v>
      </c>
      <c r="H1400" s="38">
        <v>8.0299999999999994</v>
      </c>
      <c r="I1400" s="38" t="s">
        <v>44</v>
      </c>
      <c r="J1400" s="38" t="s">
        <v>45</v>
      </c>
      <c r="K1400" s="38" t="s">
        <v>5096</v>
      </c>
      <c r="L1400" s="30" t="s">
        <v>47</v>
      </c>
      <c r="M1400" s="38" t="s">
        <v>48</v>
      </c>
      <c r="N1400" s="38" t="s">
        <v>48</v>
      </c>
      <c r="O1400" s="31" t="s">
        <v>987</v>
      </c>
      <c r="P1400" s="28" t="s">
        <v>988</v>
      </c>
      <c r="Q1400" s="38" t="s">
        <v>5097</v>
      </c>
      <c r="R1400" s="38">
        <v>1</v>
      </c>
      <c r="S1400" s="38" t="s">
        <v>92</v>
      </c>
      <c r="T1400" s="38" t="s">
        <v>53</v>
      </c>
      <c r="U1400" s="38" t="s">
        <v>54</v>
      </c>
      <c r="V1400" s="38" t="s">
        <v>55</v>
      </c>
      <c r="Y1400" s="38">
        <v>59.56</v>
      </c>
      <c r="Z1400" s="38">
        <v>1</v>
      </c>
      <c r="AF1400" s="38">
        <v>59.56</v>
      </c>
      <c r="AI1400" s="38">
        <v>1</v>
      </c>
      <c r="AJ1400" s="38">
        <v>2</v>
      </c>
      <c r="AK1400" s="14">
        <f t="shared" si="7"/>
        <v>0.5</v>
      </c>
      <c r="AM1400" s="38"/>
      <c r="AO1400" s="28" t="s">
        <v>5098</v>
      </c>
    </row>
    <row r="1401" spans="1:41" ht="12.5">
      <c r="A1401" s="28" t="s">
        <v>5099</v>
      </c>
      <c r="B1401" s="37">
        <v>45845</v>
      </c>
      <c r="C1401" s="29">
        <v>45856</v>
      </c>
      <c r="D1401" s="38" t="s">
        <v>41</v>
      </c>
      <c r="E1401" s="38" t="s">
        <v>5100</v>
      </c>
      <c r="G1401" s="38" t="s">
        <v>43</v>
      </c>
      <c r="H1401" s="38">
        <v>6.83</v>
      </c>
      <c r="I1401" s="38" t="s">
        <v>44</v>
      </c>
      <c r="J1401" s="38" t="s">
        <v>45</v>
      </c>
      <c r="K1401" s="38" t="s">
        <v>5101</v>
      </c>
      <c r="L1401" s="30" t="s">
        <v>58</v>
      </c>
      <c r="M1401" s="38" t="s">
        <v>48</v>
      </c>
      <c r="N1401" s="38" t="s">
        <v>48</v>
      </c>
      <c r="O1401" s="31" t="s">
        <v>5102</v>
      </c>
      <c r="P1401" s="28" t="s">
        <v>5103</v>
      </c>
      <c r="Q1401" s="38" t="s">
        <v>5104</v>
      </c>
      <c r="R1401" s="38">
        <v>1</v>
      </c>
      <c r="S1401" s="38" t="s">
        <v>75</v>
      </c>
      <c r="T1401" s="38" t="s">
        <v>53</v>
      </c>
      <c r="U1401" s="38" t="s">
        <v>54</v>
      </c>
      <c r="V1401" s="38" t="s">
        <v>55</v>
      </c>
      <c r="Y1401" s="38">
        <v>91.7</v>
      </c>
      <c r="Z1401" s="38">
        <v>1</v>
      </c>
      <c r="AF1401" s="38">
        <v>84.87</v>
      </c>
      <c r="AI1401" s="38">
        <v>1</v>
      </c>
      <c r="AJ1401" s="38">
        <v>1</v>
      </c>
      <c r="AK1401" s="14">
        <f t="shared" si="7"/>
        <v>1</v>
      </c>
      <c r="AM1401" s="38"/>
      <c r="AO1401" s="28"/>
    </row>
    <row r="1402" spans="1:41" ht="12.5">
      <c r="A1402" s="28" t="s">
        <v>5105</v>
      </c>
      <c r="B1402" s="37">
        <v>45859</v>
      </c>
      <c r="C1402" s="29">
        <v>45861</v>
      </c>
      <c r="D1402" s="38" t="s">
        <v>41</v>
      </c>
      <c r="E1402" s="38" t="s">
        <v>5106</v>
      </c>
      <c r="G1402" s="38" t="s">
        <v>137</v>
      </c>
      <c r="H1402" s="38">
        <v>0</v>
      </c>
      <c r="I1402" s="38"/>
      <c r="J1402" s="38"/>
      <c r="K1402" s="38"/>
      <c r="L1402" s="30" t="s">
        <v>58</v>
      </c>
      <c r="M1402" s="38" t="s">
        <v>48</v>
      </c>
      <c r="N1402" s="38" t="s">
        <v>48</v>
      </c>
      <c r="O1402" s="31" t="s">
        <v>1020</v>
      </c>
      <c r="P1402" s="28" t="s">
        <v>1021</v>
      </c>
      <c r="Q1402" s="38" t="s">
        <v>1022</v>
      </c>
      <c r="R1402" s="38">
        <v>1</v>
      </c>
      <c r="S1402" s="38" t="s">
        <v>3868</v>
      </c>
      <c r="T1402" s="38" t="s">
        <v>53</v>
      </c>
      <c r="U1402" s="38" t="s">
        <v>54</v>
      </c>
      <c r="V1402" s="38" t="s">
        <v>61</v>
      </c>
      <c r="Y1402" s="38">
        <v>302.75</v>
      </c>
      <c r="Z1402" s="38">
        <v>1</v>
      </c>
      <c r="AF1402" s="38"/>
      <c r="AI1402" s="38">
        <v>1</v>
      </c>
      <c r="AJ1402" s="38">
        <v>18</v>
      </c>
      <c r="AK1402" s="14">
        <f t="shared" si="7"/>
        <v>5.5555555555555552E-2</v>
      </c>
      <c r="AM1402" s="38"/>
      <c r="AO1402" s="28"/>
    </row>
    <row r="1403" spans="1:41" ht="12.5">
      <c r="A1403" s="28" t="s">
        <v>5107</v>
      </c>
      <c r="B1403" s="37">
        <v>45858</v>
      </c>
      <c r="C1403" s="29">
        <v>45866</v>
      </c>
      <c r="D1403" s="38" t="s">
        <v>41</v>
      </c>
      <c r="E1403" s="38" t="s">
        <v>5108</v>
      </c>
      <c r="G1403" s="38" t="s">
        <v>137</v>
      </c>
      <c r="H1403" s="38">
        <v>0</v>
      </c>
      <c r="I1403" s="38"/>
      <c r="J1403" s="38"/>
      <c r="K1403" s="38"/>
      <c r="L1403" s="30" t="s">
        <v>47</v>
      </c>
      <c r="M1403" s="38" t="s">
        <v>53</v>
      </c>
      <c r="N1403" s="38" t="s">
        <v>48</v>
      </c>
      <c r="O1403" s="31" t="s">
        <v>147</v>
      </c>
      <c r="P1403" s="28" t="s">
        <v>148</v>
      </c>
      <c r="Q1403" s="38" t="s">
        <v>5109</v>
      </c>
      <c r="R1403" s="38">
        <v>1</v>
      </c>
      <c r="S1403" s="38" t="s">
        <v>52</v>
      </c>
      <c r="T1403" s="38" t="s">
        <v>53</v>
      </c>
      <c r="U1403" s="38" t="s">
        <v>54</v>
      </c>
      <c r="V1403" s="38" t="s">
        <v>61</v>
      </c>
      <c r="Y1403" s="38">
        <v>381.61</v>
      </c>
      <c r="Z1403" s="38">
        <v>1</v>
      </c>
      <c r="AF1403" s="38"/>
      <c r="AI1403" s="38">
        <v>1</v>
      </c>
      <c r="AJ1403" s="38">
        <v>4</v>
      </c>
      <c r="AK1403" s="14">
        <f t="shared" si="7"/>
        <v>0.25</v>
      </c>
      <c r="AM1403" s="38"/>
      <c r="AO1403" s="28" t="s">
        <v>5110</v>
      </c>
    </row>
    <row r="1404" spans="1:41" ht="12.5">
      <c r="A1404" s="28" t="s">
        <v>5107</v>
      </c>
      <c r="B1404" s="37">
        <v>45858</v>
      </c>
      <c r="C1404" s="29">
        <v>45860</v>
      </c>
      <c r="D1404" s="38" t="s">
        <v>41</v>
      </c>
      <c r="E1404" s="38" t="s">
        <v>5111</v>
      </c>
      <c r="G1404" s="38" t="s">
        <v>137</v>
      </c>
      <c r="H1404" s="38">
        <v>0</v>
      </c>
      <c r="I1404" s="38"/>
      <c r="J1404" s="38"/>
      <c r="K1404" s="38"/>
      <c r="L1404" s="30" t="s">
        <v>47</v>
      </c>
      <c r="M1404" s="38" t="s">
        <v>48</v>
      </c>
      <c r="N1404" s="38" t="s">
        <v>48</v>
      </c>
      <c r="O1404" s="31" t="s">
        <v>147</v>
      </c>
      <c r="P1404" s="28" t="s">
        <v>148</v>
      </c>
      <c r="Q1404" s="38" t="s">
        <v>5109</v>
      </c>
      <c r="R1404" s="38">
        <v>1</v>
      </c>
      <c r="S1404" s="38" t="s">
        <v>52</v>
      </c>
      <c r="T1404" s="38" t="s">
        <v>53</v>
      </c>
      <c r="U1404" s="38" t="s">
        <v>54</v>
      </c>
      <c r="V1404" s="38" t="s">
        <v>61</v>
      </c>
      <c r="Y1404" s="38">
        <v>381.61</v>
      </c>
      <c r="Z1404" s="38">
        <v>1</v>
      </c>
      <c r="AF1404" s="38"/>
      <c r="AK1404" s="14" t="e">
        <f t="shared" si="7"/>
        <v>#DIV/0!</v>
      </c>
      <c r="AM1404" s="38"/>
      <c r="AO1404" s="28"/>
    </row>
    <row r="1405" spans="1:41" ht="12.5">
      <c r="A1405" s="28" t="s">
        <v>5112</v>
      </c>
      <c r="B1405" s="37">
        <v>45865</v>
      </c>
      <c r="C1405" s="29">
        <v>45868</v>
      </c>
      <c r="D1405" s="38" t="s">
        <v>41</v>
      </c>
      <c r="E1405" s="38" t="s">
        <v>5113</v>
      </c>
      <c r="G1405" s="38" t="s">
        <v>43</v>
      </c>
      <c r="H1405" s="38">
        <v>11.96</v>
      </c>
      <c r="I1405" s="38" t="s">
        <v>44</v>
      </c>
      <c r="J1405" s="38" t="s">
        <v>45</v>
      </c>
      <c r="K1405" s="38" t="s">
        <v>5114</v>
      </c>
      <c r="L1405" s="30" t="s">
        <v>58</v>
      </c>
      <c r="M1405" s="38" t="s">
        <v>48</v>
      </c>
      <c r="N1405" s="38" t="s">
        <v>48</v>
      </c>
      <c r="O1405" s="31" t="s">
        <v>160</v>
      </c>
      <c r="P1405" s="28" t="s">
        <v>161</v>
      </c>
      <c r="Q1405" s="38" t="s">
        <v>4426</v>
      </c>
      <c r="R1405" s="38">
        <v>1</v>
      </c>
      <c r="S1405" s="38" t="s">
        <v>3878</v>
      </c>
      <c r="T1405" s="38" t="s">
        <v>53</v>
      </c>
      <c r="U1405" s="38" t="s">
        <v>54</v>
      </c>
      <c r="V1405" s="38" t="s">
        <v>61</v>
      </c>
      <c r="Y1405" s="38">
        <v>53.6</v>
      </c>
      <c r="Z1405" s="38">
        <v>1</v>
      </c>
      <c r="AF1405" s="38"/>
      <c r="AI1405" s="38">
        <v>3</v>
      </c>
      <c r="AJ1405" s="38">
        <v>12</v>
      </c>
      <c r="AK1405" s="14">
        <f t="shared" si="7"/>
        <v>0.25</v>
      </c>
      <c r="AM1405" s="38"/>
      <c r="AO1405" s="28"/>
    </row>
    <row r="1406" spans="1:41" ht="12.5">
      <c r="A1406" s="28" t="s">
        <v>5115</v>
      </c>
      <c r="B1406" s="37">
        <v>45857</v>
      </c>
      <c r="C1406" s="29">
        <v>45867</v>
      </c>
      <c r="D1406" s="38" t="s">
        <v>41</v>
      </c>
      <c r="E1406" s="38" t="s">
        <v>5116</v>
      </c>
      <c r="G1406" s="38" t="s">
        <v>43</v>
      </c>
      <c r="H1406" s="38">
        <v>11.96</v>
      </c>
      <c r="I1406" s="38" t="s">
        <v>44</v>
      </c>
      <c r="J1406" s="38" t="s">
        <v>45</v>
      </c>
      <c r="K1406" s="38" t="s">
        <v>5117</v>
      </c>
      <c r="L1406" s="30" t="s">
        <v>58</v>
      </c>
      <c r="M1406" s="38" t="s">
        <v>48</v>
      </c>
      <c r="N1406" s="38" t="s">
        <v>48</v>
      </c>
      <c r="O1406" s="31" t="s">
        <v>160</v>
      </c>
      <c r="P1406" s="28" t="s">
        <v>161</v>
      </c>
      <c r="Q1406" s="38" t="s">
        <v>4426</v>
      </c>
      <c r="R1406" s="38">
        <v>1</v>
      </c>
      <c r="S1406" s="38" t="s">
        <v>3878</v>
      </c>
      <c r="T1406" s="38" t="s">
        <v>53</v>
      </c>
      <c r="U1406" s="38" t="s">
        <v>54</v>
      </c>
      <c r="V1406" s="38" t="s">
        <v>61</v>
      </c>
      <c r="Y1406" s="38">
        <v>53.15</v>
      </c>
      <c r="Z1406" s="38">
        <v>1</v>
      </c>
      <c r="AF1406" s="38"/>
      <c r="AK1406" s="14" t="e">
        <f t="shared" si="7"/>
        <v>#DIV/0!</v>
      </c>
      <c r="AM1406" s="38"/>
      <c r="AO1406" s="28"/>
    </row>
    <row r="1407" spans="1:41" ht="12.5">
      <c r="A1407" s="28" t="s">
        <v>5118</v>
      </c>
      <c r="B1407" s="37">
        <v>45859</v>
      </c>
      <c r="C1407" s="29">
        <v>45866</v>
      </c>
      <c r="D1407" s="38" t="s">
        <v>41</v>
      </c>
      <c r="E1407" s="38" t="s">
        <v>5119</v>
      </c>
      <c r="G1407" s="38" t="s">
        <v>43</v>
      </c>
      <c r="H1407" s="38">
        <v>11.96</v>
      </c>
      <c r="I1407" s="38" t="s">
        <v>44</v>
      </c>
      <c r="J1407" s="38" t="s">
        <v>45</v>
      </c>
      <c r="K1407" s="38" t="s">
        <v>5120</v>
      </c>
      <c r="L1407" s="30" t="s">
        <v>58</v>
      </c>
      <c r="M1407" s="38" t="s">
        <v>48</v>
      </c>
      <c r="N1407" s="38" t="s">
        <v>48</v>
      </c>
      <c r="O1407" s="31" t="s">
        <v>160</v>
      </c>
      <c r="P1407" s="28" t="s">
        <v>161</v>
      </c>
      <c r="Q1407" s="38" t="s">
        <v>4426</v>
      </c>
      <c r="R1407" s="38">
        <v>1</v>
      </c>
      <c r="S1407" s="38" t="s">
        <v>3868</v>
      </c>
      <c r="T1407" s="38" t="s">
        <v>53</v>
      </c>
      <c r="U1407" s="38" t="s">
        <v>54</v>
      </c>
      <c r="V1407" s="38" t="s">
        <v>61</v>
      </c>
      <c r="Y1407" s="38">
        <v>54.5</v>
      </c>
      <c r="Z1407" s="38">
        <v>1</v>
      </c>
      <c r="AF1407" s="38"/>
      <c r="AK1407" s="14" t="e">
        <f t="shared" si="7"/>
        <v>#DIV/0!</v>
      </c>
      <c r="AM1407" s="38"/>
      <c r="AO1407" s="28"/>
    </row>
    <row r="1408" spans="1:41" ht="12.5">
      <c r="A1408" s="28" t="s">
        <v>5121</v>
      </c>
      <c r="B1408" s="37">
        <v>45860</v>
      </c>
      <c r="C1408" s="29">
        <v>45866</v>
      </c>
      <c r="D1408" s="38" t="s">
        <v>41</v>
      </c>
      <c r="E1408" s="38" t="s">
        <v>5122</v>
      </c>
      <c r="G1408" s="38" t="s">
        <v>43</v>
      </c>
      <c r="H1408" s="38">
        <v>11.71</v>
      </c>
      <c r="I1408" s="38" t="s">
        <v>44</v>
      </c>
      <c r="J1408" s="38" t="s">
        <v>45</v>
      </c>
      <c r="K1408" s="38" t="s">
        <v>5123</v>
      </c>
      <c r="L1408" s="30" t="s">
        <v>58</v>
      </c>
      <c r="M1408" s="38" t="s">
        <v>48</v>
      </c>
      <c r="N1408" s="38" t="s">
        <v>48</v>
      </c>
      <c r="O1408" s="31" t="s">
        <v>198</v>
      </c>
      <c r="P1408" s="28" t="s">
        <v>199</v>
      </c>
      <c r="Q1408" s="38" t="s">
        <v>200</v>
      </c>
      <c r="R1408" s="38">
        <v>1</v>
      </c>
      <c r="S1408" s="38" t="s">
        <v>3878</v>
      </c>
      <c r="T1408" s="38" t="s">
        <v>53</v>
      </c>
      <c r="U1408" s="38" t="s">
        <v>54</v>
      </c>
      <c r="V1408" s="38" t="s">
        <v>61</v>
      </c>
      <c r="Y1408" s="38">
        <v>99.57</v>
      </c>
      <c r="Z1408" s="38">
        <v>1</v>
      </c>
      <c r="AF1408" s="38"/>
      <c r="AI1408" s="38">
        <v>1</v>
      </c>
      <c r="AJ1408" s="38">
        <v>3</v>
      </c>
      <c r="AK1408" s="14">
        <f t="shared" si="7"/>
        <v>0.33333333333333331</v>
      </c>
      <c r="AM1408" s="38"/>
      <c r="AO1408" s="28"/>
    </row>
    <row r="1409" spans="1:41" ht="12.5">
      <c r="A1409" s="28" t="s">
        <v>5124</v>
      </c>
      <c r="B1409" s="37">
        <v>45860</v>
      </c>
      <c r="C1409" s="29">
        <v>45864</v>
      </c>
      <c r="D1409" s="38" t="s">
        <v>41</v>
      </c>
      <c r="E1409" s="38" t="s">
        <v>5125</v>
      </c>
      <c r="G1409" s="38" t="s">
        <v>43</v>
      </c>
      <c r="H1409" s="38">
        <v>13.81</v>
      </c>
      <c r="I1409" s="38" t="s">
        <v>44</v>
      </c>
      <c r="J1409" s="38" t="s">
        <v>45</v>
      </c>
      <c r="K1409" s="38" t="s">
        <v>5126</v>
      </c>
      <c r="L1409" s="30" t="s">
        <v>47</v>
      </c>
      <c r="M1409" s="38" t="s">
        <v>48</v>
      </c>
      <c r="N1409" s="38" t="s">
        <v>48</v>
      </c>
      <c r="O1409" s="31" t="s">
        <v>219</v>
      </c>
      <c r="P1409" s="28" t="s">
        <v>220</v>
      </c>
      <c r="Q1409" s="38" t="s">
        <v>221</v>
      </c>
      <c r="R1409" s="38">
        <v>1</v>
      </c>
      <c r="S1409" s="38" t="s">
        <v>99</v>
      </c>
      <c r="T1409" s="38" t="s">
        <v>53</v>
      </c>
      <c r="U1409" s="38" t="s">
        <v>54</v>
      </c>
      <c r="V1409" s="38" t="s">
        <v>61</v>
      </c>
      <c r="Y1409" s="38">
        <v>81.239999999999995</v>
      </c>
      <c r="Z1409" s="38">
        <v>1</v>
      </c>
      <c r="AF1409" s="38"/>
      <c r="AI1409" s="38">
        <v>3</v>
      </c>
      <c r="AJ1409" s="38">
        <v>20</v>
      </c>
      <c r="AK1409" s="14">
        <f t="shared" si="7"/>
        <v>0.15</v>
      </c>
      <c r="AM1409" s="38"/>
      <c r="AO1409" s="28"/>
    </row>
    <row r="1410" spans="1:41" ht="12.5">
      <c r="A1410" s="28" t="s">
        <v>5127</v>
      </c>
      <c r="B1410" s="37">
        <v>45860</v>
      </c>
      <c r="C1410" s="29">
        <v>45864</v>
      </c>
      <c r="D1410" s="38" t="s">
        <v>41</v>
      </c>
      <c r="E1410" s="38" t="s">
        <v>5128</v>
      </c>
      <c r="G1410" s="38" t="s">
        <v>43</v>
      </c>
      <c r="H1410" s="38">
        <v>13.81</v>
      </c>
      <c r="I1410" s="38" t="s">
        <v>44</v>
      </c>
      <c r="J1410" s="38" t="s">
        <v>45</v>
      </c>
      <c r="K1410" s="38" t="s">
        <v>5129</v>
      </c>
      <c r="L1410" s="30" t="s">
        <v>58</v>
      </c>
      <c r="M1410" s="38" t="s">
        <v>48</v>
      </c>
      <c r="N1410" s="38" t="s">
        <v>48</v>
      </c>
      <c r="O1410" s="31" t="s">
        <v>219</v>
      </c>
      <c r="P1410" s="28" t="s">
        <v>220</v>
      </c>
      <c r="Q1410" s="38" t="s">
        <v>221</v>
      </c>
      <c r="R1410" s="38">
        <v>1</v>
      </c>
      <c r="S1410" s="38" t="s">
        <v>75</v>
      </c>
      <c r="T1410" s="38" t="s">
        <v>53</v>
      </c>
      <c r="U1410" s="38" t="s">
        <v>54</v>
      </c>
      <c r="V1410" s="38" t="s">
        <v>55</v>
      </c>
      <c r="Y1410" s="38">
        <v>83.99</v>
      </c>
      <c r="Z1410" s="38">
        <v>1</v>
      </c>
      <c r="AF1410" s="38">
        <v>70.180000000000007</v>
      </c>
      <c r="AK1410" s="14" t="e">
        <f t="shared" si="7"/>
        <v>#DIV/0!</v>
      </c>
      <c r="AM1410" s="38"/>
      <c r="AO1410" s="28"/>
    </row>
    <row r="1411" spans="1:41" ht="12.5">
      <c r="A1411" s="28" t="s">
        <v>5130</v>
      </c>
      <c r="B1411" s="37">
        <v>45856</v>
      </c>
      <c r="C1411" s="29">
        <v>45863</v>
      </c>
      <c r="D1411" s="38" t="s">
        <v>41</v>
      </c>
      <c r="E1411" s="38" t="s">
        <v>5131</v>
      </c>
      <c r="G1411" s="38" t="s">
        <v>43</v>
      </c>
      <c r="H1411" s="38">
        <v>13.81</v>
      </c>
      <c r="I1411" s="38" t="s">
        <v>44</v>
      </c>
      <c r="J1411" s="38" t="s">
        <v>45</v>
      </c>
      <c r="K1411" s="38" t="s">
        <v>5132</v>
      </c>
      <c r="L1411" s="30" t="s">
        <v>47</v>
      </c>
      <c r="M1411" s="38" t="s">
        <v>48</v>
      </c>
      <c r="N1411" s="38" t="s">
        <v>48</v>
      </c>
      <c r="O1411" s="31" t="s">
        <v>219</v>
      </c>
      <c r="P1411" s="28" t="s">
        <v>220</v>
      </c>
      <c r="Q1411" s="38" t="s">
        <v>221</v>
      </c>
      <c r="R1411" s="38">
        <v>1</v>
      </c>
      <c r="S1411" s="38" t="s">
        <v>52</v>
      </c>
      <c r="T1411" s="38" t="s">
        <v>53</v>
      </c>
      <c r="U1411" s="38" t="s">
        <v>54</v>
      </c>
      <c r="V1411" s="38" t="s">
        <v>55</v>
      </c>
      <c r="Y1411" s="38">
        <v>81.52</v>
      </c>
      <c r="Z1411" s="38">
        <v>1</v>
      </c>
      <c r="AF1411" s="38">
        <v>81.52</v>
      </c>
      <c r="AK1411" s="14" t="e">
        <f t="shared" si="7"/>
        <v>#DIV/0!</v>
      </c>
      <c r="AM1411" s="38"/>
      <c r="AO1411" s="28" t="s">
        <v>5133</v>
      </c>
    </row>
    <row r="1412" spans="1:41" ht="12.5">
      <c r="A1412" s="28" t="s">
        <v>5134</v>
      </c>
      <c r="B1412" s="37">
        <v>45835</v>
      </c>
      <c r="C1412" s="29">
        <v>45857</v>
      </c>
      <c r="D1412" s="38" t="s">
        <v>41</v>
      </c>
      <c r="E1412" s="38" t="s">
        <v>5135</v>
      </c>
      <c r="G1412" s="38" t="s">
        <v>43</v>
      </c>
      <c r="H1412" s="38">
        <v>13.81</v>
      </c>
      <c r="I1412" s="38" t="s">
        <v>44</v>
      </c>
      <c r="J1412" s="38" t="s">
        <v>45</v>
      </c>
      <c r="K1412" s="38" t="s">
        <v>5136</v>
      </c>
      <c r="L1412" s="30" t="s">
        <v>58</v>
      </c>
      <c r="M1412" s="38" t="s">
        <v>48</v>
      </c>
      <c r="N1412" s="38" t="s">
        <v>48</v>
      </c>
      <c r="O1412" s="31" t="s">
        <v>1051</v>
      </c>
      <c r="P1412" s="28" t="s">
        <v>1052</v>
      </c>
      <c r="Q1412" s="38" t="s">
        <v>1053</v>
      </c>
      <c r="R1412" s="38">
        <v>1</v>
      </c>
      <c r="S1412" s="38" t="s">
        <v>3878</v>
      </c>
      <c r="T1412" s="38" t="s">
        <v>53</v>
      </c>
      <c r="U1412" s="38" t="s">
        <v>54</v>
      </c>
      <c r="V1412" s="38" t="s">
        <v>61</v>
      </c>
      <c r="Y1412" s="38">
        <v>83.36</v>
      </c>
      <c r="Z1412" s="38">
        <v>1</v>
      </c>
      <c r="AF1412" s="38"/>
      <c r="AI1412" s="38">
        <v>1</v>
      </c>
      <c r="AJ1412" s="38">
        <v>1</v>
      </c>
      <c r="AK1412" s="14">
        <f t="shared" si="7"/>
        <v>1</v>
      </c>
      <c r="AM1412" s="38"/>
      <c r="AO1412" s="28"/>
    </row>
    <row r="1413" spans="1:41" ht="12.5">
      <c r="A1413" s="28" t="s">
        <v>5137</v>
      </c>
      <c r="B1413" s="37">
        <v>45863</v>
      </c>
      <c r="C1413" s="29">
        <v>45868</v>
      </c>
      <c r="D1413" s="38" t="s">
        <v>41</v>
      </c>
      <c r="E1413" s="38" t="s">
        <v>5138</v>
      </c>
      <c r="G1413" s="38" t="s">
        <v>43</v>
      </c>
      <c r="H1413" s="38">
        <v>5.0199999999999996</v>
      </c>
      <c r="I1413" s="38" t="s">
        <v>44</v>
      </c>
      <c r="J1413" s="38" t="s">
        <v>249</v>
      </c>
      <c r="K1413" s="38" t="s">
        <v>5139</v>
      </c>
      <c r="L1413" s="30" t="s">
        <v>58</v>
      </c>
      <c r="M1413" s="38" t="s">
        <v>48</v>
      </c>
      <c r="N1413" s="38" t="s">
        <v>48</v>
      </c>
      <c r="O1413" s="31" t="s">
        <v>251</v>
      </c>
      <c r="P1413" s="28" t="s">
        <v>5140</v>
      </c>
      <c r="Q1413" s="38" t="s">
        <v>253</v>
      </c>
      <c r="R1413" s="38">
        <v>1</v>
      </c>
      <c r="S1413" s="38" t="s">
        <v>3878</v>
      </c>
      <c r="T1413" s="38" t="s">
        <v>53</v>
      </c>
      <c r="U1413" s="38" t="s">
        <v>54</v>
      </c>
      <c r="V1413" s="38" t="s">
        <v>61</v>
      </c>
      <c r="Y1413" s="38">
        <v>121.91</v>
      </c>
      <c r="Z1413" s="38">
        <v>1</v>
      </c>
      <c r="AF1413" s="38"/>
      <c r="AI1413" s="38">
        <v>2</v>
      </c>
      <c r="AJ1413" s="38">
        <v>1</v>
      </c>
      <c r="AK1413" s="14">
        <f t="shared" si="7"/>
        <v>2</v>
      </c>
      <c r="AM1413" s="38"/>
      <c r="AO1413" s="28"/>
    </row>
    <row r="1414" spans="1:41" ht="12.5">
      <c r="A1414" s="28" t="s">
        <v>5141</v>
      </c>
      <c r="B1414" s="37">
        <v>45848</v>
      </c>
      <c r="C1414" s="29">
        <v>45859</v>
      </c>
      <c r="D1414" s="38" t="s">
        <v>41</v>
      </c>
      <c r="E1414" s="38" t="s">
        <v>5142</v>
      </c>
      <c r="G1414" s="38" t="s">
        <v>43</v>
      </c>
      <c r="H1414" s="38">
        <v>4.6900000000000004</v>
      </c>
      <c r="I1414" s="38" t="s">
        <v>44</v>
      </c>
      <c r="J1414" s="38" t="s">
        <v>249</v>
      </c>
      <c r="K1414" s="38" t="s">
        <v>5143</v>
      </c>
      <c r="L1414" s="30" t="s">
        <v>58</v>
      </c>
      <c r="M1414" s="38" t="s">
        <v>48</v>
      </c>
      <c r="N1414" s="38" t="s">
        <v>48</v>
      </c>
      <c r="O1414" s="31" t="s">
        <v>251</v>
      </c>
      <c r="P1414" s="28" t="s">
        <v>252</v>
      </c>
      <c r="Q1414" s="38" t="s">
        <v>253</v>
      </c>
      <c r="R1414" s="38">
        <v>1</v>
      </c>
      <c r="S1414" s="38" t="s">
        <v>3868</v>
      </c>
      <c r="T1414" s="38" t="s">
        <v>53</v>
      </c>
      <c r="U1414" s="38" t="s">
        <v>54</v>
      </c>
      <c r="V1414" s="38" t="s">
        <v>61</v>
      </c>
      <c r="Y1414" s="38">
        <v>175.46</v>
      </c>
      <c r="Z1414" s="38">
        <v>1</v>
      </c>
      <c r="AF1414" s="38">
        <v>153.84</v>
      </c>
      <c r="AK1414" s="14" t="e">
        <f t="shared" si="7"/>
        <v>#DIV/0!</v>
      </c>
      <c r="AM1414" s="38"/>
      <c r="AO1414" s="28"/>
    </row>
    <row r="1415" spans="1:41" ht="12.5">
      <c r="A1415" s="28" t="s">
        <v>5144</v>
      </c>
      <c r="B1415" s="37">
        <v>45837</v>
      </c>
      <c r="C1415" s="29">
        <v>45869</v>
      </c>
      <c r="D1415" s="38" t="s">
        <v>41</v>
      </c>
      <c r="E1415" s="38" t="s">
        <v>5145</v>
      </c>
      <c r="G1415" s="38" t="s">
        <v>43</v>
      </c>
      <c r="H1415" s="38">
        <v>8.0299999999999994</v>
      </c>
      <c r="I1415" s="38" t="s">
        <v>44</v>
      </c>
      <c r="J1415" s="38" t="s">
        <v>45</v>
      </c>
      <c r="K1415" s="38" t="s">
        <v>5146</v>
      </c>
      <c r="L1415" s="30" t="s">
        <v>47</v>
      </c>
      <c r="M1415" s="38" t="s">
        <v>48</v>
      </c>
      <c r="N1415" s="38" t="s">
        <v>48</v>
      </c>
      <c r="O1415" s="31" t="s">
        <v>4692</v>
      </c>
      <c r="P1415" s="28" t="s">
        <v>4693</v>
      </c>
      <c r="Q1415" s="38" t="s">
        <v>4694</v>
      </c>
      <c r="R1415" s="38">
        <v>1</v>
      </c>
      <c r="S1415" s="38" t="s">
        <v>99</v>
      </c>
      <c r="T1415" s="38" t="s">
        <v>53</v>
      </c>
      <c r="U1415" s="38" t="s">
        <v>54</v>
      </c>
      <c r="V1415" s="38" t="s">
        <v>61</v>
      </c>
      <c r="Y1415" s="38">
        <v>74.959999999999994</v>
      </c>
      <c r="Z1415" s="38">
        <v>1</v>
      </c>
      <c r="AF1415" s="38"/>
      <c r="AI1415" s="38">
        <v>2</v>
      </c>
      <c r="AJ1415" s="38">
        <v>2</v>
      </c>
      <c r="AK1415" s="14">
        <f t="shared" si="7"/>
        <v>1</v>
      </c>
      <c r="AM1415" s="38"/>
      <c r="AO1415" s="28"/>
    </row>
    <row r="1416" spans="1:41" ht="12.5">
      <c r="A1416" s="28" t="s">
        <v>5147</v>
      </c>
      <c r="B1416" s="37">
        <v>45862</v>
      </c>
      <c r="C1416" s="29">
        <v>45865</v>
      </c>
      <c r="D1416" s="38" t="s">
        <v>41</v>
      </c>
      <c r="E1416" s="38" t="s">
        <v>5148</v>
      </c>
      <c r="G1416" s="38" t="s">
        <v>43</v>
      </c>
      <c r="H1416" s="38">
        <v>8.0299999999999994</v>
      </c>
      <c r="I1416" s="38" t="s">
        <v>44</v>
      </c>
      <c r="J1416" s="38" t="s">
        <v>45</v>
      </c>
      <c r="K1416" s="38" t="s">
        <v>5149</v>
      </c>
      <c r="L1416" s="30" t="s">
        <v>47</v>
      </c>
      <c r="M1416" s="38" t="s">
        <v>48</v>
      </c>
      <c r="N1416" s="38" t="s">
        <v>48</v>
      </c>
      <c r="O1416" s="31" t="s">
        <v>4692</v>
      </c>
      <c r="P1416" s="28" t="s">
        <v>4693</v>
      </c>
      <c r="Q1416" s="38" t="s">
        <v>4694</v>
      </c>
      <c r="R1416" s="38">
        <v>1</v>
      </c>
      <c r="S1416" s="38" t="s">
        <v>92</v>
      </c>
      <c r="T1416" s="38" t="s">
        <v>53</v>
      </c>
      <c r="U1416" s="38" t="s">
        <v>54</v>
      </c>
      <c r="V1416" s="38" t="s">
        <v>55</v>
      </c>
      <c r="Y1416" s="38">
        <v>76.44</v>
      </c>
      <c r="Z1416" s="38">
        <v>1</v>
      </c>
      <c r="AF1416" s="38">
        <v>76.44</v>
      </c>
      <c r="AK1416" s="14" t="e">
        <f t="shared" si="7"/>
        <v>#DIV/0!</v>
      </c>
      <c r="AM1416" s="38"/>
      <c r="AO1416" s="28" t="s">
        <v>5150</v>
      </c>
    </row>
    <row r="1417" spans="1:41" ht="12.5">
      <c r="A1417" s="28" t="s">
        <v>5151</v>
      </c>
      <c r="B1417" s="37">
        <v>45859</v>
      </c>
      <c r="C1417" s="29">
        <v>45864</v>
      </c>
      <c r="D1417" s="38" t="s">
        <v>41</v>
      </c>
      <c r="E1417" s="38" t="s">
        <v>5152</v>
      </c>
      <c r="G1417" s="38" t="s">
        <v>43</v>
      </c>
      <c r="H1417" s="38">
        <v>7.62</v>
      </c>
      <c r="I1417" s="38" t="s">
        <v>44</v>
      </c>
      <c r="J1417" s="38" t="s">
        <v>45</v>
      </c>
      <c r="K1417" s="38" t="s">
        <v>5153</v>
      </c>
      <c r="L1417" s="30" t="s">
        <v>58</v>
      </c>
      <c r="M1417" s="38" t="s">
        <v>48</v>
      </c>
      <c r="N1417" s="38" t="s">
        <v>48</v>
      </c>
      <c r="O1417" s="31" t="s">
        <v>5154</v>
      </c>
      <c r="P1417" s="28" t="s">
        <v>5155</v>
      </c>
      <c r="Q1417" s="38" t="s">
        <v>5156</v>
      </c>
      <c r="R1417" s="38">
        <v>1</v>
      </c>
      <c r="S1417" s="38" t="s">
        <v>75</v>
      </c>
      <c r="T1417" s="38" t="s">
        <v>53</v>
      </c>
      <c r="U1417" s="38" t="s">
        <v>54</v>
      </c>
      <c r="V1417" s="38" t="s">
        <v>55</v>
      </c>
      <c r="Y1417" s="38">
        <v>69.930000000000007</v>
      </c>
      <c r="Z1417" s="38">
        <v>1</v>
      </c>
      <c r="AF1417" s="38">
        <v>62.31</v>
      </c>
      <c r="AI1417" s="38">
        <v>1</v>
      </c>
      <c r="AJ1417" s="38">
        <v>1</v>
      </c>
      <c r="AK1417" s="14">
        <f t="shared" si="7"/>
        <v>1</v>
      </c>
      <c r="AM1417" s="38"/>
      <c r="AO1417" s="28"/>
    </row>
    <row r="1418" spans="1:41" ht="12.5">
      <c r="A1418" s="28" t="s">
        <v>5157</v>
      </c>
      <c r="B1418" s="37">
        <v>45852</v>
      </c>
      <c r="C1418" s="29">
        <v>45865</v>
      </c>
      <c r="D1418" s="38" t="s">
        <v>41</v>
      </c>
      <c r="E1418" s="38" t="s">
        <v>5158</v>
      </c>
      <c r="G1418" s="38" t="s">
        <v>43</v>
      </c>
      <c r="H1418" s="38">
        <v>10.85</v>
      </c>
      <c r="I1418" s="38" t="s">
        <v>44</v>
      </c>
      <c r="J1418" s="38" t="s">
        <v>45</v>
      </c>
      <c r="K1418" s="38" t="s">
        <v>5159</v>
      </c>
      <c r="L1418" s="30" t="s">
        <v>47</v>
      </c>
      <c r="M1418" s="38" t="s">
        <v>48</v>
      </c>
      <c r="N1418" s="38" t="s">
        <v>48</v>
      </c>
      <c r="O1418" s="31" t="s">
        <v>1066</v>
      </c>
      <c r="P1418" s="28" t="s">
        <v>1067</v>
      </c>
      <c r="Q1418" s="38" t="s">
        <v>4201</v>
      </c>
      <c r="R1418" s="38">
        <v>1</v>
      </c>
      <c r="S1418" s="38" t="s">
        <v>52</v>
      </c>
      <c r="T1418" s="38" t="s">
        <v>53</v>
      </c>
      <c r="U1418" s="38" t="s">
        <v>54</v>
      </c>
      <c r="V1418" s="38" t="s">
        <v>55</v>
      </c>
      <c r="Y1418" s="38">
        <v>74.52</v>
      </c>
      <c r="Z1418" s="38">
        <v>1</v>
      </c>
      <c r="AF1418" s="38">
        <v>74.52</v>
      </c>
      <c r="AI1418" s="38">
        <v>2</v>
      </c>
      <c r="AJ1418" s="38">
        <v>17</v>
      </c>
      <c r="AK1418" s="14">
        <f t="shared" si="7"/>
        <v>0.11764705882352941</v>
      </c>
      <c r="AM1418" s="38"/>
      <c r="AO1418" s="28" t="s">
        <v>5160</v>
      </c>
    </row>
    <row r="1419" spans="1:41" ht="12.5">
      <c r="A1419" s="28" t="s">
        <v>5161</v>
      </c>
      <c r="B1419" s="37">
        <v>45850</v>
      </c>
      <c r="C1419" s="29">
        <v>45858</v>
      </c>
      <c r="D1419" s="38" t="s">
        <v>41</v>
      </c>
      <c r="E1419" s="38" t="s">
        <v>5162</v>
      </c>
      <c r="G1419" s="38" t="s">
        <v>43</v>
      </c>
      <c r="H1419" s="38">
        <v>10.85</v>
      </c>
      <c r="I1419" s="38" t="s">
        <v>44</v>
      </c>
      <c r="J1419" s="38" t="s">
        <v>45</v>
      </c>
      <c r="K1419" s="38" t="s">
        <v>5163</v>
      </c>
      <c r="L1419" s="30" t="s">
        <v>58</v>
      </c>
      <c r="M1419" s="38" t="s">
        <v>48</v>
      </c>
      <c r="N1419" s="38" t="s">
        <v>48</v>
      </c>
      <c r="O1419" s="31" t="s">
        <v>1066</v>
      </c>
      <c r="P1419" s="28" t="s">
        <v>1067</v>
      </c>
      <c r="Q1419" s="38" t="s">
        <v>4201</v>
      </c>
      <c r="R1419" s="38">
        <v>1</v>
      </c>
      <c r="S1419" s="38" t="s">
        <v>59</v>
      </c>
      <c r="T1419" s="38" t="s">
        <v>53</v>
      </c>
      <c r="U1419" s="38" t="s">
        <v>54</v>
      </c>
      <c r="V1419" s="38" t="s">
        <v>55</v>
      </c>
      <c r="Y1419" s="38">
        <v>71.98</v>
      </c>
      <c r="Z1419" s="38">
        <v>1</v>
      </c>
      <c r="AF1419" s="38">
        <v>61.13</v>
      </c>
      <c r="AK1419" s="14" t="e">
        <f t="shared" si="7"/>
        <v>#DIV/0!</v>
      </c>
      <c r="AM1419" s="38"/>
      <c r="AO1419" s="28"/>
    </row>
    <row r="1420" spans="1:41" ht="12.5">
      <c r="A1420" s="28" t="s">
        <v>5164</v>
      </c>
      <c r="B1420" s="37">
        <v>45853</v>
      </c>
      <c r="C1420" s="29">
        <v>45860</v>
      </c>
      <c r="D1420" s="38" t="s">
        <v>41</v>
      </c>
      <c r="E1420" s="38"/>
      <c r="G1420" s="38" t="s">
        <v>137</v>
      </c>
      <c r="H1420" s="38">
        <v>0</v>
      </c>
      <c r="I1420" s="38"/>
      <c r="J1420" s="38"/>
      <c r="K1420" s="38"/>
      <c r="L1420" s="30" t="s">
        <v>47</v>
      </c>
      <c r="M1420" s="38" t="s">
        <v>48</v>
      </c>
      <c r="N1420" s="38" t="s">
        <v>48</v>
      </c>
      <c r="O1420" s="31" t="s">
        <v>5165</v>
      </c>
      <c r="P1420" s="28" t="s">
        <v>5166</v>
      </c>
      <c r="Q1420" s="38" t="s">
        <v>5167</v>
      </c>
      <c r="R1420" s="38">
        <v>1</v>
      </c>
      <c r="S1420" s="38" t="s">
        <v>92</v>
      </c>
      <c r="T1420" s="38" t="s">
        <v>53</v>
      </c>
      <c r="U1420" s="38" t="s">
        <v>54</v>
      </c>
      <c r="V1420" s="38" t="s">
        <v>141</v>
      </c>
      <c r="Y1420" s="38">
        <v>28.15</v>
      </c>
      <c r="Z1420" s="38">
        <v>1</v>
      </c>
      <c r="AF1420" s="38">
        <v>28.15</v>
      </c>
      <c r="AI1420" s="38">
        <v>1</v>
      </c>
      <c r="AK1420" s="14" t="e">
        <f t="shared" si="7"/>
        <v>#DIV/0!</v>
      </c>
      <c r="AM1420" s="38"/>
      <c r="AO1420" s="28" t="s">
        <v>5168</v>
      </c>
    </row>
    <row r="1421" spans="1:41" ht="12.5">
      <c r="A1421" s="28" t="s">
        <v>5169</v>
      </c>
      <c r="B1421" s="37">
        <v>45845</v>
      </c>
      <c r="C1421" s="29">
        <v>45859</v>
      </c>
      <c r="D1421" s="38" t="s">
        <v>41</v>
      </c>
      <c r="E1421" s="38"/>
      <c r="G1421" s="38" t="s">
        <v>137</v>
      </c>
      <c r="H1421" s="38">
        <v>0</v>
      </c>
      <c r="I1421" s="38"/>
      <c r="J1421" s="38"/>
      <c r="K1421" s="38"/>
      <c r="L1421" s="30" t="s">
        <v>47</v>
      </c>
      <c r="M1421" s="38" t="s">
        <v>48</v>
      </c>
      <c r="N1421" s="38" t="s">
        <v>48</v>
      </c>
      <c r="O1421" s="31" t="s">
        <v>2515</v>
      </c>
      <c r="P1421" s="28" t="s">
        <v>2516</v>
      </c>
      <c r="Q1421" s="38" t="s">
        <v>2517</v>
      </c>
      <c r="R1421" s="38">
        <v>1</v>
      </c>
      <c r="S1421" s="38" t="s">
        <v>421</v>
      </c>
      <c r="T1421" s="38" t="s">
        <v>53</v>
      </c>
      <c r="U1421" s="38" t="s">
        <v>54</v>
      </c>
      <c r="V1421" s="38" t="s">
        <v>141</v>
      </c>
      <c r="Y1421" s="38">
        <v>15.27</v>
      </c>
      <c r="Z1421" s="38">
        <v>1</v>
      </c>
      <c r="AF1421" s="38">
        <v>15.27</v>
      </c>
      <c r="AI1421" s="38">
        <v>1</v>
      </c>
      <c r="AJ1421" s="38">
        <v>4</v>
      </c>
      <c r="AK1421" s="14">
        <f t="shared" si="7"/>
        <v>0.25</v>
      </c>
      <c r="AM1421" s="38"/>
      <c r="AO1421" s="28" t="s">
        <v>5170</v>
      </c>
    </row>
    <row r="1422" spans="1:41" ht="12.5">
      <c r="A1422" s="28" t="s">
        <v>5171</v>
      </c>
      <c r="B1422" s="37">
        <v>45855</v>
      </c>
      <c r="C1422" s="29">
        <v>45859</v>
      </c>
      <c r="D1422" s="38" t="s">
        <v>41</v>
      </c>
      <c r="E1422" s="38" t="s">
        <v>5172</v>
      </c>
      <c r="G1422" s="38" t="s">
        <v>43</v>
      </c>
      <c r="H1422" s="38">
        <v>11.31</v>
      </c>
      <c r="I1422" s="38" t="s">
        <v>44</v>
      </c>
      <c r="J1422" s="38" t="s">
        <v>45</v>
      </c>
      <c r="K1422" s="38" t="s">
        <v>5173</v>
      </c>
      <c r="L1422" s="30" t="s">
        <v>58</v>
      </c>
      <c r="M1422" s="38" t="s">
        <v>48</v>
      </c>
      <c r="N1422" s="38" t="s">
        <v>48</v>
      </c>
      <c r="O1422" s="31" t="s">
        <v>2904</v>
      </c>
      <c r="P1422" s="28" t="s">
        <v>2905</v>
      </c>
      <c r="Q1422" s="38" t="s">
        <v>2906</v>
      </c>
      <c r="R1422" s="38">
        <v>1</v>
      </c>
      <c r="S1422" s="38" t="s">
        <v>3868</v>
      </c>
      <c r="T1422" s="38" t="s">
        <v>53</v>
      </c>
      <c r="U1422" s="38" t="s">
        <v>54</v>
      </c>
      <c r="V1422" s="38" t="s">
        <v>55</v>
      </c>
      <c r="Y1422" s="38">
        <v>94.06</v>
      </c>
      <c r="Z1422" s="38">
        <v>1</v>
      </c>
      <c r="AF1422" s="38">
        <v>82.75</v>
      </c>
      <c r="AI1422" s="38">
        <v>4</v>
      </c>
      <c r="AJ1422" s="38">
        <v>6</v>
      </c>
      <c r="AK1422" s="14">
        <f t="shared" si="7"/>
        <v>0.66666666666666663</v>
      </c>
      <c r="AM1422" s="38"/>
      <c r="AO1422" s="28"/>
    </row>
    <row r="1423" spans="1:41" ht="12.5">
      <c r="A1423" s="28" t="s">
        <v>5174</v>
      </c>
      <c r="B1423" s="37">
        <v>45854</v>
      </c>
      <c r="C1423" s="29">
        <v>45857</v>
      </c>
      <c r="D1423" s="38" t="s">
        <v>41</v>
      </c>
      <c r="E1423" s="38" t="s">
        <v>5175</v>
      </c>
      <c r="G1423" s="38" t="s">
        <v>43</v>
      </c>
      <c r="H1423" s="38">
        <v>11.31</v>
      </c>
      <c r="I1423" s="38" t="s">
        <v>44</v>
      </c>
      <c r="J1423" s="38" t="s">
        <v>45</v>
      </c>
      <c r="K1423" s="38" t="s">
        <v>5176</v>
      </c>
      <c r="L1423" s="30" t="s">
        <v>47</v>
      </c>
      <c r="M1423" s="38" t="s">
        <v>48</v>
      </c>
      <c r="N1423" s="38" t="s">
        <v>48</v>
      </c>
      <c r="O1423" s="31" t="s">
        <v>2904</v>
      </c>
      <c r="P1423" s="28" t="s">
        <v>2905</v>
      </c>
      <c r="Q1423" s="38" t="s">
        <v>2906</v>
      </c>
      <c r="R1423" s="38">
        <v>1</v>
      </c>
      <c r="S1423" s="38" t="s">
        <v>99</v>
      </c>
      <c r="T1423" s="38" t="s">
        <v>53</v>
      </c>
      <c r="U1423" s="38" t="s">
        <v>54</v>
      </c>
      <c r="V1423" s="38" t="s">
        <v>55</v>
      </c>
      <c r="Y1423" s="38">
        <v>93.18</v>
      </c>
      <c r="Z1423" s="38">
        <v>1</v>
      </c>
      <c r="AF1423" s="38">
        <v>93.18</v>
      </c>
      <c r="AK1423" s="14" t="e">
        <f t="shared" si="7"/>
        <v>#DIV/0!</v>
      </c>
      <c r="AM1423" s="38"/>
      <c r="AO1423" s="28"/>
    </row>
    <row r="1424" spans="1:41" ht="12.5">
      <c r="A1424" s="28" t="s">
        <v>5177</v>
      </c>
      <c r="B1424" s="37">
        <v>45848</v>
      </c>
      <c r="C1424" s="29">
        <v>45855</v>
      </c>
      <c r="D1424" s="38" t="s">
        <v>41</v>
      </c>
      <c r="E1424" s="38" t="s">
        <v>5178</v>
      </c>
      <c r="G1424" s="38" t="s">
        <v>43</v>
      </c>
      <c r="H1424" s="38">
        <v>11.31</v>
      </c>
      <c r="I1424" s="38" t="s">
        <v>44</v>
      </c>
      <c r="J1424" s="38" t="s">
        <v>45</v>
      </c>
      <c r="K1424" s="38" t="s">
        <v>5179</v>
      </c>
      <c r="L1424" s="30" t="s">
        <v>58</v>
      </c>
      <c r="M1424" s="38" t="s">
        <v>48</v>
      </c>
      <c r="N1424" s="38" t="s">
        <v>48</v>
      </c>
      <c r="O1424" s="31" t="s">
        <v>2904</v>
      </c>
      <c r="P1424" s="28" t="s">
        <v>2905</v>
      </c>
      <c r="Q1424" s="38" t="s">
        <v>2906</v>
      </c>
      <c r="R1424" s="38">
        <v>1</v>
      </c>
      <c r="S1424" s="38" t="s">
        <v>3884</v>
      </c>
      <c r="T1424" s="38" t="s">
        <v>53</v>
      </c>
      <c r="U1424" s="38" t="s">
        <v>54</v>
      </c>
      <c r="V1424" s="38" t="s">
        <v>55</v>
      </c>
      <c r="Y1424" s="38">
        <v>92.28</v>
      </c>
      <c r="Z1424" s="38">
        <v>1</v>
      </c>
      <c r="AF1424" s="38">
        <v>80.97</v>
      </c>
      <c r="AK1424" s="14" t="e">
        <f t="shared" si="7"/>
        <v>#DIV/0!</v>
      </c>
      <c r="AM1424" s="38"/>
      <c r="AO1424" s="28"/>
    </row>
    <row r="1425" spans="1:41" ht="12.5">
      <c r="A1425" s="28" t="s">
        <v>5180</v>
      </c>
      <c r="B1425" s="37">
        <v>45852</v>
      </c>
      <c r="C1425" s="29">
        <v>45854</v>
      </c>
      <c r="D1425" s="38" t="s">
        <v>41</v>
      </c>
      <c r="E1425" s="38" t="s">
        <v>5181</v>
      </c>
      <c r="G1425" s="38" t="s">
        <v>43</v>
      </c>
      <c r="H1425" s="38">
        <v>11.31</v>
      </c>
      <c r="I1425" s="38" t="s">
        <v>44</v>
      </c>
      <c r="J1425" s="38" t="s">
        <v>45</v>
      </c>
      <c r="K1425" s="38" t="s">
        <v>5182</v>
      </c>
      <c r="L1425" s="30" t="s">
        <v>47</v>
      </c>
      <c r="M1425" s="38" t="s">
        <v>48</v>
      </c>
      <c r="N1425" s="38" t="s">
        <v>48</v>
      </c>
      <c r="O1425" s="31" t="s">
        <v>2904</v>
      </c>
      <c r="P1425" s="28" t="s">
        <v>2905</v>
      </c>
      <c r="Q1425" s="38" t="s">
        <v>2906</v>
      </c>
      <c r="R1425" s="38">
        <v>1</v>
      </c>
      <c r="S1425" s="38" t="s">
        <v>99</v>
      </c>
      <c r="T1425" s="38" t="s">
        <v>53</v>
      </c>
      <c r="U1425" s="38" t="s">
        <v>54</v>
      </c>
      <c r="V1425" s="38" t="s">
        <v>55</v>
      </c>
      <c r="Y1425" s="38">
        <v>93.18</v>
      </c>
      <c r="Z1425" s="38">
        <v>1</v>
      </c>
      <c r="AF1425" s="38">
        <v>93.18</v>
      </c>
      <c r="AK1425" s="14" t="e">
        <f t="shared" si="7"/>
        <v>#DIV/0!</v>
      </c>
      <c r="AM1425" s="38"/>
      <c r="AO1425" s="28"/>
    </row>
    <row r="1426" spans="1:41" ht="12.5">
      <c r="A1426" s="28" t="s">
        <v>5183</v>
      </c>
      <c r="B1426" s="37">
        <v>45845</v>
      </c>
      <c r="C1426" s="29">
        <v>45860</v>
      </c>
      <c r="D1426" s="38" t="s">
        <v>41</v>
      </c>
      <c r="E1426" s="38" t="s">
        <v>5184</v>
      </c>
      <c r="G1426" s="38" t="s">
        <v>43</v>
      </c>
      <c r="H1426" s="38">
        <v>11.31</v>
      </c>
      <c r="I1426" s="38" t="s">
        <v>44</v>
      </c>
      <c r="J1426" s="38" t="s">
        <v>45</v>
      </c>
      <c r="K1426" s="38" t="s">
        <v>5185</v>
      </c>
      <c r="L1426" s="30" t="s">
        <v>47</v>
      </c>
      <c r="M1426" s="38" t="s">
        <v>48</v>
      </c>
      <c r="N1426" s="38" t="s">
        <v>48</v>
      </c>
      <c r="O1426" s="31" t="s">
        <v>2193</v>
      </c>
      <c r="P1426" s="28" t="s">
        <v>2194</v>
      </c>
      <c r="Q1426" s="38" t="s">
        <v>2195</v>
      </c>
      <c r="R1426" s="38">
        <v>1</v>
      </c>
      <c r="S1426" s="38" t="s">
        <v>99</v>
      </c>
      <c r="T1426" s="38" t="s">
        <v>53</v>
      </c>
      <c r="U1426" s="38" t="s">
        <v>54</v>
      </c>
      <c r="V1426" s="38" t="s">
        <v>55</v>
      </c>
      <c r="Y1426" s="38">
        <v>81.52</v>
      </c>
      <c r="Z1426" s="38">
        <v>1</v>
      </c>
      <c r="AF1426" s="38">
        <v>81.52</v>
      </c>
      <c r="AI1426" s="38">
        <v>1</v>
      </c>
      <c r="AJ1426" s="38">
        <v>22</v>
      </c>
      <c r="AK1426" s="14">
        <f t="shared" si="7"/>
        <v>4.5454545454545456E-2</v>
      </c>
      <c r="AM1426" s="38"/>
      <c r="AO1426" s="28"/>
    </row>
    <row r="1427" spans="1:41" ht="12.5">
      <c r="A1427" s="28" t="s">
        <v>5186</v>
      </c>
      <c r="B1427" s="37">
        <v>45867</v>
      </c>
      <c r="C1427" s="29">
        <v>45868</v>
      </c>
      <c r="D1427" s="38" t="s">
        <v>41</v>
      </c>
      <c r="E1427" s="38" t="s">
        <v>5187</v>
      </c>
      <c r="G1427" s="38" t="s">
        <v>43</v>
      </c>
      <c r="H1427" s="38">
        <v>10.85</v>
      </c>
      <c r="I1427" s="38" t="s">
        <v>44</v>
      </c>
      <c r="J1427" s="38" t="s">
        <v>45</v>
      </c>
      <c r="K1427" s="38" t="s">
        <v>5188</v>
      </c>
      <c r="L1427" s="30" t="s">
        <v>58</v>
      </c>
      <c r="M1427" s="38" t="s">
        <v>48</v>
      </c>
      <c r="N1427" s="38" t="s">
        <v>48</v>
      </c>
      <c r="O1427" s="31" t="s">
        <v>1840</v>
      </c>
      <c r="P1427" s="28" t="s">
        <v>1841</v>
      </c>
      <c r="Q1427" s="38" t="s">
        <v>1842</v>
      </c>
      <c r="R1427" s="38">
        <v>1</v>
      </c>
      <c r="S1427" s="38" t="s">
        <v>68</v>
      </c>
      <c r="T1427" s="38" t="s">
        <v>53</v>
      </c>
      <c r="U1427" s="38" t="s">
        <v>54</v>
      </c>
      <c r="V1427" s="38" t="s">
        <v>61</v>
      </c>
      <c r="Y1427" s="38">
        <v>103.54</v>
      </c>
      <c r="Z1427" s="38">
        <v>1</v>
      </c>
      <c r="AF1427" s="38"/>
      <c r="AI1427" s="38">
        <v>2</v>
      </c>
      <c r="AJ1427" s="38">
        <v>5</v>
      </c>
      <c r="AK1427" s="14">
        <f t="shared" si="7"/>
        <v>0.4</v>
      </c>
      <c r="AM1427" s="38"/>
      <c r="AO1427" s="28"/>
    </row>
    <row r="1428" spans="1:41" ht="12.5">
      <c r="A1428" s="28" t="s">
        <v>5189</v>
      </c>
      <c r="B1428" s="37">
        <v>45850</v>
      </c>
      <c r="C1428" s="29">
        <v>45856</v>
      </c>
      <c r="D1428" s="38" t="s">
        <v>41</v>
      </c>
      <c r="E1428" s="38" t="s">
        <v>5190</v>
      </c>
      <c r="G1428" s="38" t="s">
        <v>43</v>
      </c>
      <c r="H1428" s="38">
        <v>10.85</v>
      </c>
      <c r="I1428" s="38" t="s">
        <v>44</v>
      </c>
      <c r="J1428" s="38" t="s">
        <v>45</v>
      </c>
      <c r="K1428" s="38" t="s">
        <v>5191</v>
      </c>
      <c r="L1428" s="30" t="s">
        <v>47</v>
      </c>
      <c r="M1428" s="38" t="s">
        <v>48</v>
      </c>
      <c r="N1428" s="38" t="s">
        <v>48</v>
      </c>
      <c r="O1428" s="31" t="s">
        <v>1840</v>
      </c>
      <c r="P1428" s="28" t="s">
        <v>1841</v>
      </c>
      <c r="Q1428" s="38" t="s">
        <v>1842</v>
      </c>
      <c r="R1428" s="38">
        <v>1</v>
      </c>
      <c r="S1428" s="38" t="s">
        <v>52</v>
      </c>
      <c r="T1428" s="38" t="s">
        <v>53</v>
      </c>
      <c r="U1428" s="38" t="s">
        <v>54</v>
      </c>
      <c r="V1428" s="38" t="s">
        <v>55</v>
      </c>
      <c r="Y1428" s="38">
        <v>101.55</v>
      </c>
      <c r="Z1428" s="38">
        <v>1</v>
      </c>
      <c r="AF1428" s="38">
        <v>101.55</v>
      </c>
      <c r="AK1428" s="14" t="e">
        <f t="shared" si="7"/>
        <v>#DIV/0!</v>
      </c>
      <c r="AM1428" s="38"/>
      <c r="AO1428" s="28"/>
    </row>
    <row r="1429" spans="1:41" ht="12.5">
      <c r="A1429" s="28" t="s">
        <v>5192</v>
      </c>
      <c r="B1429" s="37">
        <v>45859</v>
      </c>
      <c r="C1429" s="29">
        <v>45863</v>
      </c>
      <c r="D1429" s="38" t="s">
        <v>41</v>
      </c>
      <c r="E1429" s="38" t="s">
        <v>5193</v>
      </c>
      <c r="G1429" s="38" t="s">
        <v>43</v>
      </c>
      <c r="H1429" s="38">
        <v>11.31</v>
      </c>
      <c r="I1429" s="38" t="s">
        <v>44</v>
      </c>
      <c r="J1429" s="38" t="s">
        <v>45</v>
      </c>
      <c r="K1429" s="38" t="s">
        <v>5194</v>
      </c>
      <c r="L1429" s="30" t="s">
        <v>58</v>
      </c>
      <c r="M1429" s="38" t="s">
        <v>48</v>
      </c>
      <c r="N1429" s="38" t="s">
        <v>48</v>
      </c>
      <c r="O1429" s="31" t="s">
        <v>310</v>
      </c>
      <c r="P1429" s="28" t="s">
        <v>311</v>
      </c>
      <c r="Q1429" s="38" t="s">
        <v>312</v>
      </c>
      <c r="R1429" s="38">
        <v>1</v>
      </c>
      <c r="S1429" s="38" t="s">
        <v>3868</v>
      </c>
      <c r="T1429" s="38" t="s">
        <v>53</v>
      </c>
      <c r="U1429" s="38" t="s">
        <v>54</v>
      </c>
      <c r="V1429" s="38" t="s">
        <v>61</v>
      </c>
      <c r="Y1429" s="38">
        <v>148.88</v>
      </c>
      <c r="Z1429" s="38">
        <v>1</v>
      </c>
      <c r="AF1429" s="38"/>
      <c r="AI1429" s="38">
        <v>2</v>
      </c>
      <c r="AJ1429" s="38">
        <v>10</v>
      </c>
      <c r="AK1429" s="14">
        <f t="shared" si="7"/>
        <v>0.2</v>
      </c>
      <c r="AM1429" s="38"/>
      <c r="AO1429" s="28"/>
    </row>
    <row r="1430" spans="1:41" ht="12.5">
      <c r="A1430" s="28" t="s">
        <v>5195</v>
      </c>
      <c r="B1430" s="37">
        <v>45857</v>
      </c>
      <c r="C1430" s="29">
        <v>45862</v>
      </c>
      <c r="D1430" s="38" t="s">
        <v>41</v>
      </c>
      <c r="E1430" s="38" t="s">
        <v>5196</v>
      </c>
      <c r="G1430" s="38" t="s">
        <v>43</v>
      </c>
      <c r="H1430" s="38">
        <v>11.31</v>
      </c>
      <c r="I1430" s="38" t="s">
        <v>44</v>
      </c>
      <c r="J1430" s="38" t="s">
        <v>45</v>
      </c>
      <c r="K1430" s="38" t="s">
        <v>5197</v>
      </c>
      <c r="L1430" s="30" t="s">
        <v>47</v>
      </c>
      <c r="M1430" s="38" t="s">
        <v>48</v>
      </c>
      <c r="N1430" s="38" t="s">
        <v>48</v>
      </c>
      <c r="O1430" s="31" t="s">
        <v>310</v>
      </c>
      <c r="P1430" s="28" t="s">
        <v>311</v>
      </c>
      <c r="Q1430" s="38" t="s">
        <v>312</v>
      </c>
      <c r="R1430" s="38">
        <v>1</v>
      </c>
      <c r="S1430" s="38" t="s">
        <v>52</v>
      </c>
      <c r="T1430" s="38" t="s">
        <v>53</v>
      </c>
      <c r="U1430" s="38" t="s">
        <v>54</v>
      </c>
      <c r="V1430" s="38" t="s">
        <v>61</v>
      </c>
      <c r="Y1430" s="38">
        <v>148.19</v>
      </c>
      <c r="Z1430" s="38">
        <v>1</v>
      </c>
      <c r="AF1430" s="38">
        <v>132.01</v>
      </c>
      <c r="AK1430" s="14" t="e">
        <f t="shared" si="7"/>
        <v>#DIV/0!</v>
      </c>
      <c r="AM1430" s="38"/>
      <c r="AO1430" s="28"/>
    </row>
    <row r="1431" spans="1:41" ht="12.5">
      <c r="A1431" s="28" t="s">
        <v>5195</v>
      </c>
      <c r="B1431" s="37">
        <v>45857</v>
      </c>
      <c r="C1431" s="29">
        <v>45862</v>
      </c>
      <c r="D1431" s="38" t="s">
        <v>41</v>
      </c>
      <c r="E1431" s="38" t="s">
        <v>5198</v>
      </c>
      <c r="G1431" s="38" t="s">
        <v>43</v>
      </c>
      <c r="H1431" s="38">
        <v>11.31</v>
      </c>
      <c r="I1431" s="38" t="s">
        <v>44</v>
      </c>
      <c r="J1431" s="38" t="s">
        <v>45</v>
      </c>
      <c r="K1431" s="38" t="s">
        <v>5199</v>
      </c>
      <c r="L1431" s="30" t="s">
        <v>58</v>
      </c>
      <c r="M1431" s="38" t="s">
        <v>48</v>
      </c>
      <c r="N1431" s="38" t="s">
        <v>48</v>
      </c>
      <c r="O1431" s="31" t="s">
        <v>310</v>
      </c>
      <c r="P1431" s="28" t="s">
        <v>311</v>
      </c>
      <c r="Q1431" s="38" t="s">
        <v>312</v>
      </c>
      <c r="R1431" s="38">
        <v>1</v>
      </c>
      <c r="S1431" s="38" t="s">
        <v>59</v>
      </c>
      <c r="T1431" s="38" t="s">
        <v>53</v>
      </c>
      <c r="U1431" s="38" t="s">
        <v>54</v>
      </c>
      <c r="V1431" s="38" t="s">
        <v>61</v>
      </c>
      <c r="Y1431" s="38">
        <v>148.19</v>
      </c>
      <c r="Z1431" s="38">
        <v>1</v>
      </c>
      <c r="AF1431" s="38"/>
      <c r="AK1431" s="14" t="e">
        <f t="shared" si="7"/>
        <v>#DIV/0!</v>
      </c>
      <c r="AM1431" s="38"/>
      <c r="AO1431" s="28"/>
    </row>
    <row r="1432" spans="1:41" ht="16.5" customHeight="1">
      <c r="A1432" s="28" t="s">
        <v>5200</v>
      </c>
      <c r="B1432" s="37">
        <v>45834</v>
      </c>
      <c r="C1432" s="29">
        <v>45854</v>
      </c>
      <c r="D1432" s="38" t="s">
        <v>41</v>
      </c>
      <c r="E1432" s="38" t="s">
        <v>5201</v>
      </c>
      <c r="G1432" s="38" t="s">
        <v>43</v>
      </c>
      <c r="H1432" s="38">
        <v>11.31</v>
      </c>
      <c r="I1432" s="38" t="s">
        <v>44</v>
      </c>
      <c r="J1432" s="38" t="s">
        <v>45</v>
      </c>
      <c r="K1432" s="38" t="s">
        <v>5202</v>
      </c>
      <c r="L1432" s="30" t="s">
        <v>58</v>
      </c>
      <c r="M1432" s="38" t="s">
        <v>48</v>
      </c>
      <c r="N1432" s="38" t="s">
        <v>48</v>
      </c>
      <c r="O1432" s="31" t="s">
        <v>5203</v>
      </c>
      <c r="P1432" s="28" t="s">
        <v>5204</v>
      </c>
      <c r="Q1432" s="38" t="s">
        <v>5205</v>
      </c>
      <c r="R1432" s="38">
        <v>1</v>
      </c>
      <c r="S1432" s="38" t="s">
        <v>3868</v>
      </c>
      <c r="T1432" s="38" t="s">
        <v>53</v>
      </c>
      <c r="U1432" s="38" t="s">
        <v>54</v>
      </c>
      <c r="V1432" s="38" t="s">
        <v>61</v>
      </c>
      <c r="Y1432" s="38">
        <v>139.46</v>
      </c>
      <c r="Z1432" s="38">
        <v>1</v>
      </c>
      <c r="AF1432" s="38">
        <v>123.65</v>
      </c>
      <c r="AI1432" s="38">
        <v>1</v>
      </c>
      <c r="AJ1432" s="38">
        <v>1</v>
      </c>
      <c r="AK1432" s="14">
        <f t="shared" si="7"/>
        <v>1</v>
      </c>
      <c r="AM1432" s="38"/>
      <c r="AO1432" s="28"/>
    </row>
    <row r="1433" spans="1:41" ht="12.5">
      <c r="A1433" s="28" t="s">
        <v>5206</v>
      </c>
      <c r="B1433" s="37">
        <v>45857</v>
      </c>
      <c r="C1433" s="29">
        <v>45863</v>
      </c>
      <c r="D1433" s="38" t="s">
        <v>41</v>
      </c>
      <c r="E1433" s="38" t="s">
        <v>5207</v>
      </c>
      <c r="G1433" s="38" t="s">
        <v>43</v>
      </c>
      <c r="H1433" s="38">
        <v>13.81</v>
      </c>
      <c r="I1433" s="38" t="s">
        <v>44</v>
      </c>
      <c r="J1433" s="38" t="s">
        <v>45</v>
      </c>
      <c r="K1433" s="38" t="s">
        <v>5208</v>
      </c>
      <c r="L1433" s="30" t="s">
        <v>58</v>
      </c>
      <c r="M1433" s="38" t="s">
        <v>48</v>
      </c>
      <c r="N1433" s="38" t="s">
        <v>48</v>
      </c>
      <c r="O1433" s="31" t="s">
        <v>1134</v>
      </c>
      <c r="P1433" s="28" t="s">
        <v>1135</v>
      </c>
      <c r="Q1433" s="38" t="s">
        <v>1136</v>
      </c>
      <c r="R1433" s="38">
        <v>1</v>
      </c>
      <c r="S1433" s="38" t="s">
        <v>306</v>
      </c>
      <c r="T1433" s="38" t="s">
        <v>53</v>
      </c>
      <c r="U1433" s="38" t="s">
        <v>54</v>
      </c>
      <c r="V1433" s="38" t="s">
        <v>55</v>
      </c>
      <c r="Y1433" s="38">
        <v>77.73</v>
      </c>
      <c r="Z1433" s="38">
        <v>1</v>
      </c>
      <c r="AF1433" s="38">
        <v>63.92</v>
      </c>
      <c r="AI1433" s="38">
        <v>1</v>
      </c>
      <c r="AJ1433" s="38">
        <v>3</v>
      </c>
      <c r="AK1433" s="14">
        <f t="shared" si="7"/>
        <v>0.33333333333333331</v>
      </c>
      <c r="AM1433" s="38"/>
      <c r="AO1433" s="28"/>
    </row>
    <row r="1434" spans="1:41" ht="12.5">
      <c r="A1434" s="28" t="s">
        <v>5209</v>
      </c>
      <c r="B1434" s="37">
        <v>45864</v>
      </c>
      <c r="C1434" s="29">
        <v>45868</v>
      </c>
      <c r="D1434" s="38" t="s">
        <v>41</v>
      </c>
      <c r="E1434" s="38" t="s">
        <v>5210</v>
      </c>
      <c r="G1434" s="38" t="s">
        <v>43</v>
      </c>
      <c r="H1434" s="38">
        <v>12.87</v>
      </c>
      <c r="I1434" s="38" t="s">
        <v>44</v>
      </c>
      <c r="J1434" s="38" t="s">
        <v>45</v>
      </c>
      <c r="K1434" s="38" t="s">
        <v>5211</v>
      </c>
      <c r="L1434" s="30" t="s">
        <v>58</v>
      </c>
      <c r="M1434" s="38" t="s">
        <v>48</v>
      </c>
      <c r="N1434" s="38" t="s">
        <v>48</v>
      </c>
      <c r="O1434" s="31" t="s">
        <v>357</v>
      </c>
      <c r="P1434" s="28" t="s">
        <v>358</v>
      </c>
      <c r="Q1434" s="38" t="s">
        <v>359</v>
      </c>
      <c r="R1434" s="38">
        <v>1</v>
      </c>
      <c r="S1434" s="38" t="s">
        <v>3878</v>
      </c>
      <c r="T1434" s="38" t="s">
        <v>53</v>
      </c>
      <c r="U1434" s="38" t="s">
        <v>54</v>
      </c>
      <c r="V1434" s="38" t="s">
        <v>61</v>
      </c>
      <c r="Y1434" s="38">
        <v>75.78</v>
      </c>
      <c r="Z1434" s="38">
        <v>1</v>
      </c>
      <c r="AF1434" s="38"/>
      <c r="AI1434" s="38">
        <v>1</v>
      </c>
      <c r="AJ1434" s="38">
        <v>4</v>
      </c>
      <c r="AK1434" s="14">
        <f t="shared" si="7"/>
        <v>0.25</v>
      </c>
      <c r="AM1434" s="38"/>
      <c r="AO1434" s="28"/>
    </row>
    <row r="1435" spans="1:41" ht="12.5">
      <c r="A1435" s="28" t="s">
        <v>5212</v>
      </c>
      <c r="B1435" s="37">
        <v>45859</v>
      </c>
      <c r="C1435" s="29">
        <v>45864</v>
      </c>
      <c r="D1435" s="38" t="s">
        <v>41</v>
      </c>
      <c r="E1435" s="38" t="s">
        <v>5213</v>
      </c>
      <c r="G1435" s="38" t="s">
        <v>43</v>
      </c>
      <c r="H1435" s="38">
        <v>10.57</v>
      </c>
      <c r="I1435" s="38" t="s">
        <v>44</v>
      </c>
      <c r="J1435" s="38" t="s">
        <v>45</v>
      </c>
      <c r="K1435" s="38" t="s">
        <v>5214</v>
      </c>
      <c r="L1435" s="30" t="s">
        <v>58</v>
      </c>
      <c r="M1435" s="38" t="s">
        <v>48</v>
      </c>
      <c r="N1435" s="38" t="s">
        <v>48</v>
      </c>
      <c r="O1435" s="31" t="s">
        <v>363</v>
      </c>
      <c r="P1435" s="28" t="s">
        <v>364</v>
      </c>
      <c r="Q1435" s="38" t="s">
        <v>4230</v>
      </c>
      <c r="R1435" s="38">
        <v>1</v>
      </c>
      <c r="S1435" s="38" t="s">
        <v>3868</v>
      </c>
      <c r="T1435" s="38" t="s">
        <v>53</v>
      </c>
      <c r="U1435" s="38" t="s">
        <v>54</v>
      </c>
      <c r="V1435" s="38" t="s">
        <v>55</v>
      </c>
      <c r="Y1435" s="38">
        <v>64.56</v>
      </c>
      <c r="Z1435" s="38">
        <v>1</v>
      </c>
      <c r="AF1435" s="38">
        <v>53.36</v>
      </c>
      <c r="AI1435" s="38">
        <v>2</v>
      </c>
      <c r="AJ1435" s="38">
        <v>2</v>
      </c>
      <c r="AK1435" s="14">
        <f t="shared" si="7"/>
        <v>1</v>
      </c>
      <c r="AM1435" s="38"/>
      <c r="AO1435" s="28"/>
    </row>
    <row r="1436" spans="1:41" ht="12.5">
      <c r="A1436" s="28" t="s">
        <v>5215</v>
      </c>
      <c r="B1436" s="37">
        <v>45836</v>
      </c>
      <c r="C1436" s="29">
        <v>45854</v>
      </c>
      <c r="D1436" s="38" t="s">
        <v>41</v>
      </c>
      <c r="E1436" s="38" t="s">
        <v>5216</v>
      </c>
      <c r="G1436" s="38" t="s">
        <v>43</v>
      </c>
      <c r="H1436" s="38">
        <v>10.57</v>
      </c>
      <c r="I1436" s="38" t="s">
        <v>44</v>
      </c>
      <c r="J1436" s="38" t="s">
        <v>45</v>
      </c>
      <c r="K1436" s="38" t="s">
        <v>5217</v>
      </c>
      <c r="L1436" s="30" t="s">
        <v>58</v>
      </c>
      <c r="M1436" s="38" t="s">
        <v>48</v>
      </c>
      <c r="N1436" s="38" t="s">
        <v>48</v>
      </c>
      <c r="O1436" s="31" t="s">
        <v>363</v>
      </c>
      <c r="P1436" s="28" t="s">
        <v>364</v>
      </c>
      <c r="Q1436" s="38" t="s">
        <v>4230</v>
      </c>
      <c r="R1436" s="38">
        <v>1</v>
      </c>
      <c r="S1436" s="38" t="s">
        <v>68</v>
      </c>
      <c r="T1436" s="38" t="s">
        <v>53</v>
      </c>
      <c r="U1436" s="38" t="s">
        <v>54</v>
      </c>
      <c r="V1436" s="38" t="s">
        <v>61</v>
      </c>
      <c r="Y1436" s="38">
        <v>65.78</v>
      </c>
      <c r="Z1436" s="38">
        <v>1</v>
      </c>
      <c r="AF1436" s="38">
        <v>49.63</v>
      </c>
      <c r="AK1436" s="14" t="e">
        <f t="shared" si="7"/>
        <v>#DIV/0!</v>
      </c>
      <c r="AM1436" s="38"/>
      <c r="AO1436" s="28"/>
    </row>
    <row r="1437" spans="1:41" ht="12.5">
      <c r="A1437" s="28" t="s">
        <v>5218</v>
      </c>
      <c r="B1437" s="37">
        <v>45851</v>
      </c>
      <c r="C1437" s="29">
        <v>45867</v>
      </c>
      <c r="D1437" s="38" t="s">
        <v>41</v>
      </c>
      <c r="E1437" s="38" t="s">
        <v>5219</v>
      </c>
      <c r="G1437" s="38" t="s">
        <v>43</v>
      </c>
      <c r="H1437" s="38">
        <v>10.85</v>
      </c>
      <c r="I1437" s="38" t="s">
        <v>44</v>
      </c>
      <c r="J1437" s="38" t="s">
        <v>45</v>
      </c>
      <c r="K1437" s="38" t="s">
        <v>5220</v>
      </c>
      <c r="L1437" s="30" t="s">
        <v>58</v>
      </c>
      <c r="M1437" s="38" t="s">
        <v>48</v>
      </c>
      <c r="N1437" s="38" t="s">
        <v>48</v>
      </c>
      <c r="O1437" s="31" t="s">
        <v>396</v>
      </c>
      <c r="P1437" s="28" t="s">
        <v>397</v>
      </c>
      <c r="Q1437" s="38" t="s">
        <v>4505</v>
      </c>
      <c r="R1437" s="38">
        <v>1</v>
      </c>
      <c r="S1437" s="38" t="s">
        <v>3868</v>
      </c>
      <c r="T1437" s="38" t="s">
        <v>53</v>
      </c>
      <c r="U1437" s="38" t="s">
        <v>54</v>
      </c>
      <c r="V1437" s="38" t="s">
        <v>61</v>
      </c>
      <c r="Y1437" s="38">
        <v>65.010000000000005</v>
      </c>
      <c r="Z1437" s="38">
        <v>1</v>
      </c>
      <c r="AF1437" s="38"/>
      <c r="AI1437" s="38">
        <v>2</v>
      </c>
      <c r="AJ1437" s="38">
        <v>6</v>
      </c>
      <c r="AK1437" s="14">
        <f t="shared" si="7"/>
        <v>0.33333333333333331</v>
      </c>
      <c r="AM1437" s="38"/>
      <c r="AO1437" s="28"/>
    </row>
    <row r="1438" spans="1:41" ht="12.5">
      <c r="A1438" s="28" t="s">
        <v>5221</v>
      </c>
      <c r="B1438" s="37">
        <v>45848</v>
      </c>
      <c r="C1438" s="29">
        <v>45859</v>
      </c>
      <c r="D1438" s="38" t="s">
        <v>41</v>
      </c>
      <c r="E1438" s="38" t="s">
        <v>5222</v>
      </c>
      <c r="G1438" s="38" t="s">
        <v>43</v>
      </c>
      <c r="H1438" s="38">
        <v>10.85</v>
      </c>
      <c r="I1438" s="38" t="s">
        <v>44</v>
      </c>
      <c r="J1438" s="38" t="s">
        <v>45</v>
      </c>
      <c r="K1438" s="38" t="s">
        <v>5223</v>
      </c>
      <c r="L1438" s="30" t="s">
        <v>58</v>
      </c>
      <c r="M1438" s="38" t="s">
        <v>48</v>
      </c>
      <c r="N1438" s="38" t="s">
        <v>48</v>
      </c>
      <c r="O1438" s="31" t="s">
        <v>396</v>
      </c>
      <c r="P1438" s="28" t="s">
        <v>397</v>
      </c>
      <c r="Q1438" s="38" t="s">
        <v>4505</v>
      </c>
      <c r="R1438" s="38">
        <v>1</v>
      </c>
      <c r="S1438" s="38" t="s">
        <v>3878</v>
      </c>
      <c r="T1438" s="38" t="s">
        <v>53</v>
      </c>
      <c r="U1438" s="38" t="s">
        <v>54</v>
      </c>
      <c r="V1438" s="38" t="s">
        <v>55</v>
      </c>
      <c r="Y1438" s="38">
        <v>63.77</v>
      </c>
      <c r="Z1438" s="38">
        <v>1</v>
      </c>
      <c r="AF1438" s="38">
        <v>52.92</v>
      </c>
      <c r="AK1438" s="14" t="e">
        <f t="shared" si="7"/>
        <v>#DIV/0!</v>
      </c>
      <c r="AM1438" s="38"/>
      <c r="AO1438" s="28"/>
    </row>
    <row r="1439" spans="1:41" ht="12.5">
      <c r="A1439" s="28" t="s">
        <v>5224</v>
      </c>
      <c r="B1439" s="37">
        <v>45852</v>
      </c>
      <c r="C1439" s="29">
        <v>45864</v>
      </c>
      <c r="D1439" s="38" t="s">
        <v>41</v>
      </c>
      <c r="E1439" s="38" t="s">
        <v>5225</v>
      </c>
      <c r="G1439" s="38" t="s">
        <v>43</v>
      </c>
      <c r="H1439" s="38">
        <v>65.25</v>
      </c>
      <c r="I1439" s="38" t="s">
        <v>44</v>
      </c>
      <c r="J1439" s="38" t="s">
        <v>45</v>
      </c>
      <c r="K1439" s="38" t="s">
        <v>5226</v>
      </c>
      <c r="L1439" s="30" t="s">
        <v>47</v>
      </c>
      <c r="M1439" s="38" t="s">
        <v>48</v>
      </c>
      <c r="N1439" s="38" t="s">
        <v>48</v>
      </c>
      <c r="O1439" s="31" t="s">
        <v>412</v>
      </c>
      <c r="P1439" s="28" t="s">
        <v>413</v>
      </c>
      <c r="Q1439" s="38" t="s">
        <v>1193</v>
      </c>
      <c r="R1439" s="38">
        <v>1</v>
      </c>
      <c r="S1439" s="38" t="s">
        <v>52</v>
      </c>
      <c r="T1439" s="38" t="s">
        <v>53</v>
      </c>
      <c r="U1439" s="38" t="s">
        <v>54</v>
      </c>
      <c r="V1439" s="38" t="s">
        <v>61</v>
      </c>
      <c r="Y1439" s="38">
        <v>194.92</v>
      </c>
      <c r="Z1439" s="38">
        <v>1</v>
      </c>
      <c r="AF1439" s="38"/>
      <c r="AI1439" s="38">
        <v>1</v>
      </c>
      <c r="AJ1439" s="38">
        <v>4</v>
      </c>
      <c r="AK1439" s="14">
        <f t="shared" si="7"/>
        <v>0.25</v>
      </c>
      <c r="AM1439" s="38"/>
      <c r="AO1439" s="28" t="s">
        <v>5227</v>
      </c>
    </row>
    <row r="1440" spans="1:41" ht="12.5">
      <c r="A1440" s="28" t="s">
        <v>5228</v>
      </c>
      <c r="B1440" s="37">
        <v>45859</v>
      </c>
      <c r="C1440" s="29">
        <v>45861</v>
      </c>
      <c r="D1440" s="38" t="s">
        <v>41</v>
      </c>
      <c r="E1440" s="38" t="s">
        <v>5229</v>
      </c>
      <c r="G1440" s="38" t="s">
        <v>43</v>
      </c>
      <c r="H1440" s="38">
        <v>9.8000000000000007</v>
      </c>
      <c r="I1440" s="38" t="s">
        <v>44</v>
      </c>
      <c r="J1440" s="38" t="s">
        <v>45</v>
      </c>
      <c r="K1440" s="38" t="s">
        <v>5230</v>
      </c>
      <c r="L1440" s="30" t="s">
        <v>47</v>
      </c>
      <c r="M1440" s="38" t="s">
        <v>48</v>
      </c>
      <c r="N1440" s="38" t="s">
        <v>48</v>
      </c>
      <c r="O1440" s="31" t="s">
        <v>2554</v>
      </c>
      <c r="P1440" s="28" t="s">
        <v>2555</v>
      </c>
      <c r="Q1440" s="38" t="s">
        <v>2556</v>
      </c>
      <c r="R1440" s="38">
        <v>1</v>
      </c>
      <c r="S1440" s="38" t="s">
        <v>92</v>
      </c>
      <c r="T1440" s="38" t="s">
        <v>53</v>
      </c>
      <c r="U1440" s="38" t="s">
        <v>54</v>
      </c>
      <c r="V1440" s="38" t="s">
        <v>61</v>
      </c>
      <c r="Y1440" s="38">
        <v>78.739999999999995</v>
      </c>
      <c r="Z1440" s="38">
        <v>1</v>
      </c>
      <c r="AF1440" s="38"/>
      <c r="AI1440" s="38">
        <v>1</v>
      </c>
      <c r="AJ1440" s="38">
        <v>3</v>
      </c>
      <c r="AK1440" s="14">
        <f t="shared" si="7"/>
        <v>0.33333333333333331</v>
      </c>
      <c r="AM1440" s="38"/>
      <c r="AO1440" s="28" t="s">
        <v>5231</v>
      </c>
    </row>
    <row r="1441" spans="1:41" ht="12.5">
      <c r="A1441" s="28" t="s">
        <v>5232</v>
      </c>
      <c r="B1441" s="37">
        <v>45848</v>
      </c>
      <c r="C1441" s="29">
        <v>45854</v>
      </c>
      <c r="D1441" s="38" t="s">
        <v>41</v>
      </c>
      <c r="E1441" s="38" t="s">
        <v>5233</v>
      </c>
      <c r="G1441" s="38" t="s">
        <v>43</v>
      </c>
      <c r="H1441" s="38">
        <v>14.29</v>
      </c>
      <c r="I1441" s="38" t="s">
        <v>44</v>
      </c>
      <c r="J1441" s="38" t="s">
        <v>45</v>
      </c>
      <c r="K1441" s="38" t="s">
        <v>5234</v>
      </c>
      <c r="L1441" s="30" t="s">
        <v>58</v>
      </c>
      <c r="M1441" s="38" t="s">
        <v>48</v>
      </c>
      <c r="N1441" s="38" t="s">
        <v>48</v>
      </c>
      <c r="O1441" s="31" t="s">
        <v>1874</v>
      </c>
      <c r="P1441" s="28" t="s">
        <v>1875</v>
      </c>
      <c r="Q1441" s="38" t="s">
        <v>4517</v>
      </c>
      <c r="R1441" s="38">
        <v>1</v>
      </c>
      <c r="S1441" s="38" t="s">
        <v>3884</v>
      </c>
      <c r="T1441" s="38" t="s">
        <v>53</v>
      </c>
      <c r="U1441" s="38" t="s">
        <v>54</v>
      </c>
      <c r="V1441" s="38" t="s">
        <v>55</v>
      </c>
      <c r="Y1441" s="38">
        <v>97.29</v>
      </c>
      <c r="Z1441" s="38">
        <v>1</v>
      </c>
      <c r="AF1441" s="38">
        <v>83</v>
      </c>
      <c r="AI1441" s="38">
        <v>1</v>
      </c>
      <c r="AJ1441" s="38">
        <v>1</v>
      </c>
      <c r="AK1441" s="14">
        <f t="shared" si="7"/>
        <v>1</v>
      </c>
      <c r="AM1441" s="38"/>
      <c r="AO1441" s="28"/>
    </row>
    <row r="1442" spans="1:41" ht="12.5">
      <c r="A1442" s="28" t="s">
        <v>5235</v>
      </c>
      <c r="B1442" s="37">
        <v>45866</v>
      </c>
      <c r="C1442" s="29">
        <v>45869</v>
      </c>
      <c r="D1442" s="38" t="s">
        <v>41</v>
      </c>
      <c r="E1442" s="38" t="s">
        <v>5236</v>
      </c>
      <c r="G1442" s="38" t="s">
        <v>43</v>
      </c>
      <c r="H1442" s="38">
        <v>14.29</v>
      </c>
      <c r="I1442" s="38" t="s">
        <v>44</v>
      </c>
      <c r="J1442" s="38" t="s">
        <v>45</v>
      </c>
      <c r="K1442" s="38" t="s">
        <v>5237</v>
      </c>
      <c r="L1442" s="30" t="s">
        <v>58</v>
      </c>
      <c r="M1442" s="38" t="s">
        <v>48</v>
      </c>
      <c r="N1442" s="38" t="s">
        <v>48</v>
      </c>
      <c r="O1442" s="31" t="s">
        <v>425</v>
      </c>
      <c r="P1442" s="28" t="s">
        <v>426</v>
      </c>
      <c r="Q1442" s="38" t="s">
        <v>427</v>
      </c>
      <c r="R1442" s="38">
        <v>1</v>
      </c>
      <c r="S1442" s="38" t="s">
        <v>3884</v>
      </c>
      <c r="T1442" s="38" t="s">
        <v>53</v>
      </c>
      <c r="U1442" s="38" t="s">
        <v>54</v>
      </c>
      <c r="V1442" s="38" t="s">
        <v>61</v>
      </c>
      <c r="Y1442" s="38">
        <v>149.69999999999999</v>
      </c>
      <c r="Z1442" s="38">
        <v>1</v>
      </c>
      <c r="AF1442" s="38"/>
      <c r="AI1442" s="38">
        <v>2</v>
      </c>
      <c r="AJ1442" s="38">
        <v>3</v>
      </c>
      <c r="AK1442" s="14">
        <f t="shared" si="7"/>
        <v>0.66666666666666663</v>
      </c>
      <c r="AM1442" s="38"/>
      <c r="AO1442" s="28"/>
    </row>
    <row r="1443" spans="1:41" ht="12.5">
      <c r="A1443" s="28" t="s">
        <v>5238</v>
      </c>
      <c r="B1443" s="37">
        <v>45857</v>
      </c>
      <c r="C1443" s="29">
        <v>45864</v>
      </c>
      <c r="D1443" s="38" t="s">
        <v>41</v>
      </c>
      <c r="E1443" s="38" t="s">
        <v>5239</v>
      </c>
      <c r="G1443" s="38" t="s">
        <v>43</v>
      </c>
      <c r="H1443" s="38">
        <v>14.29</v>
      </c>
      <c r="I1443" s="38" t="s">
        <v>44</v>
      </c>
      <c r="J1443" s="38" t="s">
        <v>45</v>
      </c>
      <c r="K1443" s="38" t="s">
        <v>5240</v>
      </c>
      <c r="L1443" s="30" t="s">
        <v>58</v>
      </c>
      <c r="M1443" s="38" t="s">
        <v>48</v>
      </c>
      <c r="N1443" s="38" t="s">
        <v>48</v>
      </c>
      <c r="O1443" s="31" t="s">
        <v>425</v>
      </c>
      <c r="P1443" s="28" t="s">
        <v>426</v>
      </c>
      <c r="Q1443" s="38" t="s">
        <v>427</v>
      </c>
      <c r="R1443" s="38">
        <v>1</v>
      </c>
      <c r="S1443" s="38" t="s">
        <v>306</v>
      </c>
      <c r="T1443" s="38" t="s">
        <v>53</v>
      </c>
      <c r="U1443" s="38" t="s">
        <v>54</v>
      </c>
      <c r="V1443" s="38" t="s">
        <v>61</v>
      </c>
      <c r="Y1443" s="38">
        <v>148.65</v>
      </c>
      <c r="Z1443" s="38">
        <v>1</v>
      </c>
      <c r="AF1443" s="38"/>
      <c r="AK1443" s="14" t="e">
        <f t="shared" si="7"/>
        <v>#DIV/0!</v>
      </c>
      <c r="AM1443" s="38"/>
      <c r="AO1443" s="28"/>
    </row>
    <row r="1444" spans="1:41" ht="12.5">
      <c r="A1444" s="28" t="s">
        <v>5241</v>
      </c>
      <c r="B1444" s="37">
        <v>45853</v>
      </c>
      <c r="C1444" s="29">
        <v>45864</v>
      </c>
      <c r="D1444" s="38" t="s">
        <v>57</v>
      </c>
      <c r="E1444" s="38"/>
      <c r="G1444" s="38"/>
      <c r="H1444" s="38"/>
      <c r="I1444" s="38"/>
      <c r="J1444" s="38"/>
      <c r="K1444" s="38"/>
      <c r="L1444" s="30" t="s">
        <v>58</v>
      </c>
      <c r="M1444" s="38" t="s">
        <v>48</v>
      </c>
      <c r="N1444" s="38" t="s">
        <v>48</v>
      </c>
      <c r="O1444" s="31" t="s">
        <v>1223</v>
      </c>
      <c r="P1444" s="28" t="s">
        <v>1224</v>
      </c>
      <c r="Q1444" s="38" t="s">
        <v>1225</v>
      </c>
      <c r="R1444" s="38">
        <v>1</v>
      </c>
      <c r="S1444" s="38" t="s">
        <v>1722</v>
      </c>
      <c r="T1444" s="38" t="s">
        <v>53</v>
      </c>
      <c r="U1444" s="38" t="s">
        <v>60</v>
      </c>
      <c r="V1444" s="38" t="s">
        <v>61</v>
      </c>
      <c r="Y1444" s="38">
        <v>106.82</v>
      </c>
      <c r="Z1444" s="38">
        <v>1</v>
      </c>
      <c r="AF1444" s="38"/>
      <c r="AI1444" s="38">
        <v>1</v>
      </c>
      <c r="AK1444" s="14" t="e">
        <f t="shared" si="7"/>
        <v>#DIV/0!</v>
      </c>
      <c r="AM1444" s="38"/>
      <c r="AO1444" s="28"/>
    </row>
    <row r="1445" spans="1:41" ht="12.5">
      <c r="A1445" s="28" t="s">
        <v>5242</v>
      </c>
      <c r="B1445" s="37">
        <v>45850</v>
      </c>
      <c r="C1445" s="29">
        <v>45864</v>
      </c>
      <c r="D1445" s="38" t="s">
        <v>41</v>
      </c>
      <c r="E1445" s="38" t="s">
        <v>5243</v>
      </c>
      <c r="G1445" s="38" t="s">
        <v>43</v>
      </c>
      <c r="H1445" s="38">
        <v>10.57</v>
      </c>
      <c r="I1445" s="38" t="s">
        <v>44</v>
      </c>
      <c r="J1445" s="38" t="s">
        <v>45</v>
      </c>
      <c r="K1445" s="38" t="s">
        <v>5244</v>
      </c>
      <c r="L1445" s="30" t="s">
        <v>58</v>
      </c>
      <c r="M1445" s="38" t="s">
        <v>48</v>
      </c>
      <c r="N1445" s="38" t="s">
        <v>48</v>
      </c>
      <c r="O1445" s="31" t="s">
        <v>1259</v>
      </c>
      <c r="P1445" s="28" t="s">
        <v>1260</v>
      </c>
      <c r="Q1445" s="38" t="s">
        <v>1261</v>
      </c>
      <c r="R1445" s="38">
        <v>1</v>
      </c>
      <c r="S1445" s="38" t="s">
        <v>75</v>
      </c>
      <c r="T1445" s="38" t="s">
        <v>53</v>
      </c>
      <c r="U1445" s="38" t="s">
        <v>54</v>
      </c>
      <c r="V1445" s="38" t="s">
        <v>61</v>
      </c>
      <c r="Y1445" s="38">
        <v>65.94</v>
      </c>
      <c r="Z1445" s="38">
        <v>1</v>
      </c>
      <c r="AF1445" s="38"/>
      <c r="AI1445" s="38">
        <v>1</v>
      </c>
      <c r="AJ1445" s="38">
        <v>7</v>
      </c>
      <c r="AK1445" s="14">
        <f t="shared" si="7"/>
        <v>0.14285714285714285</v>
      </c>
      <c r="AM1445" s="38"/>
      <c r="AO1445" s="28"/>
    </row>
    <row r="1446" spans="1:41" ht="12.5">
      <c r="A1446" s="28" t="s">
        <v>5245</v>
      </c>
      <c r="B1446" s="37">
        <v>45847</v>
      </c>
      <c r="C1446" s="29">
        <v>45861</v>
      </c>
      <c r="D1446" s="38" t="s">
        <v>41</v>
      </c>
      <c r="E1446" s="38" t="s">
        <v>5246</v>
      </c>
      <c r="G1446" s="38" t="s">
        <v>43</v>
      </c>
      <c r="H1446" s="38">
        <v>13.81</v>
      </c>
      <c r="I1446" s="38" t="s">
        <v>44</v>
      </c>
      <c r="J1446" s="38" t="s">
        <v>45</v>
      </c>
      <c r="K1446" s="38" t="s">
        <v>5247</v>
      </c>
      <c r="L1446" s="30" t="s">
        <v>47</v>
      </c>
      <c r="M1446" s="38" t="s">
        <v>48</v>
      </c>
      <c r="N1446" s="38" t="s">
        <v>48</v>
      </c>
      <c r="O1446" s="31" t="s">
        <v>463</v>
      </c>
      <c r="P1446" s="28" t="s">
        <v>464</v>
      </c>
      <c r="Q1446" s="38" t="s">
        <v>4948</v>
      </c>
      <c r="R1446" s="38">
        <v>1</v>
      </c>
      <c r="S1446" s="38" t="s">
        <v>92</v>
      </c>
      <c r="T1446" s="38" t="s">
        <v>53</v>
      </c>
      <c r="U1446" s="38" t="s">
        <v>54</v>
      </c>
      <c r="V1446" s="38" t="s">
        <v>61</v>
      </c>
      <c r="Y1446" s="38">
        <v>79.86</v>
      </c>
      <c r="Z1446" s="38">
        <v>1</v>
      </c>
      <c r="AF1446" s="38"/>
      <c r="AI1446" s="38">
        <v>2</v>
      </c>
      <c r="AJ1446" s="38">
        <v>4</v>
      </c>
      <c r="AK1446" s="14">
        <f t="shared" si="7"/>
        <v>0.5</v>
      </c>
      <c r="AM1446" s="38"/>
      <c r="AO1446" s="28" t="s">
        <v>5248</v>
      </c>
    </row>
    <row r="1447" spans="1:41" ht="12.5">
      <c r="A1447" s="28" t="s">
        <v>5249</v>
      </c>
      <c r="B1447" s="37">
        <v>45849</v>
      </c>
      <c r="C1447" s="29">
        <v>45854</v>
      </c>
      <c r="D1447" s="38" t="s">
        <v>41</v>
      </c>
      <c r="E1447" s="38" t="s">
        <v>5250</v>
      </c>
      <c r="G1447" s="38" t="s">
        <v>43</v>
      </c>
      <c r="H1447" s="38">
        <v>13.81</v>
      </c>
      <c r="I1447" s="38" t="s">
        <v>44</v>
      </c>
      <c r="J1447" s="38" t="s">
        <v>45</v>
      </c>
      <c r="K1447" s="38" t="s">
        <v>5251</v>
      </c>
      <c r="L1447" s="30" t="s">
        <v>58</v>
      </c>
      <c r="M1447" s="38" t="s">
        <v>48</v>
      </c>
      <c r="N1447" s="38" t="s">
        <v>48</v>
      </c>
      <c r="O1447" s="31" t="s">
        <v>463</v>
      </c>
      <c r="P1447" s="28" t="s">
        <v>464</v>
      </c>
      <c r="Q1447" s="38" t="s">
        <v>4948</v>
      </c>
      <c r="R1447" s="38">
        <v>1</v>
      </c>
      <c r="S1447" s="38" t="s">
        <v>75</v>
      </c>
      <c r="T1447" s="38" t="s">
        <v>53</v>
      </c>
      <c r="U1447" s="38" t="s">
        <v>54</v>
      </c>
      <c r="V1447" s="38" t="s">
        <v>55</v>
      </c>
      <c r="Y1447" s="38">
        <v>79.400000000000006</v>
      </c>
      <c r="Z1447" s="38">
        <v>1</v>
      </c>
      <c r="AF1447" s="38">
        <v>65.59</v>
      </c>
      <c r="AK1447" s="14" t="e">
        <f t="shared" si="7"/>
        <v>#DIV/0!</v>
      </c>
      <c r="AM1447" s="38"/>
      <c r="AO1447" s="28"/>
    </row>
    <row r="1448" spans="1:41" ht="12.5">
      <c r="A1448" s="28" t="s">
        <v>5252</v>
      </c>
      <c r="B1448" s="37">
        <v>45857</v>
      </c>
      <c r="C1448" s="29">
        <v>45865</v>
      </c>
      <c r="D1448" s="38" t="s">
        <v>41</v>
      </c>
      <c r="E1448" s="38" t="s">
        <v>5253</v>
      </c>
      <c r="G1448" s="38" t="s">
        <v>43</v>
      </c>
      <c r="H1448" s="38">
        <v>13.35</v>
      </c>
      <c r="I1448" s="38" t="s">
        <v>44</v>
      </c>
      <c r="J1448" s="38" t="s">
        <v>45</v>
      </c>
      <c r="K1448" s="38" t="s">
        <v>5254</v>
      </c>
      <c r="L1448" s="30" t="s">
        <v>58</v>
      </c>
      <c r="M1448" s="38" t="s">
        <v>48</v>
      </c>
      <c r="N1448" s="38" t="s">
        <v>48</v>
      </c>
      <c r="O1448" s="31" t="s">
        <v>486</v>
      </c>
      <c r="P1448" s="28" t="s">
        <v>487</v>
      </c>
      <c r="Q1448" s="38" t="s">
        <v>488</v>
      </c>
      <c r="R1448" s="38">
        <v>1</v>
      </c>
      <c r="S1448" s="38" t="s">
        <v>3878</v>
      </c>
      <c r="T1448" s="38" t="s">
        <v>53</v>
      </c>
      <c r="U1448" s="38" t="s">
        <v>54</v>
      </c>
      <c r="V1448" s="38" t="s">
        <v>55</v>
      </c>
      <c r="Y1448" s="38">
        <v>118.02</v>
      </c>
      <c r="Z1448" s="38">
        <v>1</v>
      </c>
      <c r="AF1448" s="38">
        <v>104.67</v>
      </c>
      <c r="AI1448" s="38">
        <v>1</v>
      </c>
      <c r="AJ1448" s="38">
        <v>1</v>
      </c>
      <c r="AK1448" s="14">
        <f t="shared" si="7"/>
        <v>1</v>
      </c>
      <c r="AM1448" s="38"/>
      <c r="AO1448" s="28"/>
    </row>
    <row r="1449" spans="1:41" ht="12.5">
      <c r="A1449" s="28" t="s">
        <v>5255</v>
      </c>
      <c r="B1449" s="37">
        <v>45859</v>
      </c>
      <c r="C1449" s="29">
        <v>45863</v>
      </c>
      <c r="D1449" s="38" t="s">
        <v>41</v>
      </c>
      <c r="E1449" s="38" t="s">
        <v>5256</v>
      </c>
      <c r="G1449" s="38" t="s">
        <v>43</v>
      </c>
      <c r="H1449" s="38">
        <v>11.71</v>
      </c>
      <c r="I1449" s="38" t="s">
        <v>44</v>
      </c>
      <c r="J1449" s="38" t="s">
        <v>45</v>
      </c>
      <c r="K1449" s="38" t="s">
        <v>5257</v>
      </c>
      <c r="L1449" s="30" t="s">
        <v>58</v>
      </c>
      <c r="M1449" s="38" t="s">
        <v>48</v>
      </c>
      <c r="N1449" s="38" t="s">
        <v>48</v>
      </c>
      <c r="O1449" s="31" t="s">
        <v>5258</v>
      </c>
      <c r="P1449" s="28" t="s">
        <v>5259</v>
      </c>
      <c r="Q1449" s="38" t="s">
        <v>5260</v>
      </c>
      <c r="R1449" s="38">
        <v>1</v>
      </c>
      <c r="S1449" s="38" t="s">
        <v>3884</v>
      </c>
      <c r="T1449" s="38" t="s">
        <v>53</v>
      </c>
      <c r="U1449" s="38" t="s">
        <v>54</v>
      </c>
      <c r="V1449" s="38" t="s">
        <v>55</v>
      </c>
      <c r="Y1449" s="38">
        <v>92.42</v>
      </c>
      <c r="Z1449" s="38">
        <v>1</v>
      </c>
      <c r="AF1449" s="38">
        <v>80.709999999999994</v>
      </c>
      <c r="AI1449" s="38">
        <v>1</v>
      </c>
      <c r="AK1449" s="14" t="e">
        <f t="shared" si="7"/>
        <v>#DIV/0!</v>
      </c>
      <c r="AM1449" s="38"/>
      <c r="AO1449" s="28"/>
    </row>
    <row r="1450" spans="1:41" ht="12.5">
      <c r="A1450" s="28" t="s">
        <v>5261</v>
      </c>
      <c r="B1450" s="37">
        <v>45860</v>
      </c>
      <c r="C1450" s="29">
        <v>45863</v>
      </c>
      <c r="D1450" s="38" t="s">
        <v>41</v>
      </c>
      <c r="E1450" s="38" t="s">
        <v>5262</v>
      </c>
      <c r="G1450" s="38" t="s">
        <v>43</v>
      </c>
      <c r="H1450" s="38">
        <v>12.87</v>
      </c>
      <c r="I1450" s="38" t="s">
        <v>44</v>
      </c>
      <c r="J1450" s="38" t="s">
        <v>45</v>
      </c>
      <c r="K1450" s="38" t="s">
        <v>5263</v>
      </c>
      <c r="L1450" s="30" t="s">
        <v>47</v>
      </c>
      <c r="M1450" s="38" t="s">
        <v>48</v>
      </c>
      <c r="N1450" s="38" t="s">
        <v>48</v>
      </c>
      <c r="O1450" s="31" t="s">
        <v>5264</v>
      </c>
      <c r="P1450" s="28" t="s">
        <v>5265</v>
      </c>
      <c r="Q1450" s="38" t="s">
        <v>5266</v>
      </c>
      <c r="R1450" s="38">
        <v>1</v>
      </c>
      <c r="S1450" s="38" t="s">
        <v>421</v>
      </c>
      <c r="T1450" s="38" t="s">
        <v>53</v>
      </c>
      <c r="U1450" s="38" t="s">
        <v>54</v>
      </c>
      <c r="V1450" s="38" t="s">
        <v>560</v>
      </c>
      <c r="Y1450" s="38">
        <v>115.44</v>
      </c>
      <c r="Z1450" s="38">
        <v>1</v>
      </c>
      <c r="AF1450" s="38"/>
      <c r="AI1450" s="38">
        <v>1</v>
      </c>
      <c r="AJ1450" s="38">
        <v>2</v>
      </c>
      <c r="AK1450" s="14">
        <f t="shared" si="7"/>
        <v>0.5</v>
      </c>
      <c r="AM1450" s="38"/>
      <c r="AN1450" s="45" t="s">
        <v>5267</v>
      </c>
      <c r="AO1450" s="28" t="s">
        <v>5268</v>
      </c>
    </row>
    <row r="1451" spans="1:41" ht="12.5">
      <c r="A1451" s="28" t="s">
        <v>5269</v>
      </c>
      <c r="B1451" s="37">
        <v>45865</v>
      </c>
      <c r="C1451" s="29">
        <v>45869</v>
      </c>
      <c r="D1451" s="38" t="s">
        <v>41</v>
      </c>
      <c r="E1451" s="38" t="s">
        <v>5270</v>
      </c>
      <c r="G1451" s="38" t="s">
        <v>43</v>
      </c>
      <c r="H1451" s="38">
        <v>11.71</v>
      </c>
      <c r="I1451" s="38" t="s">
        <v>44</v>
      </c>
      <c r="J1451" s="38" t="s">
        <v>45</v>
      </c>
      <c r="K1451" s="38" t="s">
        <v>5271</v>
      </c>
      <c r="L1451" s="30" t="s">
        <v>47</v>
      </c>
      <c r="M1451" s="38" t="s">
        <v>48</v>
      </c>
      <c r="N1451" s="38" t="s">
        <v>48</v>
      </c>
      <c r="O1451" s="31" t="s">
        <v>2277</v>
      </c>
      <c r="P1451" s="28" t="s">
        <v>2278</v>
      </c>
      <c r="Q1451" s="38" t="s">
        <v>2279</v>
      </c>
      <c r="R1451" s="38">
        <v>1</v>
      </c>
      <c r="S1451" s="38" t="s">
        <v>92</v>
      </c>
      <c r="T1451" s="38" t="s">
        <v>53</v>
      </c>
      <c r="U1451" s="38" t="s">
        <v>54</v>
      </c>
      <c r="V1451" s="38" t="s">
        <v>61</v>
      </c>
      <c r="Y1451" s="38">
        <v>89.78</v>
      </c>
      <c r="Z1451" s="38">
        <v>1</v>
      </c>
      <c r="AF1451" s="38"/>
      <c r="AI1451" s="38">
        <v>1</v>
      </c>
      <c r="AJ1451" s="38">
        <v>1</v>
      </c>
      <c r="AK1451" s="14">
        <f t="shared" si="7"/>
        <v>1</v>
      </c>
      <c r="AM1451" s="38"/>
      <c r="AO1451" s="28" t="s">
        <v>5272</v>
      </c>
    </row>
    <row r="1452" spans="1:41" ht="12.5">
      <c r="A1452" s="28" t="s">
        <v>5273</v>
      </c>
      <c r="B1452" s="37">
        <v>45855</v>
      </c>
      <c r="C1452" s="29">
        <v>45860</v>
      </c>
      <c r="D1452" s="38" t="s">
        <v>41</v>
      </c>
      <c r="E1452" s="38" t="s">
        <v>5274</v>
      </c>
      <c r="G1452" s="38" t="s">
        <v>43</v>
      </c>
      <c r="H1452" s="38">
        <v>12.87</v>
      </c>
      <c r="I1452" s="38" t="s">
        <v>44</v>
      </c>
      <c r="J1452" s="38" t="s">
        <v>45</v>
      </c>
      <c r="K1452" s="38" t="s">
        <v>5275</v>
      </c>
      <c r="L1452" s="30" t="s">
        <v>58</v>
      </c>
      <c r="M1452" s="38" t="s">
        <v>48</v>
      </c>
      <c r="N1452" s="38" t="s">
        <v>48</v>
      </c>
      <c r="O1452" s="31" t="s">
        <v>526</v>
      </c>
      <c r="P1452" s="28" t="s">
        <v>527</v>
      </c>
      <c r="Q1452" s="38" t="s">
        <v>4556</v>
      </c>
      <c r="R1452" s="38">
        <v>1</v>
      </c>
      <c r="S1452" s="38" t="s">
        <v>75</v>
      </c>
      <c r="T1452" s="38" t="s">
        <v>53</v>
      </c>
      <c r="U1452" s="38" t="s">
        <v>54</v>
      </c>
      <c r="V1452" s="38" t="s">
        <v>55</v>
      </c>
      <c r="Y1452" s="38">
        <v>66.510000000000005</v>
      </c>
      <c r="Z1452" s="38">
        <v>1</v>
      </c>
      <c r="AF1452" s="38">
        <v>53.64</v>
      </c>
      <c r="AI1452" s="38">
        <v>1</v>
      </c>
      <c r="AJ1452" s="38">
        <v>14</v>
      </c>
      <c r="AK1452" s="14">
        <f t="shared" si="7"/>
        <v>7.1428571428571425E-2</v>
      </c>
      <c r="AM1452" s="38"/>
      <c r="AO1452" s="28"/>
    </row>
    <row r="1453" spans="1:41" ht="12.5">
      <c r="A1453" s="28" t="s">
        <v>5276</v>
      </c>
      <c r="B1453" s="37">
        <v>45852</v>
      </c>
      <c r="C1453" s="29">
        <v>45864</v>
      </c>
      <c r="D1453" s="38" t="s">
        <v>41</v>
      </c>
      <c r="E1453" s="38" t="s">
        <v>5277</v>
      </c>
      <c r="G1453" s="38" t="s">
        <v>43</v>
      </c>
      <c r="H1453" s="38">
        <v>13.81</v>
      </c>
      <c r="I1453" s="38" t="s">
        <v>44</v>
      </c>
      <c r="J1453" s="38" t="s">
        <v>45</v>
      </c>
      <c r="K1453" s="38" t="s">
        <v>5278</v>
      </c>
      <c r="L1453" s="30" t="s">
        <v>58</v>
      </c>
      <c r="M1453" s="38" t="s">
        <v>48</v>
      </c>
      <c r="N1453" s="38" t="s">
        <v>48</v>
      </c>
      <c r="O1453" s="31" t="s">
        <v>1319</v>
      </c>
      <c r="P1453" s="28" t="s">
        <v>1320</v>
      </c>
      <c r="Q1453" s="38" t="s">
        <v>1321</v>
      </c>
      <c r="R1453" s="38">
        <v>1</v>
      </c>
      <c r="S1453" s="38" t="s">
        <v>3868</v>
      </c>
      <c r="T1453" s="38" t="s">
        <v>53</v>
      </c>
      <c r="U1453" s="38" t="s">
        <v>54</v>
      </c>
      <c r="V1453" s="38" t="s">
        <v>55</v>
      </c>
      <c r="Y1453" s="38">
        <v>100.48</v>
      </c>
      <c r="Z1453" s="38">
        <v>1</v>
      </c>
      <c r="AF1453" s="38">
        <v>86.67</v>
      </c>
      <c r="AI1453" s="38">
        <v>1</v>
      </c>
      <c r="AJ1453" s="38">
        <v>1</v>
      </c>
      <c r="AK1453" s="14">
        <f t="shared" si="7"/>
        <v>1</v>
      </c>
      <c r="AM1453" s="38"/>
      <c r="AO1453" s="28"/>
    </row>
    <row r="1454" spans="1:41" ht="12.5">
      <c r="A1454" s="28" t="s">
        <v>5279</v>
      </c>
      <c r="B1454" s="37">
        <v>45862</v>
      </c>
      <c r="C1454" s="29">
        <v>45865</v>
      </c>
      <c r="D1454" s="38" t="s">
        <v>41</v>
      </c>
      <c r="E1454" s="38" t="s">
        <v>5280</v>
      </c>
      <c r="G1454" s="38" t="s">
        <v>43</v>
      </c>
      <c r="H1454" s="38">
        <v>20.9</v>
      </c>
      <c r="I1454" s="38" t="s">
        <v>44</v>
      </c>
      <c r="J1454" s="38" t="s">
        <v>45</v>
      </c>
      <c r="K1454" s="38" t="s">
        <v>5281</v>
      </c>
      <c r="L1454" s="30" t="s">
        <v>58</v>
      </c>
      <c r="M1454" s="38" t="s">
        <v>48</v>
      </c>
      <c r="N1454" s="38" t="s">
        <v>48</v>
      </c>
      <c r="O1454" s="31" t="s">
        <v>551</v>
      </c>
      <c r="P1454" s="28" t="s">
        <v>552</v>
      </c>
      <c r="Q1454" s="38" t="s">
        <v>553</v>
      </c>
      <c r="R1454" s="38">
        <v>1</v>
      </c>
      <c r="S1454" s="38" t="s">
        <v>75</v>
      </c>
      <c r="T1454" s="38" t="s">
        <v>53</v>
      </c>
      <c r="U1454" s="38" t="s">
        <v>54</v>
      </c>
      <c r="V1454" s="38" t="s">
        <v>55</v>
      </c>
      <c r="Y1454" s="38">
        <v>99.43</v>
      </c>
      <c r="Z1454" s="38">
        <v>1</v>
      </c>
      <c r="AF1454" s="38">
        <v>78.53</v>
      </c>
      <c r="AI1454" s="38">
        <v>2</v>
      </c>
      <c r="AJ1454" s="38">
        <v>4</v>
      </c>
      <c r="AK1454" s="14">
        <f t="shared" si="7"/>
        <v>0.5</v>
      </c>
      <c r="AM1454" s="38"/>
      <c r="AO1454" s="28"/>
    </row>
    <row r="1455" spans="1:41" ht="12.5">
      <c r="A1455" s="28" t="s">
        <v>5282</v>
      </c>
      <c r="B1455" s="37">
        <v>45847</v>
      </c>
      <c r="C1455" s="29">
        <v>45860</v>
      </c>
      <c r="D1455" s="38" t="s">
        <v>41</v>
      </c>
      <c r="E1455" s="38" t="s">
        <v>5283</v>
      </c>
      <c r="G1455" s="38" t="s">
        <v>43</v>
      </c>
      <c r="H1455" s="38">
        <v>20.9</v>
      </c>
      <c r="I1455" s="38" t="s">
        <v>44</v>
      </c>
      <c r="J1455" s="38" t="s">
        <v>45</v>
      </c>
      <c r="K1455" s="38" t="s">
        <v>5284</v>
      </c>
      <c r="L1455" s="30" t="s">
        <v>58</v>
      </c>
      <c r="M1455" s="38" t="s">
        <v>48</v>
      </c>
      <c r="N1455" s="38" t="s">
        <v>48</v>
      </c>
      <c r="O1455" s="31" t="s">
        <v>551</v>
      </c>
      <c r="P1455" s="28" t="s">
        <v>552</v>
      </c>
      <c r="Q1455" s="38" t="s">
        <v>553</v>
      </c>
      <c r="R1455" s="38">
        <v>1</v>
      </c>
      <c r="S1455" s="38" t="s">
        <v>68</v>
      </c>
      <c r="T1455" s="38" t="s">
        <v>53</v>
      </c>
      <c r="U1455" s="38" t="s">
        <v>54</v>
      </c>
      <c r="V1455" s="38" t="s">
        <v>55</v>
      </c>
      <c r="Y1455" s="38">
        <v>102.36</v>
      </c>
      <c r="Z1455" s="38">
        <v>1</v>
      </c>
      <c r="AF1455" s="38">
        <v>81.459999999999994</v>
      </c>
      <c r="AK1455" s="14" t="e">
        <f t="shared" si="7"/>
        <v>#DIV/0!</v>
      </c>
      <c r="AM1455" s="38"/>
      <c r="AO1455" s="28"/>
    </row>
    <row r="1456" spans="1:41" ht="12.5">
      <c r="A1456" s="28" t="s">
        <v>5282</v>
      </c>
      <c r="B1456" s="37">
        <v>45847</v>
      </c>
      <c r="C1456" s="29">
        <v>45857</v>
      </c>
      <c r="D1456" s="38" t="s">
        <v>41</v>
      </c>
      <c r="E1456" s="38" t="s">
        <v>5285</v>
      </c>
      <c r="G1456" s="38" t="s">
        <v>43</v>
      </c>
      <c r="H1456" s="38">
        <v>20.9</v>
      </c>
      <c r="I1456" s="38" t="s">
        <v>44</v>
      </c>
      <c r="J1456" s="38" t="s">
        <v>45</v>
      </c>
      <c r="K1456" s="38" t="s">
        <v>5286</v>
      </c>
      <c r="L1456" s="30" t="s">
        <v>47</v>
      </c>
      <c r="M1456" s="38" t="s">
        <v>48</v>
      </c>
      <c r="N1456" s="38" t="s">
        <v>48</v>
      </c>
      <c r="O1456" s="31" t="s">
        <v>551</v>
      </c>
      <c r="P1456" s="28" t="s">
        <v>552</v>
      </c>
      <c r="Q1456" s="38" t="s">
        <v>553</v>
      </c>
      <c r="R1456" s="38">
        <v>1</v>
      </c>
      <c r="S1456" s="38" t="s">
        <v>52</v>
      </c>
      <c r="T1456" s="38" t="s">
        <v>53</v>
      </c>
      <c r="U1456" s="38" t="s">
        <v>54</v>
      </c>
      <c r="V1456" s="38" t="s">
        <v>61</v>
      </c>
      <c r="Y1456" s="38">
        <v>102.36</v>
      </c>
      <c r="Z1456" s="38">
        <v>1</v>
      </c>
      <c r="AF1456" s="38"/>
      <c r="AK1456" s="14" t="e">
        <f t="shared" si="7"/>
        <v>#DIV/0!</v>
      </c>
      <c r="AM1456" s="38"/>
      <c r="AO1456" s="28" t="s">
        <v>5287</v>
      </c>
    </row>
    <row r="1457" spans="1:41" ht="12.5">
      <c r="A1457" s="28" t="s">
        <v>5288</v>
      </c>
      <c r="B1457" s="37">
        <v>45862</v>
      </c>
      <c r="C1457" s="29">
        <v>45865</v>
      </c>
      <c r="D1457" s="38" t="s">
        <v>41</v>
      </c>
      <c r="E1457" s="38" t="s">
        <v>5289</v>
      </c>
      <c r="G1457" s="38" t="s">
        <v>43</v>
      </c>
      <c r="H1457" s="38">
        <v>19.170000000000002</v>
      </c>
      <c r="I1457" s="38" t="s">
        <v>44</v>
      </c>
      <c r="J1457" s="38" t="s">
        <v>45</v>
      </c>
      <c r="K1457" s="38" t="s">
        <v>5290</v>
      </c>
      <c r="L1457" s="30" t="s">
        <v>58</v>
      </c>
      <c r="M1457" s="38" t="s">
        <v>48</v>
      </c>
      <c r="N1457" s="38" t="s">
        <v>48</v>
      </c>
      <c r="O1457" s="31" t="s">
        <v>1343</v>
      </c>
      <c r="P1457" s="28" t="s">
        <v>1344</v>
      </c>
      <c r="Q1457" s="38" t="s">
        <v>1345</v>
      </c>
      <c r="R1457" s="38">
        <v>1</v>
      </c>
      <c r="S1457" s="38" t="s">
        <v>59</v>
      </c>
      <c r="T1457" s="38" t="s">
        <v>53</v>
      </c>
      <c r="U1457" s="38" t="s">
        <v>54</v>
      </c>
      <c r="V1457" s="38" t="s">
        <v>61</v>
      </c>
      <c r="Y1457" s="38">
        <v>126.91</v>
      </c>
      <c r="Z1457" s="38">
        <v>1</v>
      </c>
      <c r="AF1457" s="38"/>
      <c r="AI1457" s="38">
        <v>1</v>
      </c>
      <c r="AJ1457" s="38">
        <v>2</v>
      </c>
      <c r="AK1457" s="14">
        <f t="shared" si="7"/>
        <v>0.5</v>
      </c>
      <c r="AM1457" s="38"/>
      <c r="AO1457" s="28"/>
    </row>
    <row r="1458" spans="1:41" ht="12.5">
      <c r="A1458" s="28" t="s">
        <v>5291</v>
      </c>
      <c r="B1458" s="37">
        <v>45857</v>
      </c>
      <c r="C1458" s="29">
        <v>45862</v>
      </c>
      <c r="D1458" s="38" t="s">
        <v>41</v>
      </c>
      <c r="E1458" s="38" t="s">
        <v>5292</v>
      </c>
      <c r="G1458" s="38" t="s">
        <v>43</v>
      </c>
      <c r="H1458" s="38">
        <v>17.77</v>
      </c>
      <c r="I1458" s="38" t="s">
        <v>44</v>
      </c>
      <c r="J1458" s="38" t="s">
        <v>45</v>
      </c>
      <c r="K1458" s="38" t="s">
        <v>5293</v>
      </c>
      <c r="L1458" s="30" t="s">
        <v>47</v>
      </c>
      <c r="M1458" s="38" t="s">
        <v>48</v>
      </c>
      <c r="N1458" s="38" t="s">
        <v>48</v>
      </c>
      <c r="O1458" s="31" t="s">
        <v>2617</v>
      </c>
      <c r="P1458" s="28" t="s">
        <v>2618</v>
      </c>
      <c r="Q1458" s="38" t="s">
        <v>2619</v>
      </c>
      <c r="R1458" s="38">
        <v>1</v>
      </c>
      <c r="S1458" s="38" t="s">
        <v>99</v>
      </c>
      <c r="T1458" s="38" t="s">
        <v>53</v>
      </c>
      <c r="U1458" s="38" t="s">
        <v>54</v>
      </c>
      <c r="V1458" s="38" t="s">
        <v>61</v>
      </c>
      <c r="Y1458" s="38">
        <v>99.54</v>
      </c>
      <c r="Z1458" s="38">
        <v>1</v>
      </c>
      <c r="AF1458" s="38"/>
      <c r="AI1458" s="38">
        <v>1</v>
      </c>
      <c r="AJ1458" s="38">
        <v>4</v>
      </c>
      <c r="AK1458" s="14">
        <f t="shared" si="7"/>
        <v>0.25</v>
      </c>
      <c r="AM1458" s="38"/>
      <c r="AO1458" s="28"/>
    </row>
    <row r="1459" spans="1:41" ht="12.5">
      <c r="A1459" s="28" t="s">
        <v>5291</v>
      </c>
      <c r="B1459" s="37">
        <v>45857</v>
      </c>
      <c r="C1459" s="29">
        <v>45862</v>
      </c>
      <c r="D1459" s="38" t="s">
        <v>41</v>
      </c>
      <c r="E1459" s="38" t="s">
        <v>5294</v>
      </c>
      <c r="G1459" s="38" t="s">
        <v>43</v>
      </c>
      <c r="H1459" s="38">
        <v>17.77</v>
      </c>
      <c r="I1459" s="38" t="s">
        <v>44</v>
      </c>
      <c r="J1459" s="38" t="s">
        <v>45</v>
      </c>
      <c r="K1459" s="38" t="s">
        <v>5295</v>
      </c>
      <c r="L1459" s="30" t="s">
        <v>58</v>
      </c>
      <c r="M1459" s="38" t="s">
        <v>48</v>
      </c>
      <c r="N1459" s="38" t="s">
        <v>48</v>
      </c>
      <c r="O1459" s="31" t="s">
        <v>2617</v>
      </c>
      <c r="P1459" s="28" t="s">
        <v>2618</v>
      </c>
      <c r="Q1459" s="38" t="s">
        <v>2619</v>
      </c>
      <c r="R1459" s="38">
        <v>1</v>
      </c>
      <c r="S1459" s="38" t="s">
        <v>2990</v>
      </c>
      <c r="T1459" s="38" t="s">
        <v>53</v>
      </c>
      <c r="U1459" s="38" t="s">
        <v>54</v>
      </c>
      <c r="V1459" s="38" t="s">
        <v>61</v>
      </c>
      <c r="Y1459" s="38">
        <v>99.54</v>
      </c>
      <c r="Z1459" s="38">
        <v>1</v>
      </c>
      <c r="AF1459" s="38"/>
      <c r="AK1459" s="14" t="e">
        <f t="shared" si="7"/>
        <v>#DIV/0!</v>
      </c>
      <c r="AM1459" s="38"/>
      <c r="AO1459" s="28"/>
    </row>
    <row r="1460" spans="1:41" ht="12.5">
      <c r="A1460" s="28" t="s">
        <v>5296</v>
      </c>
      <c r="B1460" s="37">
        <v>45858</v>
      </c>
      <c r="C1460" s="29">
        <v>45864</v>
      </c>
      <c r="D1460" s="38" t="s">
        <v>41</v>
      </c>
      <c r="E1460" s="38" t="s">
        <v>5297</v>
      </c>
      <c r="G1460" s="38" t="s">
        <v>43</v>
      </c>
      <c r="H1460" s="38">
        <v>13.81</v>
      </c>
      <c r="I1460" s="38" t="s">
        <v>44</v>
      </c>
      <c r="J1460" s="38" t="s">
        <v>45</v>
      </c>
      <c r="K1460" s="38" t="s">
        <v>5298</v>
      </c>
      <c r="L1460" s="30" t="s">
        <v>47</v>
      </c>
      <c r="M1460" s="38" t="s">
        <v>48</v>
      </c>
      <c r="N1460" s="38" t="s">
        <v>48</v>
      </c>
      <c r="O1460" s="31" t="s">
        <v>1349</v>
      </c>
      <c r="P1460" s="28" t="s">
        <v>1350</v>
      </c>
      <c r="Q1460" s="38" t="s">
        <v>1351</v>
      </c>
      <c r="R1460" s="38">
        <v>1</v>
      </c>
      <c r="S1460" s="38" t="s">
        <v>52</v>
      </c>
      <c r="T1460" s="38" t="s">
        <v>53</v>
      </c>
      <c r="U1460" s="38" t="s">
        <v>54</v>
      </c>
      <c r="V1460" s="38" t="s">
        <v>61</v>
      </c>
      <c r="Y1460" s="38">
        <v>130.28</v>
      </c>
      <c r="Z1460" s="38">
        <v>1</v>
      </c>
      <c r="AF1460" s="38"/>
      <c r="AI1460" s="38">
        <v>1</v>
      </c>
      <c r="AJ1460" s="38">
        <v>5</v>
      </c>
      <c r="AK1460" s="14">
        <f t="shared" si="7"/>
        <v>0.2</v>
      </c>
      <c r="AM1460" s="38"/>
      <c r="AO1460" s="28" t="s">
        <v>4624</v>
      </c>
    </row>
    <row r="1461" spans="1:41" ht="12.5">
      <c r="A1461" s="28" t="s">
        <v>5299</v>
      </c>
      <c r="B1461" s="37">
        <v>45860</v>
      </c>
      <c r="C1461" s="29">
        <v>45864</v>
      </c>
      <c r="D1461" s="38" t="s">
        <v>41</v>
      </c>
      <c r="E1461" s="38" t="s">
        <v>5300</v>
      </c>
      <c r="G1461" s="38" t="s">
        <v>43</v>
      </c>
      <c r="H1461" s="38">
        <v>14.29</v>
      </c>
      <c r="I1461" s="38" t="s">
        <v>44</v>
      </c>
      <c r="J1461" s="38" t="s">
        <v>45</v>
      </c>
      <c r="K1461" s="38" t="s">
        <v>5301</v>
      </c>
      <c r="L1461" s="30" t="s">
        <v>58</v>
      </c>
      <c r="M1461" s="38" t="s">
        <v>48</v>
      </c>
      <c r="N1461" s="38" t="s">
        <v>48</v>
      </c>
      <c r="O1461" s="31" t="s">
        <v>2290</v>
      </c>
      <c r="P1461" s="28" t="s">
        <v>2291</v>
      </c>
      <c r="Q1461" s="38" t="s">
        <v>2292</v>
      </c>
      <c r="R1461" s="38">
        <v>1</v>
      </c>
      <c r="S1461" s="38" t="s">
        <v>59</v>
      </c>
      <c r="T1461" s="38" t="s">
        <v>53</v>
      </c>
      <c r="U1461" s="38" t="s">
        <v>54</v>
      </c>
      <c r="V1461" s="38" t="s">
        <v>61</v>
      </c>
      <c r="Y1461" s="38">
        <v>118.55</v>
      </c>
      <c r="Z1461" s="38">
        <v>1</v>
      </c>
      <c r="AF1461" s="38"/>
      <c r="AI1461" s="38">
        <v>1</v>
      </c>
      <c r="AJ1461" s="38">
        <v>2</v>
      </c>
      <c r="AK1461" s="14">
        <f t="shared" si="7"/>
        <v>0.5</v>
      </c>
      <c r="AM1461" s="38"/>
      <c r="AO1461" s="28"/>
    </row>
    <row r="1462" spans="1:41" ht="12.5">
      <c r="A1462" s="28" t="s">
        <v>5302</v>
      </c>
      <c r="B1462" s="37">
        <v>45849</v>
      </c>
      <c r="C1462" s="29">
        <v>45855</v>
      </c>
      <c r="D1462" s="38" t="s">
        <v>41</v>
      </c>
      <c r="E1462" s="38" t="s">
        <v>5303</v>
      </c>
      <c r="G1462" s="38" t="s">
        <v>43</v>
      </c>
      <c r="H1462" s="38">
        <v>10.57</v>
      </c>
      <c r="I1462" s="38" t="s">
        <v>44</v>
      </c>
      <c r="J1462" s="38" t="s">
        <v>45</v>
      </c>
      <c r="K1462" s="38" t="s">
        <v>5304</v>
      </c>
      <c r="L1462" s="30" t="s">
        <v>47</v>
      </c>
      <c r="M1462" s="38" t="s">
        <v>48</v>
      </c>
      <c r="N1462" s="38" t="s">
        <v>48</v>
      </c>
      <c r="O1462" s="31" t="s">
        <v>1924</v>
      </c>
      <c r="P1462" s="28" t="s">
        <v>1925</v>
      </c>
      <c r="Q1462" s="38" t="s">
        <v>1926</v>
      </c>
      <c r="R1462" s="38">
        <v>1</v>
      </c>
      <c r="S1462" s="38" t="s">
        <v>99</v>
      </c>
      <c r="T1462" s="38" t="s">
        <v>53</v>
      </c>
      <c r="U1462" s="38" t="s">
        <v>54</v>
      </c>
      <c r="V1462" s="38" t="s">
        <v>61</v>
      </c>
      <c r="Y1462" s="38">
        <v>107.33</v>
      </c>
      <c r="Z1462" s="38">
        <v>1</v>
      </c>
      <c r="AF1462" s="38">
        <v>92.38</v>
      </c>
      <c r="AI1462" s="38">
        <v>1</v>
      </c>
      <c r="AJ1462" s="38">
        <v>2</v>
      </c>
      <c r="AK1462" s="14">
        <f t="shared" si="7"/>
        <v>0.5</v>
      </c>
      <c r="AM1462" s="38"/>
      <c r="AO1462" s="28"/>
    </row>
    <row r="1463" spans="1:41" ht="12.5">
      <c r="A1463" s="28" t="s">
        <v>5305</v>
      </c>
      <c r="B1463" s="37">
        <v>45861</v>
      </c>
      <c r="C1463" s="29">
        <v>45866</v>
      </c>
      <c r="D1463" s="38" t="s">
        <v>41</v>
      </c>
      <c r="E1463" s="38" t="s">
        <v>5306</v>
      </c>
      <c r="G1463" s="38" t="s">
        <v>43</v>
      </c>
      <c r="H1463" s="38">
        <v>13.81</v>
      </c>
      <c r="I1463" s="38" t="s">
        <v>44</v>
      </c>
      <c r="J1463" s="38" t="s">
        <v>45</v>
      </c>
      <c r="K1463" s="38" t="s">
        <v>5307</v>
      </c>
      <c r="L1463" s="30" t="s">
        <v>58</v>
      </c>
      <c r="M1463" s="38" t="s">
        <v>48</v>
      </c>
      <c r="N1463" s="38" t="s">
        <v>48</v>
      </c>
      <c r="O1463" s="31" t="s">
        <v>3493</v>
      </c>
      <c r="P1463" s="28" t="s">
        <v>3494</v>
      </c>
      <c r="Q1463" s="38" t="s">
        <v>3495</v>
      </c>
      <c r="R1463" s="38">
        <v>1</v>
      </c>
      <c r="S1463" s="38" t="s">
        <v>3868</v>
      </c>
      <c r="T1463" s="38" t="s">
        <v>53</v>
      </c>
      <c r="U1463" s="38" t="s">
        <v>54</v>
      </c>
      <c r="V1463" s="38" t="s">
        <v>55</v>
      </c>
      <c r="Y1463" s="38">
        <v>110.52</v>
      </c>
      <c r="Z1463" s="38">
        <v>1</v>
      </c>
      <c r="AF1463" s="38">
        <v>96.71</v>
      </c>
      <c r="AI1463" s="38">
        <v>1</v>
      </c>
      <c r="AJ1463" s="38">
        <v>8</v>
      </c>
      <c r="AK1463" s="14">
        <f t="shared" si="7"/>
        <v>0.125</v>
      </c>
      <c r="AM1463" s="38"/>
      <c r="AO1463" s="28"/>
    </row>
    <row r="1464" spans="1:41" ht="12.5">
      <c r="A1464" s="28" t="s">
        <v>5308</v>
      </c>
      <c r="B1464" s="37">
        <v>45849</v>
      </c>
      <c r="C1464" s="29">
        <v>45857</v>
      </c>
      <c r="D1464" s="38" t="s">
        <v>41</v>
      </c>
      <c r="E1464" s="38" t="s">
        <v>5309</v>
      </c>
      <c r="G1464" s="38" t="s">
        <v>43</v>
      </c>
      <c r="H1464" s="38">
        <v>11.96</v>
      </c>
      <c r="I1464" s="38" t="s">
        <v>44</v>
      </c>
      <c r="J1464" s="38" t="s">
        <v>45</v>
      </c>
      <c r="K1464" s="38" t="s">
        <v>5310</v>
      </c>
      <c r="L1464" s="30" t="s">
        <v>58</v>
      </c>
      <c r="M1464" s="38" t="s">
        <v>48</v>
      </c>
      <c r="N1464" s="38" t="s">
        <v>48</v>
      </c>
      <c r="O1464" s="31" t="s">
        <v>566</v>
      </c>
      <c r="P1464" s="28" t="s">
        <v>567</v>
      </c>
      <c r="Q1464" s="38" t="s">
        <v>568</v>
      </c>
      <c r="R1464" s="38">
        <v>1</v>
      </c>
      <c r="S1464" s="38" t="s">
        <v>3878</v>
      </c>
      <c r="T1464" s="38" t="s">
        <v>53</v>
      </c>
      <c r="U1464" s="38" t="s">
        <v>54</v>
      </c>
      <c r="V1464" s="38" t="s">
        <v>61</v>
      </c>
      <c r="Y1464" s="38">
        <v>132.26</v>
      </c>
      <c r="Z1464" s="38">
        <v>1</v>
      </c>
      <c r="AF1464" s="38">
        <v>116.3</v>
      </c>
      <c r="AI1464" s="38">
        <v>1</v>
      </c>
      <c r="AJ1464" s="38">
        <v>2</v>
      </c>
      <c r="AK1464" s="14">
        <f t="shared" si="7"/>
        <v>0.5</v>
      </c>
      <c r="AM1464" s="38"/>
      <c r="AO1464" s="28"/>
    </row>
    <row r="1465" spans="1:41" ht="12.5">
      <c r="A1465" s="28" t="s">
        <v>5311</v>
      </c>
      <c r="B1465" s="37">
        <v>45842</v>
      </c>
      <c r="C1465" s="29">
        <v>45860</v>
      </c>
      <c r="D1465" s="38" t="s">
        <v>41</v>
      </c>
      <c r="E1465" s="38" t="s">
        <v>5312</v>
      </c>
      <c r="G1465" s="38" t="s">
        <v>43</v>
      </c>
      <c r="H1465" s="38">
        <v>11.31</v>
      </c>
      <c r="I1465" s="38" t="s">
        <v>44</v>
      </c>
      <c r="J1465" s="38" t="s">
        <v>45</v>
      </c>
      <c r="K1465" s="38" t="s">
        <v>5313</v>
      </c>
      <c r="L1465" s="30" t="s">
        <v>47</v>
      </c>
      <c r="M1465" s="38" t="s">
        <v>48</v>
      </c>
      <c r="N1465" s="38" t="s">
        <v>48</v>
      </c>
      <c r="O1465" s="31" t="s">
        <v>1366</v>
      </c>
      <c r="P1465" s="28" t="s">
        <v>1367</v>
      </c>
      <c r="Q1465" s="38" t="s">
        <v>1368</v>
      </c>
      <c r="R1465" s="38">
        <v>1</v>
      </c>
      <c r="S1465" s="38" t="s">
        <v>92</v>
      </c>
      <c r="T1465" s="38" t="s">
        <v>53</v>
      </c>
      <c r="U1465" s="38" t="s">
        <v>54</v>
      </c>
      <c r="V1465" s="38" t="s">
        <v>61</v>
      </c>
      <c r="Y1465" s="38">
        <v>105.98</v>
      </c>
      <c r="Z1465" s="38">
        <v>1</v>
      </c>
      <c r="AF1465" s="38"/>
      <c r="AI1465" s="38">
        <v>1</v>
      </c>
      <c r="AJ1465" s="38">
        <v>4</v>
      </c>
      <c r="AK1465" s="14">
        <f t="shared" si="7"/>
        <v>0.25</v>
      </c>
      <c r="AM1465" s="38"/>
      <c r="AO1465" s="28" t="s">
        <v>5314</v>
      </c>
    </row>
    <row r="1466" spans="1:41" ht="12.5">
      <c r="A1466" s="28" t="s">
        <v>5315</v>
      </c>
      <c r="B1466" s="37">
        <v>45865</v>
      </c>
      <c r="C1466" s="29">
        <v>45869</v>
      </c>
      <c r="D1466" s="38" t="s">
        <v>41</v>
      </c>
      <c r="E1466" s="38" t="s">
        <v>5316</v>
      </c>
      <c r="G1466" s="38" t="s">
        <v>43</v>
      </c>
      <c r="H1466" s="38">
        <v>11.71</v>
      </c>
      <c r="I1466" s="38" t="s">
        <v>44</v>
      </c>
      <c r="J1466" s="38" t="s">
        <v>45</v>
      </c>
      <c r="K1466" s="38" t="s">
        <v>5317</v>
      </c>
      <c r="L1466" s="30" t="s">
        <v>58</v>
      </c>
      <c r="M1466" s="38" t="s">
        <v>48</v>
      </c>
      <c r="N1466" s="38" t="s">
        <v>48</v>
      </c>
      <c r="O1466" s="31" t="s">
        <v>1384</v>
      </c>
      <c r="P1466" s="28" t="s">
        <v>1385</v>
      </c>
      <c r="Q1466" s="38" t="s">
        <v>1386</v>
      </c>
      <c r="R1466" s="38">
        <v>1</v>
      </c>
      <c r="S1466" s="38" t="s">
        <v>3868</v>
      </c>
      <c r="T1466" s="38" t="s">
        <v>53</v>
      </c>
      <c r="U1466" s="38" t="s">
        <v>54</v>
      </c>
      <c r="V1466" s="38" t="s">
        <v>61</v>
      </c>
      <c r="Y1466" s="38">
        <v>96.22</v>
      </c>
      <c r="Z1466" s="38">
        <v>1</v>
      </c>
      <c r="AF1466" s="38"/>
      <c r="AI1466" s="38">
        <v>1</v>
      </c>
      <c r="AJ1466" s="38">
        <v>1</v>
      </c>
      <c r="AK1466" s="14">
        <f t="shared" si="7"/>
        <v>1</v>
      </c>
      <c r="AM1466" s="38"/>
      <c r="AO1466" s="28"/>
    </row>
    <row r="1467" spans="1:41" ht="12.5">
      <c r="A1467" s="28" t="s">
        <v>5318</v>
      </c>
      <c r="B1467" s="37">
        <v>45855</v>
      </c>
      <c r="C1467" s="29">
        <v>45860</v>
      </c>
      <c r="D1467" s="38" t="s">
        <v>41</v>
      </c>
      <c r="E1467" s="38" t="s">
        <v>5319</v>
      </c>
      <c r="G1467" s="38" t="s">
        <v>43</v>
      </c>
      <c r="H1467" s="38">
        <v>14.7</v>
      </c>
      <c r="I1467" s="38" t="s">
        <v>44</v>
      </c>
      <c r="J1467" s="38" t="s">
        <v>45</v>
      </c>
      <c r="K1467" s="38" t="s">
        <v>5320</v>
      </c>
      <c r="L1467" s="30" t="s">
        <v>58</v>
      </c>
      <c r="M1467" s="38" t="s">
        <v>48</v>
      </c>
      <c r="N1467" s="38" t="s">
        <v>48</v>
      </c>
      <c r="O1467" s="31" t="s">
        <v>2296</v>
      </c>
      <c r="P1467" s="28" t="s">
        <v>2297</v>
      </c>
      <c r="Q1467" s="38" t="s">
        <v>2298</v>
      </c>
      <c r="R1467" s="38">
        <v>1</v>
      </c>
      <c r="S1467" s="38" t="s">
        <v>3868</v>
      </c>
      <c r="T1467" s="38" t="s">
        <v>53</v>
      </c>
      <c r="U1467" s="38" t="s">
        <v>54</v>
      </c>
      <c r="V1467" s="38" t="s">
        <v>55</v>
      </c>
      <c r="Y1467" s="38">
        <v>111.2</v>
      </c>
      <c r="Z1467" s="38">
        <v>1</v>
      </c>
      <c r="AF1467" s="38">
        <v>96.5</v>
      </c>
      <c r="AI1467" s="38">
        <v>1</v>
      </c>
      <c r="AJ1467" s="38">
        <v>2</v>
      </c>
      <c r="AK1467" s="14">
        <f t="shared" si="7"/>
        <v>0.5</v>
      </c>
      <c r="AM1467" s="38"/>
      <c r="AO1467" s="28"/>
    </row>
    <row r="1468" spans="1:41" ht="12.5">
      <c r="A1468" s="28" t="s">
        <v>5321</v>
      </c>
      <c r="B1468" s="37">
        <v>45850</v>
      </c>
      <c r="C1468" s="29">
        <v>45867</v>
      </c>
      <c r="D1468" s="38" t="s">
        <v>41</v>
      </c>
      <c r="E1468" s="38" t="s">
        <v>5322</v>
      </c>
      <c r="G1468" s="38" t="s">
        <v>43</v>
      </c>
      <c r="H1468" s="38">
        <v>38.89</v>
      </c>
      <c r="I1468" s="38" t="s">
        <v>44</v>
      </c>
      <c r="J1468" s="38" t="s">
        <v>45</v>
      </c>
      <c r="K1468" s="38" t="s">
        <v>5323</v>
      </c>
      <c r="L1468" s="30" t="s">
        <v>47</v>
      </c>
      <c r="M1468" s="38" t="s">
        <v>48</v>
      </c>
      <c r="N1468" s="38" t="s">
        <v>48</v>
      </c>
      <c r="O1468" s="31" t="s">
        <v>599</v>
      </c>
      <c r="P1468" s="28" t="s">
        <v>600</v>
      </c>
      <c r="Q1468" s="38" t="s">
        <v>601</v>
      </c>
      <c r="R1468" s="38">
        <v>1</v>
      </c>
      <c r="S1468" s="38" t="s">
        <v>82</v>
      </c>
      <c r="T1468" s="38" t="s">
        <v>53</v>
      </c>
      <c r="U1468" s="38" t="s">
        <v>54</v>
      </c>
      <c r="V1468" s="38" t="s">
        <v>55</v>
      </c>
      <c r="Y1468" s="38">
        <v>127.49</v>
      </c>
      <c r="Z1468" s="38">
        <v>1</v>
      </c>
      <c r="AF1468" s="38">
        <v>127.49</v>
      </c>
      <c r="AI1468" s="38">
        <v>1</v>
      </c>
      <c r="AK1468" s="14" t="e">
        <f t="shared" si="7"/>
        <v>#DIV/0!</v>
      </c>
      <c r="AM1468" s="38"/>
      <c r="AO1468" s="28" t="s">
        <v>5324</v>
      </c>
    </row>
    <row r="1469" spans="1:41" ht="12.5">
      <c r="A1469" s="28" t="s">
        <v>5325</v>
      </c>
      <c r="B1469" s="37">
        <v>45859</v>
      </c>
      <c r="C1469" s="29">
        <v>45868</v>
      </c>
      <c r="D1469" s="38" t="s">
        <v>41</v>
      </c>
      <c r="E1469" s="38" t="s">
        <v>5326</v>
      </c>
      <c r="G1469" s="38" t="s">
        <v>43</v>
      </c>
      <c r="H1469" s="38">
        <v>14.7</v>
      </c>
      <c r="I1469" s="38" t="s">
        <v>44</v>
      </c>
      <c r="J1469" s="38" t="s">
        <v>45</v>
      </c>
      <c r="K1469" s="38" t="s">
        <v>5327</v>
      </c>
      <c r="L1469" s="30" t="s">
        <v>47</v>
      </c>
      <c r="M1469" s="38" t="s">
        <v>48</v>
      </c>
      <c r="N1469" s="38" t="s">
        <v>48</v>
      </c>
      <c r="O1469" s="31" t="s">
        <v>617</v>
      </c>
      <c r="P1469" s="28" t="s">
        <v>618</v>
      </c>
      <c r="Q1469" s="38" t="s">
        <v>5328</v>
      </c>
      <c r="R1469" s="38">
        <v>1</v>
      </c>
      <c r="S1469" s="38" t="s">
        <v>856</v>
      </c>
      <c r="T1469" s="38" t="s">
        <v>53</v>
      </c>
      <c r="U1469" s="38" t="s">
        <v>54</v>
      </c>
      <c r="V1469" s="38" t="s">
        <v>55</v>
      </c>
      <c r="Y1469" s="38">
        <v>102.89</v>
      </c>
      <c r="Z1469" s="38">
        <v>1</v>
      </c>
      <c r="AF1469" s="38">
        <v>102.89</v>
      </c>
      <c r="AI1469" s="38">
        <v>1</v>
      </c>
      <c r="AJ1469" s="38">
        <v>1</v>
      </c>
      <c r="AK1469" s="14">
        <f t="shared" si="7"/>
        <v>1</v>
      </c>
      <c r="AM1469" s="38"/>
      <c r="AO1469" s="28" t="s">
        <v>5329</v>
      </c>
    </row>
    <row r="1470" spans="1:41" ht="12.5">
      <c r="A1470" s="28" t="s">
        <v>5330</v>
      </c>
      <c r="B1470" s="37">
        <v>45863</v>
      </c>
      <c r="C1470" s="29">
        <v>45867</v>
      </c>
      <c r="D1470" s="38" t="s">
        <v>41</v>
      </c>
      <c r="E1470" s="38" t="s">
        <v>5331</v>
      </c>
      <c r="G1470" s="38" t="s">
        <v>43</v>
      </c>
      <c r="H1470" s="38">
        <v>12.87</v>
      </c>
      <c r="I1470" s="38" t="s">
        <v>44</v>
      </c>
      <c r="J1470" s="38" t="s">
        <v>45</v>
      </c>
      <c r="K1470" s="38" t="s">
        <v>5332</v>
      </c>
      <c r="L1470" s="30" t="s">
        <v>58</v>
      </c>
      <c r="M1470" s="38" t="s">
        <v>48</v>
      </c>
      <c r="N1470" s="38" t="s">
        <v>48</v>
      </c>
      <c r="O1470" s="31" t="s">
        <v>5333</v>
      </c>
      <c r="P1470" s="28" t="s">
        <v>5334</v>
      </c>
      <c r="Q1470" s="38" t="s">
        <v>5335</v>
      </c>
      <c r="R1470" s="38">
        <v>1</v>
      </c>
      <c r="S1470" s="38" t="s">
        <v>59</v>
      </c>
      <c r="T1470" s="38" t="s">
        <v>53</v>
      </c>
      <c r="U1470" s="38" t="s">
        <v>54</v>
      </c>
      <c r="V1470" s="38" t="s">
        <v>61</v>
      </c>
      <c r="Y1470" s="38">
        <v>78.92</v>
      </c>
      <c r="Z1470" s="38">
        <v>1</v>
      </c>
      <c r="AF1470" s="38"/>
      <c r="AI1470" s="38">
        <v>1</v>
      </c>
      <c r="AJ1470" s="38">
        <v>2</v>
      </c>
      <c r="AK1470" s="14">
        <f t="shared" si="7"/>
        <v>0.5</v>
      </c>
      <c r="AM1470" s="38"/>
      <c r="AO1470" s="28"/>
    </row>
    <row r="1471" spans="1:41" ht="12.5">
      <c r="A1471" s="28" t="s">
        <v>5336</v>
      </c>
      <c r="B1471" s="37">
        <v>45852</v>
      </c>
      <c r="C1471" s="29">
        <v>45861</v>
      </c>
      <c r="D1471" s="38" t="s">
        <v>41</v>
      </c>
      <c r="E1471" s="38" t="s">
        <v>5337</v>
      </c>
      <c r="G1471" s="38" t="s">
        <v>43</v>
      </c>
      <c r="H1471" s="38">
        <v>11.96</v>
      </c>
      <c r="I1471" s="38" t="s">
        <v>44</v>
      </c>
      <c r="J1471" s="38" t="s">
        <v>45</v>
      </c>
      <c r="K1471" s="38" t="s">
        <v>5338</v>
      </c>
      <c r="L1471" s="30" t="s">
        <v>58</v>
      </c>
      <c r="M1471" s="38" t="s">
        <v>48</v>
      </c>
      <c r="N1471" s="38" t="s">
        <v>48</v>
      </c>
      <c r="O1471" s="31" t="s">
        <v>5004</v>
      </c>
      <c r="P1471" s="28" t="s">
        <v>5005</v>
      </c>
      <c r="Q1471" s="38" t="s">
        <v>5006</v>
      </c>
      <c r="R1471" s="38">
        <v>1</v>
      </c>
      <c r="S1471" s="38" t="s">
        <v>75</v>
      </c>
      <c r="T1471" s="38" t="s">
        <v>53</v>
      </c>
      <c r="U1471" s="38" t="s">
        <v>54</v>
      </c>
      <c r="V1471" s="38" t="s">
        <v>61</v>
      </c>
      <c r="Y1471" s="38">
        <v>109.5</v>
      </c>
      <c r="Z1471" s="38">
        <v>1</v>
      </c>
      <c r="AF1471" s="38"/>
      <c r="AI1471" s="38">
        <v>1</v>
      </c>
      <c r="AJ1471" s="38">
        <v>1</v>
      </c>
      <c r="AK1471" s="14">
        <f t="shared" si="7"/>
        <v>1</v>
      </c>
      <c r="AM1471" s="38"/>
      <c r="AO1471" s="28"/>
    </row>
    <row r="1472" spans="1:41" ht="12.5">
      <c r="A1472" s="28" t="s">
        <v>5339</v>
      </c>
      <c r="B1472" s="37">
        <v>45848</v>
      </c>
      <c r="C1472" s="29">
        <v>45857</v>
      </c>
      <c r="D1472" s="38" t="s">
        <v>41</v>
      </c>
      <c r="E1472" s="38" t="s">
        <v>5340</v>
      </c>
      <c r="G1472" s="38" t="s">
        <v>43</v>
      </c>
      <c r="H1472" s="38">
        <v>11.71</v>
      </c>
      <c r="I1472" s="38" t="s">
        <v>44</v>
      </c>
      <c r="J1472" s="38" t="s">
        <v>45</v>
      </c>
      <c r="K1472" s="38" t="s">
        <v>5341</v>
      </c>
      <c r="L1472" s="30" t="s">
        <v>58</v>
      </c>
      <c r="M1472" s="38" t="s">
        <v>48</v>
      </c>
      <c r="N1472" s="38" t="s">
        <v>48</v>
      </c>
      <c r="O1472" s="31" t="s">
        <v>680</v>
      </c>
      <c r="P1472" s="28" t="s">
        <v>681</v>
      </c>
      <c r="Q1472" s="38" t="s">
        <v>5012</v>
      </c>
      <c r="R1472" s="38">
        <v>1</v>
      </c>
      <c r="S1472" s="38" t="s">
        <v>3878</v>
      </c>
      <c r="T1472" s="38" t="s">
        <v>53</v>
      </c>
      <c r="U1472" s="38" t="s">
        <v>54</v>
      </c>
      <c r="V1472" s="38" t="s">
        <v>55</v>
      </c>
      <c r="Y1472" s="38">
        <v>69.47</v>
      </c>
      <c r="Z1472" s="38">
        <v>1</v>
      </c>
      <c r="AF1472" s="38">
        <v>57.76</v>
      </c>
      <c r="AI1472" s="38">
        <v>1</v>
      </c>
      <c r="AJ1472" s="38">
        <v>1</v>
      </c>
      <c r="AK1472" s="14">
        <f t="shared" si="7"/>
        <v>1</v>
      </c>
      <c r="AM1472" s="38"/>
      <c r="AO1472" s="28"/>
    </row>
    <row r="1473" spans="1:41" ht="12.5">
      <c r="A1473" s="28" t="s">
        <v>5342</v>
      </c>
      <c r="B1473" s="37">
        <v>45850</v>
      </c>
      <c r="C1473" s="29">
        <v>45866</v>
      </c>
      <c r="D1473" s="38" t="s">
        <v>41</v>
      </c>
      <c r="E1473" s="38" t="s">
        <v>5343</v>
      </c>
      <c r="G1473" s="38" t="s">
        <v>43</v>
      </c>
      <c r="H1473" s="38">
        <v>11.96</v>
      </c>
      <c r="I1473" s="38" t="s">
        <v>44</v>
      </c>
      <c r="J1473" s="38" t="s">
        <v>45</v>
      </c>
      <c r="K1473" s="38" t="s">
        <v>5344</v>
      </c>
      <c r="L1473" s="30" t="s">
        <v>58</v>
      </c>
      <c r="M1473" s="38" t="s">
        <v>48</v>
      </c>
      <c r="N1473" s="38" t="s">
        <v>48</v>
      </c>
      <c r="O1473" s="31" t="s">
        <v>698</v>
      </c>
      <c r="P1473" s="28" t="s">
        <v>699</v>
      </c>
      <c r="Q1473" s="38" t="s">
        <v>5345</v>
      </c>
      <c r="R1473" s="38">
        <v>1</v>
      </c>
      <c r="S1473" s="38" t="s">
        <v>75</v>
      </c>
      <c r="T1473" s="38" t="s">
        <v>53</v>
      </c>
      <c r="U1473" s="38" t="s">
        <v>54</v>
      </c>
      <c r="V1473" s="38" t="s">
        <v>55</v>
      </c>
      <c r="Y1473" s="38">
        <v>53.9</v>
      </c>
      <c r="Z1473" s="38">
        <v>1</v>
      </c>
      <c r="AF1473" s="38">
        <v>41.94</v>
      </c>
      <c r="AI1473" s="38">
        <v>1</v>
      </c>
      <c r="AJ1473" s="38">
        <v>4</v>
      </c>
      <c r="AK1473" s="14">
        <f t="shared" si="7"/>
        <v>0.25</v>
      </c>
      <c r="AM1473" s="38"/>
      <c r="AO1473" s="28"/>
    </row>
    <row r="1474" spans="1:41" ht="12.5">
      <c r="A1474" s="28" t="s">
        <v>5346</v>
      </c>
      <c r="B1474" s="37">
        <v>45855</v>
      </c>
      <c r="C1474" s="29">
        <v>45857</v>
      </c>
      <c r="D1474" s="38" t="s">
        <v>41</v>
      </c>
      <c r="E1474" s="38" t="s">
        <v>5347</v>
      </c>
      <c r="G1474" s="38" t="s">
        <v>43</v>
      </c>
      <c r="H1474" s="38">
        <v>14.29</v>
      </c>
      <c r="I1474" s="38" t="s">
        <v>44</v>
      </c>
      <c r="J1474" s="38" t="s">
        <v>45</v>
      </c>
      <c r="K1474" s="38" t="s">
        <v>5348</v>
      </c>
      <c r="L1474" s="30" t="s">
        <v>58</v>
      </c>
      <c r="M1474" s="38" t="s">
        <v>48</v>
      </c>
      <c r="N1474" s="38" t="s">
        <v>48</v>
      </c>
      <c r="O1474" s="31" t="s">
        <v>5349</v>
      </c>
      <c r="P1474" s="28" t="s">
        <v>5350</v>
      </c>
      <c r="Q1474" s="38" t="s">
        <v>5351</v>
      </c>
      <c r="R1474" s="38">
        <v>1</v>
      </c>
      <c r="S1474" s="38" t="s">
        <v>59</v>
      </c>
      <c r="T1474" s="38" t="s">
        <v>53</v>
      </c>
      <c r="U1474" s="38" t="s">
        <v>54</v>
      </c>
      <c r="V1474" s="38" t="s">
        <v>55</v>
      </c>
      <c r="Y1474" s="38">
        <v>122.95</v>
      </c>
      <c r="Z1474" s="38">
        <v>1</v>
      </c>
      <c r="AF1474" s="38">
        <v>108.66</v>
      </c>
      <c r="AI1474" s="38">
        <v>1</v>
      </c>
      <c r="AJ1474" s="38">
        <v>1</v>
      </c>
      <c r="AK1474" s="14">
        <f t="shared" si="7"/>
        <v>1</v>
      </c>
      <c r="AM1474" s="38"/>
      <c r="AO1474" s="28"/>
    </row>
    <row r="1475" spans="1:41" ht="12.5">
      <c r="A1475" s="28" t="s">
        <v>5352</v>
      </c>
      <c r="B1475" s="37">
        <v>45859</v>
      </c>
      <c r="C1475" s="29">
        <v>45863</v>
      </c>
      <c r="D1475" s="38" t="s">
        <v>41</v>
      </c>
      <c r="E1475" s="38" t="s">
        <v>5353</v>
      </c>
      <c r="G1475" s="38" t="s">
        <v>43</v>
      </c>
      <c r="H1475" s="38">
        <v>13.81</v>
      </c>
      <c r="I1475" s="38" t="s">
        <v>44</v>
      </c>
      <c r="J1475" s="38" t="s">
        <v>45</v>
      </c>
      <c r="K1475" s="38" t="s">
        <v>5354</v>
      </c>
      <c r="L1475" s="30" t="s">
        <v>58</v>
      </c>
      <c r="M1475" s="38" t="s">
        <v>48</v>
      </c>
      <c r="N1475" s="38" t="s">
        <v>48</v>
      </c>
      <c r="O1475" s="31" t="s">
        <v>5355</v>
      </c>
      <c r="P1475" s="28" t="s">
        <v>5356</v>
      </c>
      <c r="Q1475" s="38" t="s">
        <v>5357</v>
      </c>
      <c r="R1475" s="38">
        <v>1</v>
      </c>
      <c r="S1475" s="38" t="s">
        <v>3878</v>
      </c>
      <c r="T1475" s="38" t="s">
        <v>53</v>
      </c>
      <c r="U1475" s="38" t="s">
        <v>54</v>
      </c>
      <c r="V1475" s="38" t="s">
        <v>55</v>
      </c>
      <c r="Y1475" s="38">
        <v>96.71</v>
      </c>
      <c r="Z1475" s="38">
        <v>1</v>
      </c>
      <c r="AF1475" s="38">
        <v>82.9</v>
      </c>
      <c r="AI1475" s="38">
        <v>3</v>
      </c>
      <c r="AJ1475" s="38">
        <v>8</v>
      </c>
      <c r="AK1475" s="14">
        <f t="shared" si="7"/>
        <v>0.375</v>
      </c>
      <c r="AM1475" s="38"/>
      <c r="AO1475" s="28"/>
    </row>
    <row r="1476" spans="1:41" ht="12.5">
      <c r="A1476" s="28" t="s">
        <v>5358</v>
      </c>
      <c r="B1476" s="37">
        <v>45856</v>
      </c>
      <c r="C1476" s="29">
        <v>45861</v>
      </c>
      <c r="D1476" s="38" t="s">
        <v>41</v>
      </c>
      <c r="E1476" s="38" t="s">
        <v>5359</v>
      </c>
      <c r="G1476" s="38" t="s">
        <v>43</v>
      </c>
      <c r="H1476" s="38">
        <v>13.81</v>
      </c>
      <c r="I1476" s="38" t="s">
        <v>44</v>
      </c>
      <c r="J1476" s="38" t="s">
        <v>45</v>
      </c>
      <c r="K1476" s="38" t="s">
        <v>5360</v>
      </c>
      <c r="L1476" s="30" t="s">
        <v>58</v>
      </c>
      <c r="M1476" s="38" t="s">
        <v>48</v>
      </c>
      <c r="N1476" s="38" t="s">
        <v>48</v>
      </c>
      <c r="O1476" s="31" t="s">
        <v>5355</v>
      </c>
      <c r="P1476" s="28" t="s">
        <v>5356</v>
      </c>
      <c r="Q1476" s="38" t="s">
        <v>5357</v>
      </c>
      <c r="R1476" s="38">
        <v>1</v>
      </c>
      <c r="S1476" s="38" t="s">
        <v>3878</v>
      </c>
      <c r="T1476" s="38" t="s">
        <v>53</v>
      </c>
      <c r="U1476" s="38" t="s">
        <v>54</v>
      </c>
      <c r="V1476" s="38" t="s">
        <v>61</v>
      </c>
      <c r="Y1476" s="38">
        <v>99.26</v>
      </c>
      <c r="Z1476" s="38">
        <v>1</v>
      </c>
      <c r="AF1476" s="38"/>
      <c r="AK1476" s="14" t="e">
        <f t="shared" si="7"/>
        <v>#DIV/0!</v>
      </c>
      <c r="AM1476" s="38"/>
      <c r="AO1476" s="28"/>
    </row>
    <row r="1477" spans="1:41" ht="12.5">
      <c r="A1477" s="28" t="s">
        <v>5361</v>
      </c>
      <c r="B1477" s="37">
        <v>45853</v>
      </c>
      <c r="C1477" s="29">
        <v>45855</v>
      </c>
      <c r="D1477" s="38" t="s">
        <v>41</v>
      </c>
      <c r="E1477" s="38" t="s">
        <v>5362</v>
      </c>
      <c r="G1477" s="38" t="s">
        <v>43</v>
      </c>
      <c r="H1477" s="38">
        <v>13.81</v>
      </c>
      <c r="I1477" s="38" t="s">
        <v>44</v>
      </c>
      <c r="J1477" s="38" t="s">
        <v>45</v>
      </c>
      <c r="K1477" s="38" t="s">
        <v>5363</v>
      </c>
      <c r="L1477" s="30" t="s">
        <v>58</v>
      </c>
      <c r="M1477" s="38" t="s">
        <v>48</v>
      </c>
      <c r="N1477" s="38" t="s">
        <v>48</v>
      </c>
      <c r="O1477" s="31" t="s">
        <v>5355</v>
      </c>
      <c r="P1477" s="28" t="s">
        <v>5356</v>
      </c>
      <c r="Q1477" s="38" t="s">
        <v>5357</v>
      </c>
      <c r="R1477" s="38">
        <v>1</v>
      </c>
      <c r="S1477" s="38" t="s">
        <v>3868</v>
      </c>
      <c r="T1477" s="38" t="s">
        <v>53</v>
      </c>
      <c r="U1477" s="38" t="s">
        <v>54</v>
      </c>
      <c r="V1477" s="38" t="s">
        <v>55</v>
      </c>
      <c r="Y1477" s="38">
        <v>99.6</v>
      </c>
      <c r="Z1477" s="38">
        <v>1</v>
      </c>
      <c r="AF1477" s="38">
        <v>85.79</v>
      </c>
      <c r="AK1477" s="14" t="e">
        <f t="shared" si="7"/>
        <v>#DIV/0!</v>
      </c>
      <c r="AM1477" s="38"/>
      <c r="AO1477" s="28"/>
    </row>
    <row r="1478" spans="1:41" ht="12.5">
      <c r="A1478" s="28" t="s">
        <v>5364</v>
      </c>
      <c r="B1478" s="37">
        <v>45848</v>
      </c>
      <c r="C1478" s="29">
        <v>45859</v>
      </c>
      <c r="D1478" s="38" t="s">
        <v>41</v>
      </c>
      <c r="E1478" s="38" t="s">
        <v>5365</v>
      </c>
      <c r="G1478" s="38" t="s">
        <v>43</v>
      </c>
      <c r="H1478" s="38">
        <v>14.29</v>
      </c>
      <c r="I1478" s="38" t="s">
        <v>44</v>
      </c>
      <c r="J1478" s="38" t="s">
        <v>45</v>
      </c>
      <c r="K1478" s="38" t="s">
        <v>5366</v>
      </c>
      <c r="L1478" s="30" t="s">
        <v>58</v>
      </c>
      <c r="M1478" s="38" t="s">
        <v>48</v>
      </c>
      <c r="N1478" s="38" t="s">
        <v>48</v>
      </c>
      <c r="O1478" s="31" t="s">
        <v>5367</v>
      </c>
      <c r="P1478" s="28" t="s">
        <v>5368</v>
      </c>
      <c r="Q1478" s="38" t="s">
        <v>5369</v>
      </c>
      <c r="R1478" s="38">
        <v>1</v>
      </c>
      <c r="S1478" s="38" t="s">
        <v>3884</v>
      </c>
      <c r="T1478" s="38" t="s">
        <v>53</v>
      </c>
      <c r="U1478" s="38" t="s">
        <v>54</v>
      </c>
      <c r="V1478" s="38" t="s">
        <v>55</v>
      </c>
      <c r="Y1478" s="38">
        <v>85.92</v>
      </c>
      <c r="Z1478" s="38">
        <v>1</v>
      </c>
      <c r="AF1478" s="38">
        <v>71.63</v>
      </c>
      <c r="AI1478" s="38">
        <v>1</v>
      </c>
      <c r="AJ1478" s="38">
        <v>0</v>
      </c>
      <c r="AK1478" s="14" t="e">
        <f t="shared" si="7"/>
        <v>#DIV/0!</v>
      </c>
      <c r="AM1478" s="38"/>
      <c r="AO1478" s="28"/>
    </row>
    <row r="1479" spans="1:41" ht="12.5">
      <c r="A1479" s="28" t="s">
        <v>5364</v>
      </c>
      <c r="B1479" s="37">
        <v>45848</v>
      </c>
      <c r="C1479" s="29">
        <v>45859</v>
      </c>
      <c r="D1479" s="38" t="s">
        <v>41</v>
      </c>
      <c r="E1479" s="38" t="s">
        <v>5370</v>
      </c>
      <c r="G1479" s="38" t="s">
        <v>43</v>
      </c>
      <c r="H1479" s="38">
        <v>14.29</v>
      </c>
      <c r="I1479" s="38" t="s">
        <v>44</v>
      </c>
      <c r="J1479" s="38" t="s">
        <v>45</v>
      </c>
      <c r="K1479" s="38" t="s">
        <v>5371</v>
      </c>
      <c r="L1479" s="30" t="s">
        <v>58</v>
      </c>
      <c r="M1479" s="38" t="s">
        <v>48</v>
      </c>
      <c r="N1479" s="38" t="s">
        <v>48</v>
      </c>
      <c r="O1479" s="31" t="s">
        <v>5367</v>
      </c>
      <c r="P1479" s="28" t="s">
        <v>5368</v>
      </c>
      <c r="Q1479" s="38" t="s">
        <v>5369</v>
      </c>
      <c r="R1479" s="38">
        <v>1</v>
      </c>
      <c r="S1479" s="38" t="s">
        <v>3884</v>
      </c>
      <c r="T1479" s="38" t="s">
        <v>53</v>
      </c>
      <c r="U1479" s="38" t="s">
        <v>54</v>
      </c>
      <c r="V1479" s="38" t="s">
        <v>61</v>
      </c>
      <c r="Y1479" s="38">
        <v>85.92</v>
      </c>
      <c r="Z1479" s="38">
        <v>1</v>
      </c>
      <c r="AF1479" s="38"/>
      <c r="AK1479" s="14" t="e">
        <f t="shared" si="7"/>
        <v>#DIV/0!</v>
      </c>
      <c r="AM1479" s="38"/>
      <c r="AO1479" s="28"/>
    </row>
    <row r="1480" spans="1:41" ht="12.5">
      <c r="A1480" s="28" t="s">
        <v>5372</v>
      </c>
      <c r="B1480" s="37">
        <v>45854</v>
      </c>
      <c r="C1480" s="29">
        <v>45856</v>
      </c>
      <c r="D1480" s="38" t="s">
        <v>41</v>
      </c>
      <c r="E1480" s="38" t="s">
        <v>5373</v>
      </c>
      <c r="G1480" s="38" t="s">
        <v>43</v>
      </c>
      <c r="H1480" s="38">
        <v>12.42</v>
      </c>
      <c r="I1480" s="38" t="s">
        <v>44</v>
      </c>
      <c r="J1480" s="38" t="s">
        <v>45</v>
      </c>
      <c r="K1480" s="38" t="s">
        <v>5374</v>
      </c>
      <c r="L1480" s="30" t="s">
        <v>58</v>
      </c>
      <c r="M1480" s="38" t="s">
        <v>48</v>
      </c>
      <c r="N1480" s="38" t="s">
        <v>48</v>
      </c>
      <c r="O1480" s="31" t="s">
        <v>2035</v>
      </c>
      <c r="P1480" s="28" t="s">
        <v>2036</v>
      </c>
      <c r="Q1480" s="38" t="s">
        <v>2037</v>
      </c>
      <c r="R1480" s="38">
        <v>1</v>
      </c>
      <c r="S1480" s="38" t="s">
        <v>3878</v>
      </c>
      <c r="T1480" s="38" t="s">
        <v>53</v>
      </c>
      <c r="U1480" s="38" t="s">
        <v>54</v>
      </c>
      <c r="V1480" s="38" t="s">
        <v>61</v>
      </c>
      <c r="Y1480" s="38">
        <v>122.97</v>
      </c>
      <c r="Z1480" s="38">
        <v>1</v>
      </c>
      <c r="AF1480" s="38">
        <v>108.02</v>
      </c>
      <c r="AI1480" s="38">
        <v>1</v>
      </c>
      <c r="AJ1480" s="38">
        <v>4</v>
      </c>
      <c r="AK1480" s="14">
        <f t="shared" si="7"/>
        <v>0.25</v>
      </c>
      <c r="AM1480" s="38"/>
      <c r="AO1480" s="28"/>
    </row>
    <row r="1481" spans="1:41" ht="12.5">
      <c r="A1481" s="28" t="s">
        <v>5375</v>
      </c>
      <c r="B1481" s="37">
        <v>45857</v>
      </c>
      <c r="C1481" s="29">
        <v>45860</v>
      </c>
      <c r="D1481" s="38" t="s">
        <v>41</v>
      </c>
      <c r="E1481" s="38" t="s">
        <v>5376</v>
      </c>
      <c r="G1481" s="38" t="s">
        <v>43</v>
      </c>
      <c r="H1481" s="38">
        <v>10.199999999999999</v>
      </c>
      <c r="I1481" s="38" t="s">
        <v>44</v>
      </c>
      <c r="J1481" s="38" t="s">
        <v>45</v>
      </c>
      <c r="K1481" s="38" t="s">
        <v>5377</v>
      </c>
      <c r="L1481" s="30" t="s">
        <v>58</v>
      </c>
      <c r="M1481" s="38" t="s">
        <v>48</v>
      </c>
      <c r="N1481" s="38" t="s">
        <v>48</v>
      </c>
      <c r="O1481" s="31" t="s">
        <v>2042</v>
      </c>
      <c r="P1481" s="28" t="s">
        <v>2043</v>
      </c>
      <c r="Q1481" s="38" t="s">
        <v>2044</v>
      </c>
      <c r="R1481" s="38">
        <v>1</v>
      </c>
      <c r="S1481" s="38" t="s">
        <v>3878</v>
      </c>
      <c r="T1481" s="38" t="s">
        <v>53</v>
      </c>
      <c r="U1481" s="38" t="s">
        <v>54</v>
      </c>
      <c r="V1481" s="38" t="s">
        <v>55</v>
      </c>
      <c r="Y1481" s="38">
        <v>95.3</v>
      </c>
      <c r="Z1481" s="38">
        <v>1</v>
      </c>
      <c r="AF1481" s="38">
        <v>85.1</v>
      </c>
      <c r="AI1481" s="38">
        <v>1</v>
      </c>
      <c r="AJ1481" s="38">
        <v>8</v>
      </c>
      <c r="AK1481" s="14">
        <f t="shared" si="7"/>
        <v>0.125</v>
      </c>
      <c r="AM1481" s="38"/>
      <c r="AO1481" s="28"/>
    </row>
    <row r="1482" spans="1:41" ht="12.5">
      <c r="A1482" s="28" t="s">
        <v>5378</v>
      </c>
      <c r="B1482" s="37">
        <v>45852</v>
      </c>
      <c r="C1482" s="29">
        <v>45864</v>
      </c>
      <c r="D1482" s="38" t="s">
        <v>41</v>
      </c>
      <c r="E1482" s="38" t="s">
        <v>5379</v>
      </c>
      <c r="G1482" s="38" t="s">
        <v>43</v>
      </c>
      <c r="H1482" s="38">
        <v>10.85</v>
      </c>
      <c r="I1482" s="38" t="s">
        <v>44</v>
      </c>
      <c r="J1482" s="38" t="s">
        <v>45</v>
      </c>
      <c r="K1482" s="38" t="s">
        <v>5380</v>
      </c>
      <c r="L1482" s="30" t="s">
        <v>47</v>
      </c>
      <c r="M1482" s="38" t="s">
        <v>48</v>
      </c>
      <c r="N1482" s="38" t="s">
        <v>48</v>
      </c>
      <c r="O1482" s="31" t="s">
        <v>5381</v>
      </c>
      <c r="P1482" s="28" t="s">
        <v>5382</v>
      </c>
      <c r="Q1482" s="38" t="s">
        <v>5383</v>
      </c>
      <c r="R1482" s="38">
        <v>1</v>
      </c>
      <c r="S1482" s="38" t="s">
        <v>421</v>
      </c>
      <c r="T1482" s="38" t="s">
        <v>53</v>
      </c>
      <c r="U1482" s="38" t="s">
        <v>54</v>
      </c>
      <c r="V1482" s="38" t="s">
        <v>55</v>
      </c>
      <c r="Y1482" s="38">
        <v>109.22</v>
      </c>
      <c r="Z1482" s="38">
        <v>1</v>
      </c>
      <c r="AF1482" s="38">
        <v>109.22</v>
      </c>
      <c r="AI1482" s="38">
        <v>1</v>
      </c>
      <c r="AJ1482" s="38">
        <v>2</v>
      </c>
      <c r="AK1482" s="14">
        <f t="shared" si="7"/>
        <v>0.5</v>
      </c>
      <c r="AM1482" s="38"/>
      <c r="AO1482" s="28" t="s">
        <v>5384</v>
      </c>
    </row>
    <row r="1483" spans="1:41" ht="12.5">
      <c r="A1483" s="28" t="s">
        <v>5385</v>
      </c>
      <c r="B1483" s="37">
        <v>45850</v>
      </c>
      <c r="C1483" s="29">
        <v>45859</v>
      </c>
      <c r="D1483" s="38" t="s">
        <v>41</v>
      </c>
      <c r="E1483" s="38" t="s">
        <v>5386</v>
      </c>
      <c r="G1483" s="38" t="s">
        <v>43</v>
      </c>
      <c r="H1483" s="38">
        <v>13.81</v>
      </c>
      <c r="I1483" s="38" t="s">
        <v>44</v>
      </c>
      <c r="J1483" s="38" t="s">
        <v>45</v>
      </c>
      <c r="K1483" s="38" t="s">
        <v>5387</v>
      </c>
      <c r="L1483" s="30" t="s">
        <v>58</v>
      </c>
      <c r="M1483" s="38" t="s">
        <v>48</v>
      </c>
      <c r="N1483" s="38" t="s">
        <v>48</v>
      </c>
      <c r="O1483" s="31" t="s">
        <v>2048</v>
      </c>
      <c r="P1483" s="28" t="s">
        <v>2049</v>
      </c>
      <c r="Q1483" s="38" t="s">
        <v>2050</v>
      </c>
      <c r="R1483" s="38">
        <v>1</v>
      </c>
      <c r="S1483" s="38" t="s">
        <v>3878</v>
      </c>
      <c r="T1483" s="38" t="s">
        <v>53</v>
      </c>
      <c r="U1483" s="38" t="s">
        <v>54</v>
      </c>
      <c r="V1483" s="38" t="s">
        <v>55</v>
      </c>
      <c r="Y1483" s="38">
        <v>101.64</v>
      </c>
      <c r="Z1483" s="38">
        <v>1</v>
      </c>
      <c r="AF1483" s="38">
        <v>87.83</v>
      </c>
      <c r="AI1483" s="38">
        <v>2</v>
      </c>
      <c r="AJ1483" s="38">
        <v>1</v>
      </c>
      <c r="AK1483" s="14">
        <f t="shared" si="7"/>
        <v>2</v>
      </c>
      <c r="AM1483" s="38"/>
      <c r="AO1483" s="28"/>
    </row>
    <row r="1484" spans="1:41" ht="12.5">
      <c r="A1484" s="28" t="s">
        <v>5388</v>
      </c>
      <c r="B1484" s="37">
        <v>45854</v>
      </c>
      <c r="C1484" s="29">
        <v>45856</v>
      </c>
      <c r="D1484" s="38" t="s">
        <v>41</v>
      </c>
      <c r="E1484" s="38" t="s">
        <v>5389</v>
      </c>
      <c r="G1484" s="38" t="s">
        <v>43</v>
      </c>
      <c r="H1484" s="38">
        <v>13.81</v>
      </c>
      <c r="I1484" s="38" t="s">
        <v>44</v>
      </c>
      <c r="J1484" s="38" t="s">
        <v>45</v>
      </c>
      <c r="K1484" s="38" t="s">
        <v>5390</v>
      </c>
      <c r="L1484" s="30" t="s">
        <v>47</v>
      </c>
      <c r="M1484" s="38" t="s">
        <v>48</v>
      </c>
      <c r="N1484" s="38" t="s">
        <v>48</v>
      </c>
      <c r="O1484" s="31" t="s">
        <v>2048</v>
      </c>
      <c r="P1484" s="28" t="s">
        <v>2049</v>
      </c>
      <c r="Q1484" s="38" t="s">
        <v>2050</v>
      </c>
      <c r="R1484" s="38">
        <v>1</v>
      </c>
      <c r="S1484" s="38" t="s">
        <v>99</v>
      </c>
      <c r="T1484" s="38" t="s">
        <v>53</v>
      </c>
      <c r="U1484" s="38" t="s">
        <v>54</v>
      </c>
      <c r="V1484" s="38" t="s">
        <v>55</v>
      </c>
      <c r="Y1484" s="38">
        <v>103.06</v>
      </c>
      <c r="Z1484" s="38">
        <v>1</v>
      </c>
      <c r="AF1484" s="38">
        <v>103.06</v>
      </c>
      <c r="AK1484" s="14" t="e">
        <f t="shared" si="7"/>
        <v>#DIV/0!</v>
      </c>
      <c r="AM1484" s="38"/>
      <c r="AO1484" s="28"/>
    </row>
    <row r="1485" spans="1:41" ht="12.5">
      <c r="A1485" s="28" t="s">
        <v>5391</v>
      </c>
      <c r="B1485" s="37">
        <v>45854</v>
      </c>
      <c r="C1485" s="29">
        <v>45858</v>
      </c>
      <c r="D1485" s="38" t="s">
        <v>41</v>
      </c>
      <c r="E1485" s="38" t="s">
        <v>5392</v>
      </c>
      <c r="G1485" s="38" t="s">
        <v>43</v>
      </c>
      <c r="H1485" s="38">
        <v>13.81</v>
      </c>
      <c r="I1485" s="38" t="s">
        <v>44</v>
      </c>
      <c r="J1485" s="38" t="s">
        <v>45</v>
      </c>
      <c r="K1485" s="38" t="s">
        <v>5393</v>
      </c>
      <c r="L1485" s="30" t="s">
        <v>47</v>
      </c>
      <c r="M1485" s="38" t="s">
        <v>48</v>
      </c>
      <c r="N1485" s="38" t="s">
        <v>48</v>
      </c>
      <c r="O1485" s="31" t="s">
        <v>5394</v>
      </c>
      <c r="P1485" s="28" t="s">
        <v>5395</v>
      </c>
      <c r="Q1485" s="38" t="s">
        <v>5396</v>
      </c>
      <c r="R1485" s="38">
        <v>1</v>
      </c>
      <c r="S1485" s="38" t="s">
        <v>99</v>
      </c>
      <c r="T1485" s="38" t="s">
        <v>53</v>
      </c>
      <c r="U1485" s="38" t="s">
        <v>54</v>
      </c>
      <c r="V1485" s="38" t="s">
        <v>55</v>
      </c>
      <c r="Y1485" s="38">
        <v>104.15</v>
      </c>
      <c r="Z1485" s="38">
        <v>1</v>
      </c>
      <c r="AF1485" s="38">
        <v>104.15</v>
      </c>
      <c r="AI1485" s="38">
        <v>1</v>
      </c>
      <c r="AJ1485" s="38">
        <v>1</v>
      </c>
      <c r="AK1485" s="14">
        <f t="shared" si="7"/>
        <v>1</v>
      </c>
      <c r="AM1485" s="38"/>
      <c r="AO1485" s="28"/>
    </row>
    <row r="1486" spans="1:41" ht="12.5">
      <c r="A1486" s="28" t="s">
        <v>5397</v>
      </c>
      <c r="B1486" s="37">
        <v>45853</v>
      </c>
      <c r="C1486" s="29">
        <v>45859</v>
      </c>
      <c r="D1486" s="38" t="s">
        <v>41</v>
      </c>
      <c r="E1486" s="38" t="s">
        <v>5398</v>
      </c>
      <c r="G1486" s="38" t="s">
        <v>43</v>
      </c>
      <c r="H1486" s="38">
        <v>17.399999999999999</v>
      </c>
      <c r="I1486" s="38" t="s">
        <v>44</v>
      </c>
      <c r="J1486" s="38" t="s">
        <v>45</v>
      </c>
      <c r="K1486" s="38" t="s">
        <v>5399</v>
      </c>
      <c r="L1486" s="30" t="s">
        <v>58</v>
      </c>
      <c r="M1486" s="38" t="s">
        <v>48</v>
      </c>
      <c r="N1486" s="38" t="s">
        <v>48</v>
      </c>
      <c r="O1486" s="31" t="s">
        <v>5400</v>
      </c>
      <c r="P1486" s="28" t="s">
        <v>5401</v>
      </c>
      <c r="Q1486" s="38" t="s">
        <v>5402</v>
      </c>
      <c r="R1486" s="38">
        <v>1</v>
      </c>
      <c r="S1486" s="38" t="s">
        <v>59</v>
      </c>
      <c r="T1486" s="38" t="s">
        <v>53</v>
      </c>
      <c r="U1486" s="38" t="s">
        <v>54</v>
      </c>
      <c r="V1486" s="38" t="s">
        <v>61</v>
      </c>
      <c r="Y1486" s="38">
        <v>129.79</v>
      </c>
      <c r="Z1486" s="38">
        <v>1</v>
      </c>
      <c r="AF1486" s="38">
        <v>113.61</v>
      </c>
      <c r="AI1486" s="38">
        <v>1</v>
      </c>
      <c r="AJ1486" s="38">
        <v>1</v>
      </c>
      <c r="AK1486" s="14">
        <f t="shared" si="7"/>
        <v>1</v>
      </c>
      <c r="AM1486" s="38"/>
      <c r="AO1486" s="28" t="s">
        <v>5403</v>
      </c>
    </row>
    <row r="1487" spans="1:41" ht="12.5">
      <c r="A1487" s="28" t="s">
        <v>5404</v>
      </c>
      <c r="B1487" s="37">
        <v>45863</v>
      </c>
      <c r="C1487" s="29">
        <v>45869</v>
      </c>
      <c r="D1487" s="38" t="s">
        <v>41</v>
      </c>
      <c r="E1487" s="38" t="s">
        <v>5405</v>
      </c>
      <c r="G1487" s="38" t="s">
        <v>43</v>
      </c>
      <c r="H1487" s="38">
        <v>11.96</v>
      </c>
      <c r="I1487" s="38" t="s">
        <v>44</v>
      </c>
      <c r="J1487" s="38" t="s">
        <v>45</v>
      </c>
      <c r="K1487" s="38" t="s">
        <v>5406</v>
      </c>
      <c r="L1487" s="30" t="s">
        <v>58</v>
      </c>
      <c r="M1487" s="38" t="s">
        <v>48</v>
      </c>
      <c r="N1487" s="38" t="s">
        <v>48</v>
      </c>
      <c r="O1487" s="31" t="s">
        <v>815</v>
      </c>
      <c r="P1487" s="28" t="s">
        <v>816</v>
      </c>
      <c r="Q1487" s="38" t="s">
        <v>817</v>
      </c>
      <c r="R1487" s="38">
        <v>1</v>
      </c>
      <c r="S1487" s="38" t="s">
        <v>3884</v>
      </c>
      <c r="T1487" s="38" t="s">
        <v>53</v>
      </c>
      <c r="U1487" s="38" t="s">
        <v>54</v>
      </c>
      <c r="V1487" s="38" t="s">
        <v>61</v>
      </c>
      <c r="Y1487" s="38">
        <v>118.9</v>
      </c>
      <c r="Z1487" s="38">
        <v>1</v>
      </c>
      <c r="AF1487" s="38"/>
      <c r="AI1487" s="38">
        <v>1</v>
      </c>
      <c r="AJ1487" s="38">
        <v>1</v>
      </c>
      <c r="AK1487" s="14">
        <f t="shared" si="7"/>
        <v>1</v>
      </c>
      <c r="AM1487" s="38"/>
      <c r="AO1487" s="28"/>
    </row>
    <row r="1488" spans="1:41" ht="12.5">
      <c r="A1488" s="28" t="s">
        <v>5407</v>
      </c>
      <c r="B1488" s="37">
        <v>45856</v>
      </c>
      <c r="C1488" s="29">
        <v>45861</v>
      </c>
      <c r="D1488" s="38" t="s">
        <v>41</v>
      </c>
      <c r="E1488" s="38" t="s">
        <v>5408</v>
      </c>
      <c r="G1488" s="38" t="s">
        <v>43</v>
      </c>
      <c r="H1488" s="38">
        <v>15.23</v>
      </c>
      <c r="I1488" s="38" t="s">
        <v>44</v>
      </c>
      <c r="J1488" s="38" t="s">
        <v>45</v>
      </c>
      <c r="K1488" s="38" t="s">
        <v>5409</v>
      </c>
      <c r="L1488" s="30" t="s">
        <v>58</v>
      </c>
      <c r="M1488" s="38" t="s">
        <v>48</v>
      </c>
      <c r="N1488" s="38" t="s">
        <v>48</v>
      </c>
      <c r="O1488" s="31" t="s">
        <v>827</v>
      </c>
      <c r="P1488" s="28" t="s">
        <v>828</v>
      </c>
      <c r="Q1488" s="38" t="s">
        <v>829</v>
      </c>
      <c r="R1488" s="38">
        <v>1</v>
      </c>
      <c r="S1488" s="38" t="s">
        <v>3878</v>
      </c>
      <c r="T1488" s="38" t="s">
        <v>53</v>
      </c>
      <c r="U1488" s="38" t="s">
        <v>54</v>
      </c>
      <c r="V1488" s="38" t="s">
        <v>55</v>
      </c>
      <c r="Y1488" s="38">
        <v>100.24</v>
      </c>
      <c r="Z1488" s="38">
        <v>1</v>
      </c>
      <c r="AF1488" s="38">
        <v>85.01</v>
      </c>
      <c r="AI1488" s="38">
        <v>2</v>
      </c>
      <c r="AJ1488" s="38">
        <v>4</v>
      </c>
      <c r="AK1488" s="14">
        <f t="shared" si="7"/>
        <v>0.5</v>
      </c>
      <c r="AM1488" s="38"/>
      <c r="AO1488" s="28"/>
    </row>
    <row r="1489" spans="1:60" ht="12.5">
      <c r="A1489" s="28" t="s">
        <v>5410</v>
      </c>
      <c r="B1489" s="37">
        <v>45851</v>
      </c>
      <c r="C1489" s="29">
        <v>45857</v>
      </c>
      <c r="D1489" s="38" t="s">
        <v>41</v>
      </c>
      <c r="E1489" s="38" t="s">
        <v>5411</v>
      </c>
      <c r="G1489" s="38" t="s">
        <v>43</v>
      </c>
      <c r="H1489" s="38">
        <v>15.23</v>
      </c>
      <c r="I1489" s="38" t="s">
        <v>44</v>
      </c>
      <c r="J1489" s="38" t="s">
        <v>45</v>
      </c>
      <c r="K1489" s="38" t="s">
        <v>5412</v>
      </c>
      <c r="L1489" s="30" t="s">
        <v>58</v>
      </c>
      <c r="M1489" s="38" t="s">
        <v>48</v>
      </c>
      <c r="N1489" s="38" t="s">
        <v>48</v>
      </c>
      <c r="O1489" s="31" t="s">
        <v>827</v>
      </c>
      <c r="P1489" s="28" t="s">
        <v>828</v>
      </c>
      <c r="Q1489" s="38" t="s">
        <v>829</v>
      </c>
      <c r="R1489" s="38">
        <v>1</v>
      </c>
      <c r="S1489" s="38" t="s">
        <v>3884</v>
      </c>
      <c r="T1489" s="38" t="s">
        <v>53</v>
      </c>
      <c r="U1489" s="38" t="s">
        <v>54</v>
      </c>
      <c r="V1489" s="38" t="s">
        <v>61</v>
      </c>
      <c r="Y1489" s="38">
        <v>101.64</v>
      </c>
      <c r="Z1489" s="38">
        <v>1</v>
      </c>
      <c r="AF1489" s="38">
        <v>85.46</v>
      </c>
      <c r="AK1489" s="14" t="e">
        <f t="shared" si="7"/>
        <v>#DIV/0!</v>
      </c>
      <c r="AM1489" s="38"/>
      <c r="AO1489" s="28"/>
    </row>
    <row r="1490" spans="1:60" ht="12.5">
      <c r="A1490" s="28" t="s">
        <v>5413</v>
      </c>
      <c r="B1490" s="37">
        <v>45861</v>
      </c>
      <c r="C1490" s="29">
        <v>45867</v>
      </c>
      <c r="D1490" s="38" t="s">
        <v>41</v>
      </c>
      <c r="E1490" s="38" t="s">
        <v>5414</v>
      </c>
      <c r="G1490" s="38" t="s">
        <v>43</v>
      </c>
      <c r="H1490" s="38">
        <v>15.23</v>
      </c>
      <c r="I1490" s="38" t="s">
        <v>44</v>
      </c>
      <c r="J1490" s="38" t="s">
        <v>45</v>
      </c>
      <c r="K1490" s="38" t="s">
        <v>5415</v>
      </c>
      <c r="L1490" s="30" t="s">
        <v>58</v>
      </c>
      <c r="M1490" s="38" t="s">
        <v>48</v>
      </c>
      <c r="N1490" s="38" t="s">
        <v>48</v>
      </c>
      <c r="O1490" s="31" t="s">
        <v>1584</v>
      </c>
      <c r="P1490" s="28" t="s">
        <v>1585</v>
      </c>
      <c r="Q1490" s="38" t="s">
        <v>1586</v>
      </c>
      <c r="R1490" s="38">
        <v>1</v>
      </c>
      <c r="S1490" s="38" t="s">
        <v>59</v>
      </c>
      <c r="T1490" s="38" t="s">
        <v>53</v>
      </c>
      <c r="U1490" s="38" t="s">
        <v>54</v>
      </c>
      <c r="V1490" s="38" t="s">
        <v>61</v>
      </c>
      <c r="Y1490" s="38">
        <v>102.24</v>
      </c>
      <c r="Z1490" s="38">
        <v>1</v>
      </c>
      <c r="AF1490" s="38"/>
      <c r="AI1490" s="38">
        <v>1</v>
      </c>
      <c r="AJ1490" s="38">
        <v>3</v>
      </c>
      <c r="AK1490" s="14">
        <f t="shared" si="7"/>
        <v>0.33333333333333331</v>
      </c>
      <c r="AM1490" s="38"/>
      <c r="AO1490" s="28"/>
    </row>
    <row r="1491" spans="1:60" ht="12.5">
      <c r="A1491" s="28" t="s">
        <v>5416</v>
      </c>
      <c r="B1491" s="37">
        <v>45850</v>
      </c>
      <c r="C1491" s="29">
        <v>45868</v>
      </c>
      <c r="D1491" s="38" t="s">
        <v>41</v>
      </c>
      <c r="E1491" s="38" t="s">
        <v>5417</v>
      </c>
      <c r="G1491" s="38" t="s">
        <v>43</v>
      </c>
      <c r="H1491" s="38">
        <v>13.81</v>
      </c>
      <c r="I1491" s="38" t="s">
        <v>44</v>
      </c>
      <c r="J1491" s="38" t="s">
        <v>45</v>
      </c>
      <c r="K1491" s="38" t="s">
        <v>5418</v>
      </c>
      <c r="L1491" s="30" t="s">
        <v>58</v>
      </c>
      <c r="M1491" s="38" t="s">
        <v>48</v>
      </c>
      <c r="N1491" s="38" t="s">
        <v>48</v>
      </c>
      <c r="O1491" s="31" t="s">
        <v>5419</v>
      </c>
      <c r="P1491" s="28" t="s">
        <v>5420</v>
      </c>
      <c r="Q1491" s="38" t="s">
        <v>5421</v>
      </c>
      <c r="R1491" s="38">
        <v>1</v>
      </c>
      <c r="S1491" s="38" t="s">
        <v>75</v>
      </c>
      <c r="T1491" s="38" t="s">
        <v>53</v>
      </c>
      <c r="U1491" s="38" t="s">
        <v>54</v>
      </c>
      <c r="V1491" s="38" t="s">
        <v>55</v>
      </c>
      <c r="Y1491" s="38">
        <v>109.8</v>
      </c>
      <c r="Z1491" s="38">
        <v>1</v>
      </c>
      <c r="AF1491" s="38">
        <v>95.99</v>
      </c>
      <c r="AI1491" s="38">
        <v>1</v>
      </c>
      <c r="AJ1491" s="38">
        <v>0</v>
      </c>
      <c r="AK1491" s="14" t="e">
        <f t="shared" si="7"/>
        <v>#DIV/0!</v>
      </c>
      <c r="AM1491" s="38"/>
      <c r="AO1491" s="28"/>
    </row>
    <row r="1492" spans="1:60" ht="12.5">
      <c r="A1492" s="28" t="s">
        <v>5422</v>
      </c>
      <c r="B1492" s="37">
        <v>45852</v>
      </c>
      <c r="C1492" s="29">
        <v>45857</v>
      </c>
      <c r="D1492" s="38" t="s">
        <v>41</v>
      </c>
      <c r="E1492" s="38" t="s">
        <v>5423</v>
      </c>
      <c r="G1492" s="38" t="s">
        <v>43</v>
      </c>
      <c r="H1492" s="38">
        <v>70.16</v>
      </c>
      <c r="I1492" s="38" t="s">
        <v>44</v>
      </c>
      <c r="J1492" s="38" t="s">
        <v>45</v>
      </c>
      <c r="K1492" s="38" t="s">
        <v>5424</v>
      </c>
      <c r="L1492" s="30" t="s">
        <v>58</v>
      </c>
      <c r="M1492" s="38" t="s">
        <v>48</v>
      </c>
      <c r="N1492" s="38" t="s">
        <v>48</v>
      </c>
      <c r="O1492" s="31" t="s">
        <v>1638</v>
      </c>
      <c r="P1492" s="28" t="s">
        <v>1639</v>
      </c>
      <c r="Q1492" s="38" t="s">
        <v>5425</v>
      </c>
      <c r="R1492" s="38">
        <v>1</v>
      </c>
      <c r="S1492" s="38" t="s">
        <v>3884</v>
      </c>
      <c r="T1492" s="38" t="s">
        <v>53</v>
      </c>
      <c r="U1492" s="38" t="s">
        <v>54</v>
      </c>
      <c r="V1492" s="38" t="s">
        <v>61</v>
      </c>
      <c r="Y1492" s="38">
        <v>112.47</v>
      </c>
      <c r="Z1492" s="38">
        <v>1</v>
      </c>
      <c r="AF1492" s="38">
        <v>96.29</v>
      </c>
      <c r="AI1492" s="38">
        <v>1</v>
      </c>
      <c r="AJ1492" s="38">
        <v>3</v>
      </c>
      <c r="AK1492" s="14">
        <f t="shared" si="7"/>
        <v>0.33333333333333331</v>
      </c>
      <c r="AM1492" s="38"/>
      <c r="AO1492" s="28"/>
    </row>
    <row r="1493" spans="1:60" ht="12.5">
      <c r="A1493" s="28" t="s">
        <v>5426</v>
      </c>
      <c r="B1493" s="37">
        <v>45866</v>
      </c>
      <c r="C1493" s="29">
        <v>45869</v>
      </c>
      <c r="D1493" s="38" t="s">
        <v>41</v>
      </c>
      <c r="E1493" s="38" t="s">
        <v>5427</v>
      </c>
      <c r="G1493" s="38" t="s">
        <v>43</v>
      </c>
      <c r="H1493" s="38">
        <v>16.75</v>
      </c>
      <c r="I1493" s="38" t="s">
        <v>44</v>
      </c>
      <c r="J1493" s="38" t="s">
        <v>45</v>
      </c>
      <c r="K1493" s="38" t="s">
        <v>5428</v>
      </c>
      <c r="L1493" s="30" t="s">
        <v>47</v>
      </c>
      <c r="M1493" s="38" t="s">
        <v>48</v>
      </c>
      <c r="N1493" s="38" t="s">
        <v>48</v>
      </c>
      <c r="O1493" s="31" t="s">
        <v>1650</v>
      </c>
      <c r="P1493" s="28" t="s">
        <v>1651</v>
      </c>
      <c r="Q1493" s="38" t="s">
        <v>1652</v>
      </c>
      <c r="R1493" s="38">
        <v>1</v>
      </c>
      <c r="S1493" s="38" t="s">
        <v>52</v>
      </c>
      <c r="T1493" s="38" t="s">
        <v>53</v>
      </c>
      <c r="U1493" s="38" t="s">
        <v>54</v>
      </c>
      <c r="V1493" s="38" t="s">
        <v>55</v>
      </c>
      <c r="Y1493" s="38">
        <v>100.9</v>
      </c>
      <c r="Z1493" s="38">
        <v>1</v>
      </c>
      <c r="AF1493" s="38">
        <v>100.9</v>
      </c>
      <c r="AI1493" s="38">
        <v>1</v>
      </c>
      <c r="AJ1493" s="38">
        <v>2</v>
      </c>
      <c r="AK1493" s="14">
        <f t="shared" si="7"/>
        <v>0.5</v>
      </c>
      <c r="AM1493" s="38"/>
      <c r="AO1493" s="28" t="s">
        <v>5429</v>
      </c>
    </row>
    <row r="1494" spans="1:60" ht="12.5">
      <c r="A1494" s="28" t="s">
        <v>5430</v>
      </c>
      <c r="B1494" s="37">
        <v>45863</v>
      </c>
      <c r="C1494" s="29">
        <v>45867</v>
      </c>
      <c r="D1494" s="38" t="s">
        <v>41</v>
      </c>
      <c r="E1494" s="38" t="s">
        <v>5431</v>
      </c>
      <c r="G1494" s="38" t="s">
        <v>43</v>
      </c>
      <c r="H1494" s="38">
        <v>13.35</v>
      </c>
      <c r="I1494" s="38" t="s">
        <v>44</v>
      </c>
      <c r="J1494" s="38" t="s">
        <v>45</v>
      </c>
      <c r="K1494" s="38" t="s">
        <v>5432</v>
      </c>
      <c r="L1494" s="30" t="s">
        <v>58</v>
      </c>
      <c r="M1494" s="38" t="s">
        <v>48</v>
      </c>
      <c r="N1494" s="38" t="s">
        <v>48</v>
      </c>
      <c r="O1494" s="31" t="s">
        <v>5433</v>
      </c>
      <c r="P1494" s="28" t="s">
        <v>5434</v>
      </c>
      <c r="Q1494" s="38" t="s">
        <v>5435</v>
      </c>
      <c r="R1494" s="38">
        <v>1</v>
      </c>
      <c r="S1494" s="38" t="s">
        <v>75</v>
      </c>
      <c r="T1494" s="38" t="s">
        <v>53</v>
      </c>
      <c r="U1494" s="38" t="s">
        <v>54</v>
      </c>
      <c r="V1494" s="38" t="s">
        <v>61</v>
      </c>
      <c r="Y1494" s="38">
        <v>111.28</v>
      </c>
      <c r="Z1494" s="38">
        <v>1</v>
      </c>
      <c r="AF1494" s="38"/>
      <c r="AI1494" s="38">
        <v>1</v>
      </c>
      <c r="AJ1494" s="38">
        <v>2</v>
      </c>
      <c r="AK1494" s="14">
        <f t="shared" si="7"/>
        <v>0.5</v>
      </c>
      <c r="AM1494" s="38"/>
      <c r="AO1494" s="28"/>
    </row>
    <row r="1495" spans="1:60" ht="12.5">
      <c r="A1495" s="28" t="s">
        <v>5436</v>
      </c>
      <c r="B1495" s="37">
        <v>45847</v>
      </c>
      <c r="C1495" s="29">
        <v>45854</v>
      </c>
      <c r="D1495" s="38" t="s">
        <v>41</v>
      </c>
      <c r="E1495" s="38" t="s">
        <v>5437</v>
      </c>
      <c r="G1495" s="38" t="s">
        <v>43</v>
      </c>
      <c r="H1495" s="38">
        <v>18.34</v>
      </c>
      <c r="I1495" s="38" t="s">
        <v>44</v>
      </c>
      <c r="J1495" s="38" t="s">
        <v>45</v>
      </c>
      <c r="K1495" s="38" t="s">
        <v>5438</v>
      </c>
      <c r="L1495" s="30" t="s">
        <v>58</v>
      </c>
      <c r="M1495" s="38" t="s">
        <v>48</v>
      </c>
      <c r="N1495" s="38" t="s">
        <v>48</v>
      </c>
      <c r="O1495" s="31" t="s">
        <v>2104</v>
      </c>
      <c r="P1495" s="28" t="s">
        <v>2105</v>
      </c>
      <c r="Q1495" s="38" t="s">
        <v>2106</v>
      </c>
      <c r="R1495" s="38">
        <v>1</v>
      </c>
      <c r="S1495" s="38" t="s">
        <v>3884</v>
      </c>
      <c r="T1495" s="38" t="s">
        <v>53</v>
      </c>
      <c r="U1495" s="38" t="s">
        <v>54</v>
      </c>
      <c r="V1495" s="38" t="s">
        <v>61</v>
      </c>
      <c r="Y1495" s="38">
        <v>104.84</v>
      </c>
      <c r="Z1495" s="38">
        <v>1</v>
      </c>
      <c r="AF1495" s="38">
        <v>88.99</v>
      </c>
      <c r="AI1495" s="38">
        <v>1</v>
      </c>
      <c r="AJ1495" s="38">
        <v>0</v>
      </c>
      <c r="AK1495" s="14" t="e">
        <f t="shared" si="7"/>
        <v>#DIV/0!</v>
      </c>
      <c r="AM1495" s="38"/>
      <c r="AO1495" s="28"/>
    </row>
    <row r="1496" spans="1:60" ht="12.5">
      <c r="A1496" s="28" t="s">
        <v>5439</v>
      </c>
      <c r="B1496" s="37">
        <v>45849</v>
      </c>
      <c r="C1496" s="29">
        <v>45858</v>
      </c>
      <c r="D1496" s="38" t="s">
        <v>41</v>
      </c>
      <c r="E1496" s="38" t="s">
        <v>5440</v>
      </c>
      <c r="G1496" s="38" t="s">
        <v>43</v>
      </c>
      <c r="H1496" s="38">
        <v>5.75</v>
      </c>
      <c r="I1496" s="38" t="s">
        <v>44</v>
      </c>
      <c r="J1496" s="38" t="s">
        <v>45</v>
      </c>
      <c r="K1496" s="38" t="s">
        <v>5441</v>
      </c>
      <c r="L1496" s="30" t="s">
        <v>47</v>
      </c>
      <c r="M1496" s="38" t="s">
        <v>48</v>
      </c>
      <c r="N1496" s="38" t="s">
        <v>48</v>
      </c>
      <c r="O1496" s="31" t="s">
        <v>5442</v>
      </c>
      <c r="P1496" s="28" t="s">
        <v>5443</v>
      </c>
      <c r="Q1496" s="38" t="s">
        <v>5444</v>
      </c>
      <c r="R1496" s="38">
        <v>1</v>
      </c>
      <c r="S1496" s="38" t="s">
        <v>52</v>
      </c>
      <c r="T1496" s="38" t="s">
        <v>53</v>
      </c>
      <c r="U1496" s="38" t="s">
        <v>54</v>
      </c>
      <c r="V1496" s="38" t="s">
        <v>61</v>
      </c>
      <c r="Y1496" s="38">
        <v>96.99</v>
      </c>
      <c r="Z1496" s="38">
        <v>1</v>
      </c>
      <c r="AF1496" s="38"/>
      <c r="AI1496" s="38">
        <v>1</v>
      </c>
      <c r="AJ1496" s="38">
        <v>0</v>
      </c>
      <c r="AK1496" s="14" t="e">
        <f t="shared" si="7"/>
        <v>#DIV/0!</v>
      </c>
      <c r="AM1496" s="38"/>
      <c r="AO1496" s="28" t="s">
        <v>5445</v>
      </c>
    </row>
    <row r="1497" spans="1:60" ht="12.5">
      <c r="A1497" s="32"/>
      <c r="B1497" s="48"/>
      <c r="C1497" s="34"/>
      <c r="D1497" s="33"/>
      <c r="E1497" s="33"/>
      <c r="F1497" s="33"/>
      <c r="G1497" s="33"/>
      <c r="H1497" s="33"/>
      <c r="I1497" s="33"/>
      <c r="J1497" s="33"/>
      <c r="K1497" s="33"/>
      <c r="L1497" s="35"/>
      <c r="M1497" s="33"/>
      <c r="N1497" s="33"/>
      <c r="O1497" s="35"/>
      <c r="P1497" s="32"/>
      <c r="Q1497" s="33"/>
      <c r="R1497" s="33"/>
      <c r="S1497" s="33"/>
      <c r="T1497" s="33"/>
      <c r="U1497" s="33"/>
      <c r="V1497" s="33"/>
      <c r="W1497" s="33"/>
      <c r="X1497" s="33"/>
      <c r="Y1497" s="33"/>
      <c r="Z1497" s="33"/>
      <c r="AA1497" s="33"/>
      <c r="AB1497" s="33"/>
      <c r="AC1497" s="33"/>
      <c r="AD1497" s="33"/>
      <c r="AE1497" s="33"/>
      <c r="AF1497" s="33"/>
      <c r="AG1497" s="33"/>
      <c r="AH1497" s="33"/>
      <c r="AI1497" s="33"/>
      <c r="AJ1497" s="33"/>
      <c r="AK1497" s="14" t="e">
        <f t="shared" si="7"/>
        <v>#DIV/0!</v>
      </c>
      <c r="AL1497" s="33"/>
      <c r="AM1497" s="38"/>
      <c r="AN1497" s="33"/>
      <c r="AO1497" s="32"/>
      <c r="AP1497" s="33"/>
      <c r="AQ1497" s="33"/>
      <c r="AR1497" s="33"/>
      <c r="AS1497" s="33"/>
      <c r="AT1497" s="33"/>
      <c r="AU1497" s="33"/>
      <c r="AV1497" s="33"/>
      <c r="AW1497" s="33"/>
      <c r="AX1497" s="33"/>
      <c r="AY1497" s="33"/>
      <c r="AZ1497" s="33"/>
      <c r="BA1497" s="33"/>
      <c r="BB1497" s="33"/>
      <c r="BC1497" s="33"/>
      <c r="BD1497" s="33"/>
      <c r="BE1497" s="33"/>
      <c r="BF1497" s="33"/>
      <c r="BG1497" s="33"/>
      <c r="BH1497" s="33"/>
    </row>
    <row r="1498" spans="1:60" ht="12.5">
      <c r="A1498" s="28" t="s">
        <v>5446</v>
      </c>
      <c r="B1498" s="37">
        <v>45877</v>
      </c>
      <c r="C1498" s="29">
        <v>45888</v>
      </c>
      <c r="D1498" s="38" t="s">
        <v>41</v>
      </c>
      <c r="E1498" s="38" t="s">
        <v>5447</v>
      </c>
      <c r="G1498" s="38" t="s">
        <v>43</v>
      </c>
      <c r="H1498" s="38">
        <v>57.67</v>
      </c>
      <c r="I1498" s="38" t="s">
        <v>44</v>
      </c>
      <c r="J1498" s="38" t="s">
        <v>45</v>
      </c>
      <c r="K1498" s="38" t="s">
        <v>5448</v>
      </c>
      <c r="L1498" s="30" t="s">
        <v>47</v>
      </c>
      <c r="M1498" s="38" t="s">
        <v>48</v>
      </c>
      <c r="N1498" s="38" t="s">
        <v>48</v>
      </c>
      <c r="O1498" s="31" t="s">
        <v>283</v>
      </c>
      <c r="P1498" s="28" t="s">
        <v>284</v>
      </c>
      <c r="Q1498" s="38" t="s">
        <v>5449</v>
      </c>
      <c r="R1498" s="38">
        <v>1</v>
      </c>
      <c r="S1498" s="38" t="s">
        <v>184</v>
      </c>
      <c r="T1498" s="38" t="s">
        <v>53</v>
      </c>
      <c r="U1498" s="38" t="s">
        <v>60</v>
      </c>
      <c r="V1498" s="38" t="s">
        <v>61</v>
      </c>
      <c r="X1498" s="61">
        <v>45891</v>
      </c>
      <c r="Y1498" s="38">
        <v>184.9</v>
      </c>
      <c r="Z1498" s="38">
        <v>1</v>
      </c>
      <c r="AF1498" s="38">
        <v>184.9</v>
      </c>
      <c r="AK1498" s="14" t="e">
        <f t="shared" si="7"/>
        <v>#DIV/0!</v>
      </c>
      <c r="AM1498" s="38"/>
      <c r="AO1498" s="28" t="s">
        <v>5450</v>
      </c>
    </row>
    <row r="1499" spans="1:60" ht="12.5">
      <c r="A1499" s="28" t="s">
        <v>5451</v>
      </c>
      <c r="B1499" s="37">
        <v>45874</v>
      </c>
      <c r="C1499" s="29">
        <v>45883</v>
      </c>
      <c r="D1499" s="38" t="s">
        <v>41</v>
      </c>
      <c r="E1499" s="38" t="s">
        <v>5452</v>
      </c>
      <c r="G1499" s="38" t="s">
        <v>43</v>
      </c>
      <c r="H1499" s="38">
        <v>56.85</v>
      </c>
      <c r="I1499" s="38" t="s">
        <v>44</v>
      </c>
      <c r="J1499" s="38" t="s">
        <v>45</v>
      </c>
      <c r="K1499" s="38" t="s">
        <v>5453</v>
      </c>
      <c r="L1499" s="30" t="s">
        <v>47</v>
      </c>
      <c r="M1499" s="38" t="s">
        <v>48</v>
      </c>
      <c r="N1499" s="38" t="s">
        <v>48</v>
      </c>
      <c r="O1499" s="31" t="s">
        <v>3574</v>
      </c>
      <c r="P1499" s="28" t="s">
        <v>3575</v>
      </c>
      <c r="Q1499" s="38" t="s">
        <v>3576</v>
      </c>
      <c r="R1499" s="38">
        <v>1</v>
      </c>
      <c r="S1499" s="38" t="s">
        <v>421</v>
      </c>
      <c r="T1499" s="38" t="s">
        <v>53</v>
      </c>
      <c r="U1499" s="38" t="s">
        <v>54</v>
      </c>
      <c r="V1499" s="38" t="s">
        <v>61</v>
      </c>
      <c r="Y1499" s="38">
        <v>157.22999999999999</v>
      </c>
      <c r="Z1499" s="38">
        <v>1</v>
      </c>
      <c r="AF1499" s="38"/>
      <c r="AK1499" s="14" t="e">
        <f t="shared" si="7"/>
        <v>#DIV/0!</v>
      </c>
      <c r="AM1499" s="38" t="s">
        <v>561</v>
      </c>
      <c r="AO1499" s="28"/>
    </row>
    <row r="1500" spans="1:60" ht="12.5">
      <c r="A1500" s="28" t="s">
        <v>5454</v>
      </c>
      <c r="B1500" s="37">
        <v>45872</v>
      </c>
      <c r="C1500" s="29">
        <v>45880</v>
      </c>
      <c r="D1500" s="38" t="s">
        <v>41</v>
      </c>
      <c r="E1500" s="38"/>
      <c r="G1500" s="38" t="s">
        <v>137</v>
      </c>
      <c r="H1500" s="38">
        <v>0</v>
      </c>
      <c r="I1500" s="38"/>
      <c r="J1500" s="38"/>
      <c r="K1500" s="38"/>
      <c r="L1500" s="30" t="s">
        <v>58</v>
      </c>
      <c r="M1500" s="38" t="s">
        <v>48</v>
      </c>
      <c r="N1500" s="38" t="s">
        <v>48</v>
      </c>
      <c r="O1500" s="31" t="s">
        <v>277</v>
      </c>
      <c r="P1500" s="28" t="s">
        <v>278</v>
      </c>
      <c r="Q1500" s="38" t="s">
        <v>279</v>
      </c>
      <c r="R1500" s="38">
        <v>1</v>
      </c>
      <c r="S1500" s="38" t="s">
        <v>75</v>
      </c>
      <c r="T1500" s="38" t="s">
        <v>53</v>
      </c>
      <c r="U1500" s="38" t="s">
        <v>54</v>
      </c>
      <c r="V1500" s="38" t="s">
        <v>141</v>
      </c>
      <c r="Y1500" s="38">
        <v>45.9</v>
      </c>
      <c r="Z1500" s="38">
        <v>1</v>
      </c>
      <c r="AF1500" s="38">
        <v>45.9</v>
      </c>
      <c r="AK1500" s="14" t="e">
        <f t="shared" si="7"/>
        <v>#DIV/0!</v>
      </c>
      <c r="AM1500" s="38" t="s">
        <v>561</v>
      </c>
      <c r="AO1500" s="28"/>
    </row>
    <row r="1501" spans="1:60" ht="12.5">
      <c r="A1501" s="28" t="s">
        <v>5455</v>
      </c>
      <c r="B1501" s="37">
        <v>45874</v>
      </c>
      <c r="C1501" s="29">
        <v>45880</v>
      </c>
      <c r="D1501" s="38" t="s">
        <v>41</v>
      </c>
      <c r="E1501" s="38"/>
      <c r="G1501" s="38" t="s">
        <v>137</v>
      </c>
      <c r="H1501" s="38">
        <v>0</v>
      </c>
      <c r="I1501" s="38"/>
      <c r="J1501" s="38"/>
      <c r="K1501" s="38"/>
      <c r="L1501" s="30" t="s">
        <v>58</v>
      </c>
      <c r="M1501" s="38" t="s">
        <v>48</v>
      </c>
      <c r="N1501" s="38" t="s">
        <v>48</v>
      </c>
      <c r="O1501" s="31" t="s">
        <v>293</v>
      </c>
      <c r="P1501" s="28" t="s">
        <v>294</v>
      </c>
      <c r="Q1501" s="38" t="s">
        <v>295</v>
      </c>
      <c r="R1501" s="38">
        <v>1</v>
      </c>
      <c r="S1501" s="38" t="s">
        <v>59</v>
      </c>
      <c r="T1501" s="38" t="s">
        <v>53</v>
      </c>
      <c r="U1501" s="38" t="s">
        <v>54</v>
      </c>
      <c r="V1501" s="38" t="s">
        <v>141</v>
      </c>
      <c r="Y1501" s="38">
        <v>26.96</v>
      </c>
      <c r="Z1501" s="38">
        <v>1</v>
      </c>
      <c r="AF1501" s="38">
        <v>26.96</v>
      </c>
      <c r="AK1501" s="14" t="e">
        <f t="shared" si="7"/>
        <v>#DIV/0!</v>
      </c>
      <c r="AM1501" s="38" t="s">
        <v>561</v>
      </c>
      <c r="AO1501" s="38" t="s">
        <v>5456</v>
      </c>
    </row>
    <row r="1502" spans="1:60" ht="14">
      <c r="A1502" s="28" t="s">
        <v>5457</v>
      </c>
      <c r="B1502" s="37">
        <v>45867</v>
      </c>
      <c r="C1502" s="29">
        <v>45871</v>
      </c>
      <c r="D1502" s="38" t="s">
        <v>41</v>
      </c>
      <c r="E1502" s="38"/>
      <c r="G1502" s="38" t="s">
        <v>137</v>
      </c>
      <c r="H1502" s="38">
        <v>0</v>
      </c>
      <c r="I1502" s="38"/>
      <c r="J1502" s="38"/>
      <c r="K1502" s="38"/>
      <c r="L1502" s="30" t="s">
        <v>47</v>
      </c>
      <c r="M1502" s="38" t="s">
        <v>48</v>
      </c>
      <c r="N1502" s="38" t="s">
        <v>48</v>
      </c>
      <c r="O1502" s="31" t="s">
        <v>2515</v>
      </c>
      <c r="P1502" s="28" t="s">
        <v>2516</v>
      </c>
      <c r="Q1502" s="38" t="s">
        <v>2517</v>
      </c>
      <c r="R1502" s="38">
        <v>1</v>
      </c>
      <c r="S1502" s="38" t="s">
        <v>421</v>
      </c>
      <c r="T1502" s="38" t="s">
        <v>53</v>
      </c>
      <c r="U1502" s="38" t="s">
        <v>54</v>
      </c>
      <c r="V1502" s="38" t="s">
        <v>141</v>
      </c>
      <c r="Y1502" s="38">
        <v>20.149999999999999</v>
      </c>
      <c r="Z1502" s="38">
        <v>1</v>
      </c>
      <c r="AF1502" s="38">
        <v>20.149999999999999</v>
      </c>
      <c r="AK1502" s="14" t="e">
        <f t="shared" si="7"/>
        <v>#DIV/0!</v>
      </c>
      <c r="AL1502" s="53">
        <v>1000025729</v>
      </c>
      <c r="AM1502" s="38"/>
      <c r="AO1502" s="28"/>
    </row>
    <row r="1503" spans="1:60" ht="14">
      <c r="A1503" s="28" t="s">
        <v>5458</v>
      </c>
      <c r="B1503" s="37">
        <v>45858</v>
      </c>
      <c r="C1503" s="29">
        <v>45870</v>
      </c>
      <c r="D1503" s="38" t="s">
        <v>41</v>
      </c>
      <c r="E1503" s="38"/>
      <c r="G1503" s="38" t="s">
        <v>137</v>
      </c>
      <c r="H1503" s="38">
        <v>0</v>
      </c>
      <c r="I1503" s="38"/>
      <c r="J1503" s="38"/>
      <c r="K1503" s="38"/>
      <c r="L1503" s="30" t="s">
        <v>47</v>
      </c>
      <c r="M1503" s="38" t="s">
        <v>48</v>
      </c>
      <c r="N1503" s="38" t="s">
        <v>48</v>
      </c>
      <c r="O1503" s="31" t="s">
        <v>2515</v>
      </c>
      <c r="P1503" s="28" t="s">
        <v>2516</v>
      </c>
      <c r="Q1503" s="38" t="s">
        <v>2517</v>
      </c>
      <c r="R1503" s="38">
        <v>1</v>
      </c>
      <c r="S1503" s="38" t="s">
        <v>82</v>
      </c>
      <c r="T1503" s="38" t="s">
        <v>53</v>
      </c>
      <c r="U1503" s="38" t="s">
        <v>54</v>
      </c>
      <c r="V1503" s="38" t="s">
        <v>141</v>
      </c>
      <c r="Y1503" s="38">
        <v>20.51</v>
      </c>
      <c r="Z1503" s="38">
        <v>1</v>
      </c>
      <c r="AF1503" s="38">
        <v>20.51</v>
      </c>
      <c r="AK1503" s="14" t="e">
        <f t="shared" si="7"/>
        <v>#DIV/0!</v>
      </c>
      <c r="AL1503" s="53">
        <v>1000025187</v>
      </c>
      <c r="AM1503" s="38"/>
      <c r="AO1503" s="28"/>
    </row>
    <row r="1504" spans="1:60" ht="12.5">
      <c r="A1504" s="28" t="s">
        <v>5459</v>
      </c>
      <c r="B1504" s="37">
        <v>45878</v>
      </c>
      <c r="C1504" s="29">
        <v>45892</v>
      </c>
      <c r="D1504" s="38" t="s">
        <v>41</v>
      </c>
      <c r="E1504" s="38" t="s">
        <v>5460</v>
      </c>
      <c r="G1504" s="38" t="s">
        <v>43</v>
      </c>
      <c r="H1504" s="38">
        <v>7.1</v>
      </c>
      <c r="I1504" s="38" t="s">
        <v>44</v>
      </c>
      <c r="J1504" s="38" t="s">
        <v>249</v>
      </c>
      <c r="K1504" s="62">
        <v>9.3020100000000005E+21</v>
      </c>
      <c r="L1504" s="30" t="s">
        <v>58</v>
      </c>
      <c r="M1504" s="38" t="s">
        <v>48</v>
      </c>
      <c r="N1504" s="38" t="s">
        <v>48</v>
      </c>
      <c r="O1504" s="31" t="s">
        <v>5461</v>
      </c>
      <c r="P1504" s="28" t="s">
        <v>5462</v>
      </c>
      <c r="Q1504" s="38" t="s">
        <v>5463</v>
      </c>
      <c r="R1504" s="38">
        <v>1</v>
      </c>
      <c r="S1504" s="38" t="s">
        <v>3868</v>
      </c>
      <c r="T1504" s="38" t="s">
        <v>53</v>
      </c>
      <c r="U1504" s="38" t="s">
        <v>54</v>
      </c>
      <c r="V1504" s="38" t="s">
        <v>61</v>
      </c>
      <c r="Y1504" s="38">
        <v>56.44</v>
      </c>
      <c r="Z1504" s="38">
        <v>1</v>
      </c>
      <c r="AF1504" s="38">
        <v>56.44</v>
      </c>
      <c r="AK1504" s="14" t="e">
        <f t="shared" si="7"/>
        <v>#DIV/0!</v>
      </c>
      <c r="AM1504" s="38"/>
      <c r="AO1504" s="28"/>
    </row>
    <row r="1505" spans="1:41" ht="12.5">
      <c r="A1505" s="28" t="s">
        <v>5464</v>
      </c>
      <c r="B1505" s="37">
        <v>45862</v>
      </c>
      <c r="C1505" s="29">
        <v>45883</v>
      </c>
      <c r="D1505" s="38" t="s">
        <v>41</v>
      </c>
      <c r="E1505" s="38" t="s">
        <v>5465</v>
      </c>
      <c r="G1505" s="38" t="s">
        <v>43</v>
      </c>
      <c r="H1505" s="38">
        <v>24.41</v>
      </c>
      <c r="I1505" s="38" t="s">
        <v>44</v>
      </c>
      <c r="J1505" s="38" t="s">
        <v>45</v>
      </c>
      <c r="K1505" s="38" t="s">
        <v>5466</v>
      </c>
      <c r="L1505" s="30" t="s">
        <v>58</v>
      </c>
      <c r="M1505" s="38" t="s">
        <v>48</v>
      </c>
      <c r="N1505" s="38" t="s">
        <v>48</v>
      </c>
      <c r="O1505" s="31" t="s">
        <v>5467</v>
      </c>
      <c r="P1505" s="28" t="s">
        <v>5468</v>
      </c>
      <c r="Q1505" s="38" t="s">
        <v>5469</v>
      </c>
      <c r="R1505" s="38">
        <v>1</v>
      </c>
      <c r="S1505" s="38" t="s">
        <v>68</v>
      </c>
      <c r="T1505" s="38" t="s">
        <v>53</v>
      </c>
      <c r="U1505" s="38" t="s">
        <v>54</v>
      </c>
      <c r="V1505" s="38" t="s">
        <v>61</v>
      </c>
      <c r="Y1505" s="38">
        <v>198.59</v>
      </c>
      <c r="Z1505" s="38">
        <v>1</v>
      </c>
      <c r="AF1505" s="38"/>
      <c r="AK1505" s="14" t="e">
        <f t="shared" si="7"/>
        <v>#DIV/0!</v>
      </c>
      <c r="AM1505" s="38"/>
      <c r="AO1505" s="28"/>
    </row>
    <row r="1506" spans="1:41" ht="12.5">
      <c r="A1506" s="28" t="s">
        <v>5470</v>
      </c>
      <c r="B1506" s="37">
        <v>45889</v>
      </c>
      <c r="C1506" s="29">
        <v>45896</v>
      </c>
      <c r="D1506" s="38" t="s">
        <v>41</v>
      </c>
      <c r="E1506" s="38" t="s">
        <v>5471</v>
      </c>
      <c r="G1506" s="38" t="s">
        <v>43</v>
      </c>
      <c r="H1506" s="38">
        <v>7.46</v>
      </c>
      <c r="I1506" s="38" t="s">
        <v>44</v>
      </c>
      <c r="J1506" s="38" t="s">
        <v>45</v>
      </c>
      <c r="K1506" s="38" t="s">
        <v>5472</v>
      </c>
      <c r="L1506" s="30" t="s">
        <v>58</v>
      </c>
      <c r="M1506" s="38" t="s">
        <v>48</v>
      </c>
      <c r="N1506" s="38" t="s">
        <v>48</v>
      </c>
      <c r="O1506" s="63" t="s">
        <v>3244</v>
      </c>
      <c r="P1506" s="28" t="s">
        <v>3245</v>
      </c>
      <c r="Q1506" s="38" t="s">
        <v>3246</v>
      </c>
      <c r="R1506" s="38">
        <v>1</v>
      </c>
      <c r="S1506" s="38" t="s">
        <v>75</v>
      </c>
      <c r="T1506" s="38" t="s">
        <v>53</v>
      </c>
      <c r="U1506" s="38" t="s">
        <v>54</v>
      </c>
      <c r="V1506" s="38" t="s">
        <v>61</v>
      </c>
      <c r="Y1506" s="38">
        <v>40.92</v>
      </c>
      <c r="Z1506" s="38">
        <v>1</v>
      </c>
      <c r="AF1506" s="38"/>
      <c r="AI1506" s="38">
        <v>9</v>
      </c>
      <c r="AJ1506" s="38">
        <v>30</v>
      </c>
      <c r="AK1506" s="14">
        <f t="shared" si="7"/>
        <v>0.3</v>
      </c>
      <c r="AM1506" s="38"/>
      <c r="AO1506" s="28" t="s">
        <v>5473</v>
      </c>
    </row>
    <row r="1507" spans="1:41" ht="12.5">
      <c r="A1507" s="28" t="s">
        <v>5474</v>
      </c>
      <c r="B1507" s="37">
        <v>45850</v>
      </c>
      <c r="C1507" s="29">
        <v>45884</v>
      </c>
      <c r="D1507" s="38" t="s">
        <v>41</v>
      </c>
      <c r="E1507" s="38" t="s">
        <v>5475</v>
      </c>
      <c r="G1507" s="38" t="s">
        <v>43</v>
      </c>
      <c r="H1507" s="38">
        <v>7.46</v>
      </c>
      <c r="I1507" s="38" t="s">
        <v>44</v>
      </c>
      <c r="J1507" s="38" t="s">
        <v>45</v>
      </c>
      <c r="K1507" s="38" t="s">
        <v>5476</v>
      </c>
      <c r="L1507" s="30" t="s">
        <v>58</v>
      </c>
      <c r="M1507" s="38" t="s">
        <v>48</v>
      </c>
      <c r="N1507" s="38" t="s">
        <v>48</v>
      </c>
      <c r="O1507" s="63" t="s">
        <v>3244</v>
      </c>
      <c r="P1507" s="28" t="s">
        <v>3245</v>
      </c>
      <c r="Q1507" s="38" t="s">
        <v>3246</v>
      </c>
      <c r="R1507" s="38">
        <v>1</v>
      </c>
      <c r="S1507" s="38" t="s">
        <v>75</v>
      </c>
      <c r="T1507" s="38" t="s">
        <v>53</v>
      </c>
      <c r="U1507" s="38" t="s">
        <v>54</v>
      </c>
      <c r="V1507" s="38" t="s">
        <v>55</v>
      </c>
      <c r="X1507" s="61">
        <v>45891</v>
      </c>
      <c r="Y1507" s="38">
        <v>40.26</v>
      </c>
      <c r="Z1507" s="38">
        <v>1</v>
      </c>
      <c r="AF1507" s="38">
        <v>32.799999999999997</v>
      </c>
      <c r="AK1507" s="14" t="e">
        <f t="shared" si="7"/>
        <v>#DIV/0!</v>
      </c>
      <c r="AM1507" s="38"/>
      <c r="AO1507" s="28" t="s">
        <v>5473</v>
      </c>
    </row>
    <row r="1508" spans="1:41" ht="12.5">
      <c r="A1508" s="28" t="s">
        <v>5477</v>
      </c>
      <c r="B1508" s="37">
        <v>45875</v>
      </c>
      <c r="C1508" s="29">
        <v>45879</v>
      </c>
      <c r="D1508" s="38" t="s">
        <v>41</v>
      </c>
      <c r="E1508" s="38" t="s">
        <v>5478</v>
      </c>
      <c r="G1508" s="38" t="s">
        <v>43</v>
      </c>
      <c r="H1508" s="38">
        <v>7.46</v>
      </c>
      <c r="I1508" s="38" t="s">
        <v>44</v>
      </c>
      <c r="J1508" s="38" t="s">
        <v>45</v>
      </c>
      <c r="K1508" s="38" t="s">
        <v>5479</v>
      </c>
      <c r="L1508" s="30" t="s">
        <v>58</v>
      </c>
      <c r="M1508" s="38" t="s">
        <v>48</v>
      </c>
      <c r="N1508" s="38" t="s">
        <v>48</v>
      </c>
      <c r="O1508" s="63" t="s">
        <v>3244</v>
      </c>
      <c r="P1508" s="28" t="s">
        <v>3245</v>
      </c>
      <c r="Q1508" s="38" t="s">
        <v>3246</v>
      </c>
      <c r="R1508" s="38">
        <v>1</v>
      </c>
      <c r="S1508" s="38" t="s">
        <v>3868</v>
      </c>
      <c r="T1508" s="38" t="s">
        <v>53</v>
      </c>
      <c r="U1508" s="38" t="s">
        <v>54</v>
      </c>
      <c r="V1508" s="38" t="s">
        <v>55</v>
      </c>
      <c r="X1508" s="61">
        <v>45890</v>
      </c>
      <c r="Y1508" s="38">
        <v>40.54</v>
      </c>
      <c r="Z1508" s="38">
        <v>1</v>
      </c>
      <c r="AF1508" s="38">
        <v>33.08</v>
      </c>
      <c r="AK1508" s="14" t="e">
        <f t="shared" si="7"/>
        <v>#DIV/0!</v>
      </c>
      <c r="AM1508" s="38"/>
      <c r="AO1508" s="28" t="s">
        <v>5473</v>
      </c>
    </row>
    <row r="1509" spans="1:41" ht="12.5">
      <c r="A1509" s="28" t="s">
        <v>5480</v>
      </c>
      <c r="B1509" s="37">
        <v>45869</v>
      </c>
      <c r="C1509" s="29">
        <v>45879</v>
      </c>
      <c r="D1509" s="38" t="s">
        <v>41</v>
      </c>
      <c r="E1509" s="38" t="s">
        <v>5481</v>
      </c>
      <c r="G1509" s="38" t="s">
        <v>43</v>
      </c>
      <c r="H1509" s="38">
        <v>7.46</v>
      </c>
      <c r="I1509" s="38" t="s">
        <v>44</v>
      </c>
      <c r="J1509" s="38" t="s">
        <v>45</v>
      </c>
      <c r="K1509" s="38" t="s">
        <v>5482</v>
      </c>
      <c r="L1509" s="30" t="s">
        <v>58</v>
      </c>
      <c r="M1509" s="38" t="s">
        <v>48</v>
      </c>
      <c r="N1509" s="38" t="s">
        <v>48</v>
      </c>
      <c r="O1509" s="63" t="s">
        <v>3244</v>
      </c>
      <c r="P1509" s="28" t="s">
        <v>3245</v>
      </c>
      <c r="Q1509" s="38" t="s">
        <v>3246</v>
      </c>
      <c r="R1509" s="38">
        <v>1</v>
      </c>
      <c r="S1509" s="38" t="s">
        <v>59</v>
      </c>
      <c r="T1509" s="38" t="s">
        <v>53</v>
      </c>
      <c r="U1509" s="38" t="s">
        <v>54</v>
      </c>
      <c r="V1509" s="38" t="s">
        <v>55</v>
      </c>
      <c r="Y1509" s="38">
        <v>40.450000000000003</v>
      </c>
      <c r="Z1509" s="38">
        <v>1</v>
      </c>
      <c r="AF1509" s="38">
        <v>32.99</v>
      </c>
      <c r="AK1509" s="14" t="e">
        <f t="shared" si="7"/>
        <v>#DIV/0!</v>
      </c>
      <c r="AM1509" s="38"/>
      <c r="AO1509" s="28" t="s">
        <v>5473</v>
      </c>
    </row>
    <row r="1510" spans="1:41" ht="12.5">
      <c r="A1510" s="28" t="s">
        <v>5483</v>
      </c>
      <c r="B1510" s="37">
        <v>45866</v>
      </c>
      <c r="C1510" s="29">
        <v>45878</v>
      </c>
      <c r="D1510" s="38" t="s">
        <v>41</v>
      </c>
      <c r="E1510" s="38" t="s">
        <v>5484</v>
      </c>
      <c r="G1510" s="38" t="s">
        <v>43</v>
      </c>
      <c r="H1510" s="38">
        <v>7.46</v>
      </c>
      <c r="I1510" s="38" t="s">
        <v>44</v>
      </c>
      <c r="J1510" s="38" t="s">
        <v>45</v>
      </c>
      <c r="K1510" s="38" t="s">
        <v>5485</v>
      </c>
      <c r="L1510" s="30" t="s">
        <v>47</v>
      </c>
      <c r="M1510" s="38" t="s">
        <v>48</v>
      </c>
      <c r="N1510" s="38" t="s">
        <v>48</v>
      </c>
      <c r="O1510" s="63" t="s">
        <v>3244</v>
      </c>
      <c r="P1510" s="28" t="s">
        <v>3245</v>
      </c>
      <c r="Q1510" s="38" t="s">
        <v>3246</v>
      </c>
      <c r="R1510" s="38">
        <v>1</v>
      </c>
      <c r="S1510" s="38" t="s">
        <v>52</v>
      </c>
      <c r="T1510" s="38" t="s">
        <v>53</v>
      </c>
      <c r="U1510" s="38" t="s">
        <v>54</v>
      </c>
      <c r="V1510" s="38" t="s">
        <v>61</v>
      </c>
      <c r="Y1510" s="38">
        <v>40.64</v>
      </c>
      <c r="Z1510" s="38">
        <v>1</v>
      </c>
      <c r="AF1510" s="38"/>
      <c r="AK1510" s="14" t="e">
        <f t="shared" si="7"/>
        <v>#DIV/0!</v>
      </c>
      <c r="AM1510" s="38"/>
      <c r="AO1510" s="28" t="s">
        <v>5473</v>
      </c>
    </row>
    <row r="1511" spans="1:41" ht="12.5">
      <c r="A1511" s="28" t="s">
        <v>5486</v>
      </c>
      <c r="B1511" s="37">
        <v>45857</v>
      </c>
      <c r="C1511" s="29">
        <v>45878</v>
      </c>
      <c r="D1511" s="38" t="s">
        <v>41</v>
      </c>
      <c r="E1511" s="38" t="s">
        <v>5487</v>
      </c>
      <c r="G1511" s="38" t="s">
        <v>43</v>
      </c>
      <c r="H1511" s="38">
        <v>25.26</v>
      </c>
      <c r="I1511" s="38" t="s">
        <v>44</v>
      </c>
      <c r="J1511" s="38" t="s">
        <v>45</v>
      </c>
      <c r="K1511" s="38" t="s">
        <v>5488</v>
      </c>
      <c r="L1511" s="30" t="s">
        <v>58</v>
      </c>
      <c r="M1511" s="38" t="s">
        <v>48</v>
      </c>
      <c r="N1511" s="38" t="s">
        <v>48</v>
      </c>
      <c r="O1511" s="31" t="s">
        <v>5489</v>
      </c>
      <c r="P1511" s="28" t="s">
        <v>5490</v>
      </c>
      <c r="Q1511" s="38" t="s">
        <v>5491</v>
      </c>
      <c r="R1511" s="38">
        <v>1</v>
      </c>
      <c r="S1511" s="38" t="s">
        <v>3884</v>
      </c>
      <c r="T1511" s="38" t="s">
        <v>53</v>
      </c>
      <c r="U1511" s="38" t="s">
        <v>54</v>
      </c>
      <c r="V1511" s="38" t="s">
        <v>55</v>
      </c>
      <c r="Y1511" s="38">
        <v>102.78</v>
      </c>
      <c r="Z1511" s="38">
        <v>1</v>
      </c>
      <c r="AF1511" s="38">
        <v>77.52</v>
      </c>
      <c r="AK1511" s="14" t="e">
        <f t="shared" si="7"/>
        <v>#DIV/0!</v>
      </c>
      <c r="AM1511" s="38"/>
      <c r="AO1511" s="28"/>
    </row>
    <row r="1512" spans="1:41" ht="12.5">
      <c r="A1512" s="28" t="s">
        <v>5492</v>
      </c>
      <c r="B1512" s="37">
        <v>45870</v>
      </c>
      <c r="C1512" s="29">
        <v>45879</v>
      </c>
      <c r="D1512" s="38" t="s">
        <v>41</v>
      </c>
      <c r="E1512" s="38" t="s">
        <v>5493</v>
      </c>
      <c r="G1512" s="38" t="s">
        <v>43</v>
      </c>
      <c r="H1512" s="38">
        <v>11.98</v>
      </c>
      <c r="I1512" s="38" t="s">
        <v>44</v>
      </c>
      <c r="J1512" s="38" t="s">
        <v>45</v>
      </c>
      <c r="K1512" s="38" t="s">
        <v>5494</v>
      </c>
      <c r="L1512" s="30" t="s">
        <v>47</v>
      </c>
      <c r="M1512" s="38" t="s">
        <v>48</v>
      </c>
      <c r="N1512" s="38" t="s">
        <v>48</v>
      </c>
      <c r="O1512" s="63" t="s">
        <v>698</v>
      </c>
      <c r="P1512" s="28" t="s">
        <v>699</v>
      </c>
      <c r="Q1512" s="38" t="s">
        <v>5345</v>
      </c>
      <c r="R1512" s="38">
        <v>1</v>
      </c>
      <c r="S1512" s="38" t="s">
        <v>99</v>
      </c>
      <c r="T1512" s="38" t="s">
        <v>53</v>
      </c>
      <c r="U1512" s="38" t="s">
        <v>54</v>
      </c>
      <c r="V1512" s="38" t="s">
        <v>55</v>
      </c>
      <c r="Y1512" s="38">
        <v>58.76</v>
      </c>
      <c r="Z1512" s="38">
        <v>1</v>
      </c>
      <c r="AF1512" s="38">
        <v>58.76</v>
      </c>
      <c r="AK1512" s="14" t="e">
        <f t="shared" si="7"/>
        <v>#DIV/0!</v>
      </c>
      <c r="AM1512" s="38"/>
      <c r="AO1512" s="28"/>
    </row>
    <row r="1513" spans="1:41" ht="12.5">
      <c r="A1513" s="28" t="s">
        <v>5495</v>
      </c>
      <c r="B1513" s="37">
        <v>45855</v>
      </c>
      <c r="C1513" s="29">
        <v>45873</v>
      </c>
      <c r="D1513" s="38" t="s">
        <v>41</v>
      </c>
      <c r="E1513" s="38" t="s">
        <v>5496</v>
      </c>
      <c r="G1513" s="38" t="s">
        <v>43</v>
      </c>
      <c r="H1513" s="38">
        <v>11.96</v>
      </c>
      <c r="I1513" s="38" t="s">
        <v>44</v>
      </c>
      <c r="J1513" s="38" t="s">
        <v>45</v>
      </c>
      <c r="K1513" s="38" t="s">
        <v>5497</v>
      </c>
      <c r="L1513" s="30" t="s">
        <v>58</v>
      </c>
      <c r="M1513" s="38" t="s">
        <v>48</v>
      </c>
      <c r="N1513" s="38" t="s">
        <v>48</v>
      </c>
      <c r="O1513" s="63" t="s">
        <v>698</v>
      </c>
      <c r="P1513" s="28" t="s">
        <v>699</v>
      </c>
      <c r="Q1513" s="38" t="s">
        <v>5345</v>
      </c>
      <c r="R1513" s="38">
        <v>1</v>
      </c>
      <c r="S1513" s="38" t="s">
        <v>3878</v>
      </c>
      <c r="T1513" s="38" t="s">
        <v>53</v>
      </c>
      <c r="U1513" s="38" t="s">
        <v>54</v>
      </c>
      <c r="V1513" s="38" t="s">
        <v>55</v>
      </c>
      <c r="Y1513" s="38">
        <v>58.37</v>
      </c>
      <c r="Z1513" s="38">
        <v>1</v>
      </c>
      <c r="AF1513" s="38">
        <v>46.41</v>
      </c>
      <c r="AK1513" s="14" t="e">
        <f t="shared" si="7"/>
        <v>#DIV/0!</v>
      </c>
      <c r="AM1513" s="38"/>
      <c r="AO1513" s="28"/>
    </row>
    <row r="1514" spans="1:41" ht="14">
      <c r="A1514" s="28" t="s">
        <v>5498</v>
      </c>
      <c r="B1514" s="37">
        <v>45866</v>
      </c>
      <c r="C1514" s="29">
        <v>45871</v>
      </c>
      <c r="D1514" s="38" t="s">
        <v>41</v>
      </c>
      <c r="E1514" s="38" t="s">
        <v>5499</v>
      </c>
      <c r="G1514" s="38" t="s">
        <v>43</v>
      </c>
      <c r="H1514" s="38">
        <v>11.71</v>
      </c>
      <c r="I1514" s="38" t="s">
        <v>44</v>
      </c>
      <c r="J1514" s="38" t="s">
        <v>45</v>
      </c>
      <c r="K1514" s="38" t="s">
        <v>5500</v>
      </c>
      <c r="L1514" s="30" t="s">
        <v>47</v>
      </c>
      <c r="M1514" s="38" t="s">
        <v>48</v>
      </c>
      <c r="N1514" s="38" t="s">
        <v>48</v>
      </c>
      <c r="O1514" s="31" t="s">
        <v>680</v>
      </c>
      <c r="P1514" s="28" t="s">
        <v>681</v>
      </c>
      <c r="Q1514" s="38" t="s">
        <v>5012</v>
      </c>
      <c r="R1514" s="38">
        <v>1</v>
      </c>
      <c r="S1514" s="38" t="s">
        <v>52</v>
      </c>
      <c r="T1514" s="38" t="s">
        <v>53</v>
      </c>
      <c r="U1514" s="38" t="s">
        <v>54</v>
      </c>
      <c r="V1514" s="38" t="s">
        <v>61</v>
      </c>
      <c r="Y1514" s="38">
        <v>72.819999999999993</v>
      </c>
      <c r="Z1514" s="38"/>
      <c r="AF1514" s="38">
        <v>56.3</v>
      </c>
      <c r="AK1514" s="14" t="e">
        <f t="shared" si="7"/>
        <v>#DIV/0!</v>
      </c>
      <c r="AL1514" s="53">
        <v>1000025713</v>
      </c>
      <c r="AM1514" s="38"/>
      <c r="AO1514" s="28"/>
    </row>
    <row r="1515" spans="1:41" ht="12.5">
      <c r="A1515" s="28" t="s">
        <v>5501</v>
      </c>
      <c r="B1515" s="37">
        <v>45886</v>
      </c>
      <c r="C1515" s="29">
        <v>45891</v>
      </c>
      <c r="D1515" s="38" t="s">
        <v>41</v>
      </c>
      <c r="E1515" s="38" t="s">
        <v>5502</v>
      </c>
      <c r="G1515" s="38" t="s">
        <v>43</v>
      </c>
      <c r="H1515" s="38">
        <v>11.98</v>
      </c>
      <c r="I1515" s="38" t="s">
        <v>44</v>
      </c>
      <c r="J1515" s="38" t="s">
        <v>45</v>
      </c>
      <c r="K1515" s="38" t="s">
        <v>5503</v>
      </c>
      <c r="L1515" s="30" t="s">
        <v>58</v>
      </c>
      <c r="M1515" s="38" t="s">
        <v>48</v>
      </c>
      <c r="N1515" s="38" t="s">
        <v>48</v>
      </c>
      <c r="O1515" s="63" t="s">
        <v>3217</v>
      </c>
      <c r="P1515" s="28" t="s">
        <v>3218</v>
      </c>
      <c r="Q1515" s="38" t="s">
        <v>3219</v>
      </c>
      <c r="R1515" s="38">
        <v>1</v>
      </c>
      <c r="S1515" s="38" t="s">
        <v>3868</v>
      </c>
      <c r="T1515" s="38" t="s">
        <v>53</v>
      </c>
      <c r="U1515" s="38" t="s">
        <v>54</v>
      </c>
      <c r="V1515" s="38" t="s">
        <v>55</v>
      </c>
      <c r="Y1515" s="38">
        <v>72.680000000000007</v>
      </c>
      <c r="Z1515" s="38">
        <v>1</v>
      </c>
      <c r="AF1515" s="38">
        <v>60.7</v>
      </c>
      <c r="AK1515" s="14" t="e">
        <f t="shared" si="7"/>
        <v>#DIV/0!</v>
      </c>
      <c r="AM1515" s="38"/>
      <c r="AO1515" s="28"/>
    </row>
    <row r="1516" spans="1:41" ht="12.5">
      <c r="A1516" s="28" t="s">
        <v>5504</v>
      </c>
      <c r="B1516" s="37">
        <v>45874</v>
      </c>
      <c r="C1516" s="29">
        <v>45883</v>
      </c>
      <c r="D1516" s="38" t="s">
        <v>41</v>
      </c>
      <c r="E1516" s="38" t="s">
        <v>5505</v>
      </c>
      <c r="G1516" s="38" t="s">
        <v>43</v>
      </c>
      <c r="H1516" s="38">
        <v>11.98</v>
      </c>
      <c r="I1516" s="38" t="s">
        <v>44</v>
      </c>
      <c r="J1516" s="38" t="s">
        <v>45</v>
      </c>
      <c r="K1516" s="38" t="s">
        <v>5506</v>
      </c>
      <c r="L1516" s="30" t="s">
        <v>58</v>
      </c>
      <c r="M1516" s="38" t="s">
        <v>48</v>
      </c>
      <c r="N1516" s="38" t="s">
        <v>48</v>
      </c>
      <c r="O1516" s="63" t="s">
        <v>3217</v>
      </c>
      <c r="P1516" s="28" t="s">
        <v>3218</v>
      </c>
      <c r="Q1516" s="38" t="s">
        <v>3219</v>
      </c>
      <c r="R1516" s="38">
        <v>1</v>
      </c>
      <c r="S1516" s="38" t="s">
        <v>3868</v>
      </c>
      <c r="T1516" s="38" t="s">
        <v>53</v>
      </c>
      <c r="U1516" s="38" t="s">
        <v>54</v>
      </c>
      <c r="V1516" s="38" t="s">
        <v>61</v>
      </c>
      <c r="Y1516" s="38">
        <v>72.680000000000007</v>
      </c>
      <c r="Z1516" s="38">
        <v>1</v>
      </c>
      <c r="AF1516" s="38"/>
      <c r="AK1516" s="14" t="e">
        <f t="shared" si="7"/>
        <v>#DIV/0!</v>
      </c>
      <c r="AM1516" s="38"/>
      <c r="AO1516" s="28"/>
    </row>
    <row r="1517" spans="1:41" ht="12.5">
      <c r="A1517" s="28" t="s">
        <v>5507</v>
      </c>
      <c r="B1517" s="37">
        <v>45868</v>
      </c>
      <c r="C1517" s="29">
        <v>45881</v>
      </c>
      <c r="D1517" s="38" t="s">
        <v>41</v>
      </c>
      <c r="E1517" s="38" t="s">
        <v>5508</v>
      </c>
      <c r="G1517" s="38" t="s">
        <v>43</v>
      </c>
      <c r="H1517" s="38">
        <v>10.88</v>
      </c>
      <c r="I1517" s="38" t="s">
        <v>44</v>
      </c>
      <c r="J1517" s="38" t="s">
        <v>45</v>
      </c>
      <c r="K1517" s="38" t="s">
        <v>5509</v>
      </c>
      <c r="L1517" s="30" t="s">
        <v>58</v>
      </c>
      <c r="M1517" s="38" t="s">
        <v>48</v>
      </c>
      <c r="N1517" s="38" t="s">
        <v>48</v>
      </c>
      <c r="O1517" s="31" t="s">
        <v>5510</v>
      </c>
      <c r="P1517" s="28" t="s">
        <v>5511</v>
      </c>
      <c r="Q1517" s="38" t="s">
        <v>5512</v>
      </c>
      <c r="R1517" s="38">
        <v>1</v>
      </c>
      <c r="S1517" s="38" t="s">
        <v>3878</v>
      </c>
      <c r="T1517" s="38" t="s">
        <v>53</v>
      </c>
      <c r="U1517" s="38" t="s">
        <v>54</v>
      </c>
      <c r="V1517" s="38" t="s">
        <v>55</v>
      </c>
      <c r="X1517" s="61">
        <v>45888</v>
      </c>
      <c r="Y1517" s="38">
        <v>96.75</v>
      </c>
      <c r="Z1517" s="38">
        <v>1</v>
      </c>
      <c r="AF1517" s="38">
        <v>85.87</v>
      </c>
      <c r="AK1517" s="14" t="e">
        <f t="shared" si="7"/>
        <v>#DIV/0!</v>
      </c>
      <c r="AM1517" s="38"/>
      <c r="AO1517" s="28"/>
    </row>
    <row r="1518" spans="1:41" ht="12.5">
      <c r="A1518" s="28" t="s">
        <v>5513</v>
      </c>
      <c r="B1518" s="37">
        <v>45873</v>
      </c>
      <c r="C1518" s="29">
        <v>45874</v>
      </c>
      <c r="D1518" s="38" t="s">
        <v>41</v>
      </c>
      <c r="E1518" s="38" t="s">
        <v>5514</v>
      </c>
      <c r="G1518" s="38" t="s">
        <v>43</v>
      </c>
      <c r="H1518" s="38">
        <v>13.38</v>
      </c>
      <c r="I1518" s="38" t="s">
        <v>44</v>
      </c>
      <c r="J1518" s="38" t="s">
        <v>45</v>
      </c>
      <c r="K1518" s="38" t="s">
        <v>5515</v>
      </c>
      <c r="L1518" s="30" t="s">
        <v>58</v>
      </c>
      <c r="M1518" s="38" t="s">
        <v>48</v>
      </c>
      <c r="N1518" s="38" t="s">
        <v>48</v>
      </c>
      <c r="O1518" s="31" t="s">
        <v>5516</v>
      </c>
      <c r="P1518" s="28" t="s">
        <v>5517</v>
      </c>
      <c r="Q1518" s="38" t="s">
        <v>5518</v>
      </c>
      <c r="R1518" s="38">
        <v>1</v>
      </c>
      <c r="S1518" s="38" t="s">
        <v>75</v>
      </c>
      <c r="T1518" s="38" t="s">
        <v>53</v>
      </c>
      <c r="U1518" s="38" t="s">
        <v>54</v>
      </c>
      <c r="V1518" s="38" t="s">
        <v>55</v>
      </c>
      <c r="Y1518" s="38">
        <v>103.69</v>
      </c>
      <c r="Z1518" s="38">
        <v>1</v>
      </c>
      <c r="AF1518" s="38">
        <v>90.31</v>
      </c>
      <c r="AK1518" s="14" t="e">
        <f t="shared" si="7"/>
        <v>#DIV/0!</v>
      </c>
      <c r="AM1518" s="38"/>
      <c r="AO1518" s="28"/>
    </row>
    <row r="1519" spans="1:41" ht="12.5">
      <c r="A1519" s="28" t="s">
        <v>5519</v>
      </c>
      <c r="B1519" s="37">
        <v>45892</v>
      </c>
      <c r="C1519" s="29">
        <v>45897</v>
      </c>
      <c r="D1519" s="38" t="s">
        <v>41</v>
      </c>
      <c r="E1519" s="38" t="s">
        <v>5520</v>
      </c>
      <c r="G1519" s="38" t="s">
        <v>43</v>
      </c>
      <c r="H1519" s="38">
        <v>12.9</v>
      </c>
      <c r="I1519" s="38" t="s">
        <v>44</v>
      </c>
      <c r="J1519" s="38" t="s">
        <v>45</v>
      </c>
      <c r="K1519" s="38" t="s">
        <v>5521</v>
      </c>
      <c r="L1519" s="30" t="s">
        <v>58</v>
      </c>
      <c r="M1519" s="38" t="s">
        <v>48</v>
      </c>
      <c r="N1519" s="38" t="s">
        <v>48</v>
      </c>
      <c r="O1519" s="63" t="s">
        <v>1437</v>
      </c>
      <c r="P1519" s="28" t="s">
        <v>1438</v>
      </c>
      <c r="Q1519" s="38" t="s">
        <v>1439</v>
      </c>
      <c r="R1519" s="38">
        <v>1</v>
      </c>
      <c r="S1519" s="38" t="s">
        <v>3878</v>
      </c>
      <c r="T1519" s="38" t="s">
        <v>53</v>
      </c>
      <c r="U1519" s="38" t="s">
        <v>54</v>
      </c>
      <c r="V1519" s="38" t="s">
        <v>61</v>
      </c>
      <c r="Y1519" s="38">
        <v>81.17</v>
      </c>
      <c r="Z1519" s="38">
        <v>1</v>
      </c>
      <c r="AF1519" s="38"/>
      <c r="AK1519" s="14" t="e">
        <f t="shared" si="7"/>
        <v>#DIV/0!</v>
      </c>
      <c r="AM1519" s="38"/>
      <c r="AO1519" s="28"/>
    </row>
    <row r="1520" spans="1:41" ht="12.5">
      <c r="A1520" s="28" t="s">
        <v>5522</v>
      </c>
      <c r="B1520" s="37">
        <v>45879</v>
      </c>
      <c r="C1520" s="29">
        <v>45882</v>
      </c>
      <c r="D1520" s="38" t="s">
        <v>41</v>
      </c>
      <c r="E1520" s="38" t="s">
        <v>5523</v>
      </c>
      <c r="G1520" s="38" t="s">
        <v>43</v>
      </c>
      <c r="H1520" s="38">
        <v>12.9</v>
      </c>
      <c r="I1520" s="38" t="s">
        <v>44</v>
      </c>
      <c r="J1520" s="38" t="s">
        <v>45</v>
      </c>
      <c r="K1520" s="38" t="s">
        <v>5524</v>
      </c>
      <c r="L1520" s="30" t="s">
        <v>58</v>
      </c>
      <c r="M1520" s="38" t="s">
        <v>48</v>
      </c>
      <c r="N1520" s="38" t="s">
        <v>48</v>
      </c>
      <c r="O1520" s="63" t="s">
        <v>1437</v>
      </c>
      <c r="P1520" s="28" t="s">
        <v>1438</v>
      </c>
      <c r="Q1520" s="38" t="s">
        <v>1439</v>
      </c>
      <c r="R1520" s="38">
        <v>1</v>
      </c>
      <c r="S1520" s="38" t="s">
        <v>59</v>
      </c>
      <c r="T1520" s="38" t="s">
        <v>53</v>
      </c>
      <c r="U1520" s="38" t="s">
        <v>54</v>
      </c>
      <c r="V1520" s="38" t="s">
        <v>55</v>
      </c>
      <c r="Y1520" s="38">
        <v>81.459999999999994</v>
      </c>
      <c r="Z1520" s="38">
        <v>1</v>
      </c>
      <c r="AF1520" s="38">
        <v>68.56</v>
      </c>
      <c r="AK1520" s="14" t="e">
        <f t="shared" si="7"/>
        <v>#DIV/0!</v>
      </c>
      <c r="AM1520" s="38"/>
      <c r="AO1520" s="64"/>
    </row>
    <row r="1521" spans="1:41" ht="14">
      <c r="A1521" s="28" t="s">
        <v>5525</v>
      </c>
      <c r="B1521" s="37">
        <v>45855</v>
      </c>
      <c r="C1521" s="29">
        <v>45871</v>
      </c>
      <c r="D1521" s="38" t="s">
        <v>41</v>
      </c>
      <c r="E1521" s="38" t="s">
        <v>5526</v>
      </c>
      <c r="G1521" s="38" t="s">
        <v>43</v>
      </c>
      <c r="H1521" s="38">
        <v>10.57</v>
      </c>
      <c r="I1521" s="38" t="s">
        <v>44</v>
      </c>
      <c r="J1521" s="38" t="s">
        <v>45</v>
      </c>
      <c r="K1521" s="38" t="s">
        <v>5527</v>
      </c>
      <c r="L1521" s="30" t="s">
        <v>47</v>
      </c>
      <c r="M1521" s="38" t="s">
        <v>48</v>
      </c>
      <c r="N1521" s="38" t="s">
        <v>48</v>
      </c>
      <c r="O1521" s="31" t="s">
        <v>1428</v>
      </c>
      <c r="P1521" s="28" t="s">
        <v>1429</v>
      </c>
      <c r="Q1521" s="38" t="s">
        <v>5528</v>
      </c>
      <c r="R1521" s="38">
        <v>1</v>
      </c>
      <c r="S1521" s="38" t="s">
        <v>82</v>
      </c>
      <c r="T1521" s="38" t="s">
        <v>53</v>
      </c>
      <c r="U1521" s="38" t="s">
        <v>54</v>
      </c>
      <c r="V1521" s="38" t="s">
        <v>61</v>
      </c>
      <c r="Y1521" s="38">
        <v>84.23</v>
      </c>
      <c r="Z1521" s="38">
        <v>1</v>
      </c>
      <c r="AF1521" s="38"/>
      <c r="AK1521" s="14" t="e">
        <f t="shared" si="7"/>
        <v>#DIV/0!</v>
      </c>
      <c r="AL1521" s="53">
        <v>1000024971</v>
      </c>
      <c r="AM1521" s="38" t="s">
        <v>561</v>
      </c>
      <c r="AO1521" s="65" t="s">
        <v>5529</v>
      </c>
    </row>
    <row r="1522" spans="1:41" ht="14">
      <c r="A1522" s="28" t="s">
        <v>5530</v>
      </c>
      <c r="B1522" s="37">
        <v>45874</v>
      </c>
      <c r="C1522" s="29">
        <v>45876</v>
      </c>
      <c r="D1522" s="38" t="s">
        <v>41</v>
      </c>
      <c r="E1522" s="38" t="s">
        <v>5531</v>
      </c>
      <c r="G1522" s="38" t="s">
        <v>43</v>
      </c>
      <c r="H1522" s="38">
        <v>13.84</v>
      </c>
      <c r="I1522" s="38" t="s">
        <v>44</v>
      </c>
      <c r="J1522" s="38" t="s">
        <v>45</v>
      </c>
      <c r="K1522" s="38" t="s">
        <v>5532</v>
      </c>
      <c r="L1522" s="30" t="s">
        <v>47</v>
      </c>
      <c r="M1522" s="38" t="s">
        <v>48</v>
      </c>
      <c r="N1522" s="38" t="s">
        <v>48</v>
      </c>
      <c r="O1522" s="31" t="s">
        <v>632</v>
      </c>
      <c r="P1522" s="28" t="s">
        <v>633</v>
      </c>
      <c r="Q1522" s="38" t="s">
        <v>5533</v>
      </c>
      <c r="R1522" s="38">
        <v>1</v>
      </c>
      <c r="S1522" s="38" t="s">
        <v>92</v>
      </c>
      <c r="T1522" s="38" t="s">
        <v>53</v>
      </c>
      <c r="U1522" s="38" t="s">
        <v>54</v>
      </c>
      <c r="V1522" s="38" t="s">
        <v>61</v>
      </c>
      <c r="Y1522" s="38">
        <v>67.38</v>
      </c>
      <c r="Z1522" s="38"/>
      <c r="AF1522" s="38">
        <v>52.43</v>
      </c>
      <c r="AK1522" s="14" t="e">
        <f t="shared" si="7"/>
        <v>#DIV/0!</v>
      </c>
      <c r="AL1522" s="53">
        <v>1000026144</v>
      </c>
      <c r="AM1522" s="38" t="s">
        <v>561</v>
      </c>
      <c r="AO1522" s="28" t="s">
        <v>5534</v>
      </c>
    </row>
    <row r="1523" spans="1:41" ht="12.5">
      <c r="A1523" s="28" t="s">
        <v>5535</v>
      </c>
      <c r="B1523" s="37">
        <v>45891</v>
      </c>
      <c r="C1523" s="29">
        <v>45897</v>
      </c>
      <c r="D1523" s="38" t="s">
        <v>41</v>
      </c>
      <c r="E1523" s="38" t="s">
        <v>5536</v>
      </c>
      <c r="G1523" s="38" t="s">
        <v>43</v>
      </c>
      <c r="H1523" s="38">
        <v>16.34</v>
      </c>
      <c r="I1523" s="38" t="s">
        <v>44</v>
      </c>
      <c r="J1523" s="38" t="s">
        <v>45</v>
      </c>
      <c r="K1523" s="38" t="s">
        <v>5537</v>
      </c>
      <c r="L1523" s="30" t="s">
        <v>58</v>
      </c>
      <c r="M1523" s="38" t="s">
        <v>48</v>
      </c>
      <c r="N1523" s="38" t="s">
        <v>48</v>
      </c>
      <c r="O1523" s="31" t="s">
        <v>4602</v>
      </c>
      <c r="P1523" s="28" t="s">
        <v>4603</v>
      </c>
      <c r="Q1523" s="38" t="s">
        <v>4604</v>
      </c>
      <c r="R1523" s="38">
        <v>1</v>
      </c>
      <c r="S1523" s="38" t="s">
        <v>75</v>
      </c>
      <c r="T1523" s="38" t="s">
        <v>53</v>
      </c>
      <c r="U1523" s="38" t="s">
        <v>54</v>
      </c>
      <c r="V1523" s="38" t="s">
        <v>61</v>
      </c>
      <c r="Y1523" s="38">
        <v>125.69</v>
      </c>
      <c r="Z1523" s="38">
        <v>1</v>
      </c>
      <c r="AF1523" s="38"/>
      <c r="AK1523" s="14" t="e">
        <f t="shared" si="7"/>
        <v>#DIV/0!</v>
      </c>
      <c r="AM1523" s="38"/>
      <c r="AO1523" s="28"/>
    </row>
    <row r="1524" spans="1:41" ht="12.5">
      <c r="A1524" s="28" t="s">
        <v>5538</v>
      </c>
      <c r="B1524" s="37">
        <v>45865</v>
      </c>
      <c r="C1524" s="29">
        <v>45873</v>
      </c>
      <c r="D1524" s="38" t="s">
        <v>41</v>
      </c>
      <c r="E1524" s="38" t="s">
        <v>5539</v>
      </c>
      <c r="G1524" s="38" t="s">
        <v>43</v>
      </c>
      <c r="H1524" s="38">
        <v>12.42</v>
      </c>
      <c r="I1524" s="38" t="s">
        <v>44</v>
      </c>
      <c r="J1524" s="38" t="s">
        <v>45</v>
      </c>
      <c r="K1524" s="38" t="s">
        <v>5540</v>
      </c>
      <c r="L1524" s="30" t="s">
        <v>58</v>
      </c>
      <c r="M1524" s="38" t="s">
        <v>48</v>
      </c>
      <c r="N1524" s="38" t="s">
        <v>48</v>
      </c>
      <c r="O1524" s="31" t="s">
        <v>5541</v>
      </c>
      <c r="P1524" s="28" t="s">
        <v>5542</v>
      </c>
      <c r="Q1524" s="38" t="s">
        <v>5543</v>
      </c>
      <c r="R1524" s="38">
        <v>1</v>
      </c>
      <c r="S1524" s="38" t="s">
        <v>68</v>
      </c>
      <c r="T1524" s="38" t="s">
        <v>53</v>
      </c>
      <c r="U1524" s="38" t="s">
        <v>54</v>
      </c>
      <c r="V1524" s="38" t="s">
        <v>61</v>
      </c>
      <c r="Y1524" s="38">
        <v>71.33</v>
      </c>
      <c r="Z1524" s="38">
        <v>1</v>
      </c>
      <c r="AF1524" s="38"/>
      <c r="AK1524" s="14" t="e">
        <f t="shared" si="7"/>
        <v>#DIV/0!</v>
      </c>
      <c r="AM1524" s="38"/>
      <c r="AO1524" s="28"/>
    </row>
    <row r="1525" spans="1:41" ht="12.5">
      <c r="A1525" s="28" t="s">
        <v>5544</v>
      </c>
      <c r="B1525" s="37">
        <v>45866</v>
      </c>
      <c r="C1525" s="29">
        <v>45876</v>
      </c>
      <c r="D1525" s="38" t="s">
        <v>41</v>
      </c>
      <c r="E1525" s="38" t="s">
        <v>5545</v>
      </c>
      <c r="G1525" s="38" t="s">
        <v>43</v>
      </c>
      <c r="H1525" s="38">
        <v>12.45</v>
      </c>
      <c r="I1525" s="38" t="s">
        <v>44</v>
      </c>
      <c r="J1525" s="38" t="s">
        <v>45</v>
      </c>
      <c r="K1525" s="38" t="s">
        <v>5546</v>
      </c>
      <c r="L1525" s="30" t="s">
        <v>58</v>
      </c>
      <c r="M1525" s="38" t="s">
        <v>48</v>
      </c>
      <c r="N1525" s="38" t="s">
        <v>48</v>
      </c>
      <c r="O1525" s="31" t="s">
        <v>5547</v>
      </c>
      <c r="P1525" s="28" t="s">
        <v>5548</v>
      </c>
      <c r="Q1525" s="38" t="s">
        <v>5549</v>
      </c>
      <c r="R1525" s="38">
        <v>1</v>
      </c>
      <c r="S1525" s="38" t="s">
        <v>59</v>
      </c>
      <c r="T1525" s="38" t="s">
        <v>53</v>
      </c>
      <c r="U1525" s="38" t="s">
        <v>54</v>
      </c>
      <c r="V1525" s="38" t="s">
        <v>55</v>
      </c>
      <c r="Y1525" s="38">
        <v>73.09</v>
      </c>
      <c r="Z1525" s="38">
        <v>1</v>
      </c>
      <c r="AF1525" s="38">
        <v>60.64</v>
      </c>
      <c r="AK1525" s="14" t="e">
        <f t="shared" si="7"/>
        <v>#DIV/0!</v>
      </c>
      <c r="AM1525" s="38"/>
      <c r="AO1525" s="28"/>
    </row>
    <row r="1526" spans="1:41" ht="12.5">
      <c r="A1526" s="28" t="s">
        <v>5550</v>
      </c>
      <c r="B1526" s="37">
        <v>45891</v>
      </c>
      <c r="C1526" s="29">
        <v>45896</v>
      </c>
      <c r="D1526" s="38" t="s">
        <v>41</v>
      </c>
      <c r="E1526" s="38" t="s">
        <v>5551</v>
      </c>
      <c r="G1526" s="38" t="s">
        <v>43</v>
      </c>
      <c r="H1526" s="38">
        <v>10.88</v>
      </c>
      <c r="I1526" s="38" t="s">
        <v>44</v>
      </c>
      <c r="J1526" s="38" t="s">
        <v>45</v>
      </c>
      <c r="K1526" s="38" t="s">
        <v>5552</v>
      </c>
      <c r="L1526" s="30" t="s">
        <v>58</v>
      </c>
      <c r="M1526" s="38" t="s">
        <v>48</v>
      </c>
      <c r="N1526" s="38" t="s">
        <v>48</v>
      </c>
      <c r="O1526" s="63" t="s">
        <v>1659</v>
      </c>
      <c r="P1526" s="28" t="s">
        <v>1660</v>
      </c>
      <c r="Q1526" s="38" t="s">
        <v>3533</v>
      </c>
      <c r="R1526" s="38">
        <v>1</v>
      </c>
      <c r="S1526" s="38" t="s">
        <v>3884</v>
      </c>
      <c r="T1526" s="38" t="s">
        <v>53</v>
      </c>
      <c r="U1526" s="38" t="s">
        <v>54</v>
      </c>
      <c r="V1526" s="38" t="s">
        <v>61</v>
      </c>
      <c r="Y1526" s="38">
        <v>68</v>
      </c>
      <c r="Z1526" s="38">
        <v>1</v>
      </c>
      <c r="AF1526" s="38"/>
      <c r="AI1526" s="38">
        <v>7</v>
      </c>
      <c r="AJ1526" s="38">
        <v>54</v>
      </c>
      <c r="AK1526" s="14">
        <f t="shared" si="7"/>
        <v>0.12962962962962962</v>
      </c>
      <c r="AM1526" s="38"/>
      <c r="AO1526" s="28"/>
    </row>
    <row r="1527" spans="1:41" ht="12.5">
      <c r="A1527" s="28" t="s">
        <v>5553</v>
      </c>
      <c r="B1527" s="37">
        <v>45890</v>
      </c>
      <c r="C1527" s="29">
        <v>45896</v>
      </c>
      <c r="D1527" s="38" t="s">
        <v>41</v>
      </c>
      <c r="E1527" s="38" t="s">
        <v>5554</v>
      </c>
      <c r="G1527" s="38" t="s">
        <v>43</v>
      </c>
      <c r="H1527" s="38">
        <v>10.88</v>
      </c>
      <c r="I1527" s="38" t="s">
        <v>44</v>
      </c>
      <c r="J1527" s="38" t="s">
        <v>45</v>
      </c>
      <c r="K1527" s="38" t="s">
        <v>5555</v>
      </c>
      <c r="L1527" s="30" t="s">
        <v>47</v>
      </c>
      <c r="M1527" s="38" t="s">
        <v>48</v>
      </c>
      <c r="N1527" s="38" t="s">
        <v>48</v>
      </c>
      <c r="O1527" s="63" t="s">
        <v>1659</v>
      </c>
      <c r="P1527" s="28" t="s">
        <v>1660</v>
      </c>
      <c r="Q1527" s="38" t="s">
        <v>3533</v>
      </c>
      <c r="R1527" s="38">
        <v>1</v>
      </c>
      <c r="S1527" s="38" t="s">
        <v>99</v>
      </c>
      <c r="T1527" s="38" t="s">
        <v>53</v>
      </c>
      <c r="U1527" s="38" t="s">
        <v>54</v>
      </c>
      <c r="V1527" s="38" t="s">
        <v>61</v>
      </c>
      <c r="Y1527" s="38">
        <v>68.150000000000006</v>
      </c>
      <c r="Z1527" s="38">
        <v>1</v>
      </c>
      <c r="AF1527" s="38"/>
      <c r="AK1527" s="14" t="e">
        <f t="shared" si="7"/>
        <v>#DIV/0!</v>
      </c>
      <c r="AM1527" s="38"/>
      <c r="AO1527" s="28"/>
    </row>
    <row r="1528" spans="1:41" ht="50">
      <c r="A1528" s="28" t="s">
        <v>5556</v>
      </c>
      <c r="B1528" s="37">
        <v>45887</v>
      </c>
      <c r="C1528" s="29">
        <v>45895</v>
      </c>
      <c r="D1528" s="38" t="s">
        <v>41</v>
      </c>
      <c r="E1528" s="38" t="s">
        <v>5557</v>
      </c>
      <c r="G1528" s="38" t="s">
        <v>43</v>
      </c>
      <c r="H1528" s="38">
        <v>10.88</v>
      </c>
      <c r="I1528" s="38" t="s">
        <v>44</v>
      </c>
      <c r="J1528" s="38" t="s">
        <v>45</v>
      </c>
      <c r="K1528" s="38" t="s">
        <v>5558</v>
      </c>
      <c r="L1528" s="30" t="s">
        <v>47</v>
      </c>
      <c r="M1528" s="38" t="s">
        <v>48</v>
      </c>
      <c r="N1528" s="38" t="s">
        <v>48</v>
      </c>
      <c r="O1528" s="63" t="s">
        <v>1659</v>
      </c>
      <c r="P1528" s="28" t="s">
        <v>1660</v>
      </c>
      <c r="Q1528" s="38" t="s">
        <v>3533</v>
      </c>
      <c r="R1528" s="38">
        <v>1</v>
      </c>
      <c r="S1528" s="38" t="s">
        <v>92</v>
      </c>
      <c r="T1528" s="38" t="s">
        <v>53</v>
      </c>
      <c r="U1528" s="38" t="s">
        <v>54</v>
      </c>
      <c r="V1528" s="38" t="s">
        <v>560</v>
      </c>
      <c r="Y1528" s="38">
        <v>64.900000000000006</v>
      </c>
      <c r="Z1528" s="38">
        <v>1</v>
      </c>
      <c r="AF1528" s="38"/>
      <c r="AK1528" s="14" t="e">
        <f t="shared" si="7"/>
        <v>#DIV/0!</v>
      </c>
      <c r="AL1528" s="66" t="s">
        <v>5559</v>
      </c>
      <c r="AM1528" s="38" t="s">
        <v>953</v>
      </c>
      <c r="AO1528" s="28" t="s">
        <v>5560</v>
      </c>
    </row>
    <row r="1529" spans="1:41" ht="12.5">
      <c r="A1529" s="28" t="s">
        <v>5561</v>
      </c>
      <c r="B1529" s="37">
        <v>45885</v>
      </c>
      <c r="C1529" s="29">
        <v>45892</v>
      </c>
      <c r="D1529" s="38" t="s">
        <v>41</v>
      </c>
      <c r="E1529" s="38" t="s">
        <v>5562</v>
      </c>
      <c r="G1529" s="38" t="s">
        <v>43</v>
      </c>
      <c r="H1529" s="38">
        <v>10.88</v>
      </c>
      <c r="I1529" s="38" t="s">
        <v>44</v>
      </c>
      <c r="J1529" s="38" t="s">
        <v>45</v>
      </c>
      <c r="K1529" s="38" t="s">
        <v>5563</v>
      </c>
      <c r="L1529" s="30" t="s">
        <v>58</v>
      </c>
      <c r="M1529" s="38" t="s">
        <v>48</v>
      </c>
      <c r="N1529" s="38" t="s">
        <v>48</v>
      </c>
      <c r="O1529" s="63" t="s">
        <v>1659</v>
      </c>
      <c r="P1529" s="28" t="s">
        <v>1660</v>
      </c>
      <c r="Q1529" s="38" t="s">
        <v>3533</v>
      </c>
      <c r="R1529" s="38">
        <v>1</v>
      </c>
      <c r="S1529" s="38" t="s">
        <v>3868</v>
      </c>
      <c r="T1529" s="38" t="s">
        <v>53</v>
      </c>
      <c r="U1529" s="38" t="s">
        <v>54</v>
      </c>
      <c r="V1529" s="38" t="s">
        <v>61</v>
      </c>
      <c r="Y1529" s="38">
        <v>68.400000000000006</v>
      </c>
      <c r="Z1529" s="38">
        <v>1</v>
      </c>
      <c r="AF1529" s="38">
        <v>53.45</v>
      </c>
      <c r="AK1529" s="14" t="e">
        <f t="shared" si="7"/>
        <v>#DIV/0!</v>
      </c>
      <c r="AM1529" s="38"/>
      <c r="AO1529" s="28"/>
    </row>
    <row r="1530" spans="1:41" ht="14">
      <c r="A1530" s="28" t="s">
        <v>5564</v>
      </c>
      <c r="B1530" s="37">
        <v>45882</v>
      </c>
      <c r="C1530" s="29">
        <v>45885</v>
      </c>
      <c r="D1530" s="38" t="s">
        <v>41</v>
      </c>
      <c r="E1530" s="38" t="s">
        <v>5565</v>
      </c>
      <c r="G1530" s="38" t="s">
        <v>43</v>
      </c>
      <c r="H1530" s="38">
        <v>10.88</v>
      </c>
      <c r="I1530" s="38" t="s">
        <v>44</v>
      </c>
      <c r="J1530" s="38" t="s">
        <v>45</v>
      </c>
      <c r="K1530" s="38" t="s">
        <v>5566</v>
      </c>
      <c r="L1530" s="30" t="s">
        <v>47</v>
      </c>
      <c r="M1530" s="38" t="s">
        <v>48</v>
      </c>
      <c r="N1530" s="38" t="s">
        <v>48</v>
      </c>
      <c r="O1530" s="63" t="s">
        <v>1659</v>
      </c>
      <c r="P1530" s="28" t="s">
        <v>1660</v>
      </c>
      <c r="Q1530" s="38" t="s">
        <v>3533</v>
      </c>
      <c r="R1530" s="38">
        <v>1</v>
      </c>
      <c r="S1530" s="38" t="s">
        <v>82</v>
      </c>
      <c r="T1530" s="38" t="s">
        <v>53</v>
      </c>
      <c r="U1530" s="38" t="s">
        <v>54</v>
      </c>
      <c r="V1530" s="38" t="s">
        <v>55</v>
      </c>
      <c r="X1530" s="61">
        <v>45894</v>
      </c>
      <c r="Y1530" s="38">
        <v>67.900000000000006</v>
      </c>
      <c r="Z1530" s="38">
        <v>1</v>
      </c>
      <c r="AF1530" s="38">
        <v>67.900000000000006</v>
      </c>
      <c r="AK1530" s="14" t="e">
        <f t="shared" si="7"/>
        <v>#DIV/0!</v>
      </c>
      <c r="AL1530" s="53">
        <v>1000026632</v>
      </c>
      <c r="AM1530" s="38"/>
      <c r="AO1530" s="28"/>
    </row>
    <row r="1531" spans="1:41" ht="12.5">
      <c r="A1531" s="28" t="s">
        <v>5567</v>
      </c>
      <c r="B1531" s="37">
        <v>45878</v>
      </c>
      <c r="C1531" s="29">
        <v>45883</v>
      </c>
      <c r="D1531" s="38" t="s">
        <v>41</v>
      </c>
      <c r="E1531" s="38" t="s">
        <v>5568</v>
      </c>
      <c r="G1531" s="38" t="s">
        <v>43</v>
      </c>
      <c r="H1531" s="38">
        <v>10.88</v>
      </c>
      <c r="I1531" s="38" t="s">
        <v>44</v>
      </c>
      <c r="J1531" s="38" t="s">
        <v>45</v>
      </c>
      <c r="K1531" s="38" t="s">
        <v>5569</v>
      </c>
      <c r="L1531" s="30" t="s">
        <v>58</v>
      </c>
      <c r="M1531" s="38" t="s">
        <v>48</v>
      </c>
      <c r="N1531" s="38" t="s">
        <v>48</v>
      </c>
      <c r="O1531" s="63" t="s">
        <v>1659</v>
      </c>
      <c r="P1531" s="28" t="s">
        <v>1660</v>
      </c>
      <c r="Q1531" s="38" t="s">
        <v>3533</v>
      </c>
      <c r="R1531" s="38">
        <v>1</v>
      </c>
      <c r="S1531" s="38" t="s">
        <v>3868</v>
      </c>
      <c r="T1531" s="38" t="s">
        <v>53</v>
      </c>
      <c r="U1531" s="38" t="s">
        <v>54</v>
      </c>
      <c r="V1531" s="38" t="s">
        <v>55</v>
      </c>
      <c r="X1531" s="61">
        <v>45891</v>
      </c>
      <c r="Y1531" s="38">
        <v>70.33</v>
      </c>
      <c r="Z1531" s="38">
        <v>1</v>
      </c>
      <c r="AF1531" s="38">
        <v>59.45</v>
      </c>
      <c r="AK1531" s="14" t="e">
        <f t="shared" si="7"/>
        <v>#DIV/0!</v>
      </c>
      <c r="AM1531" s="38"/>
      <c r="AO1531" s="28"/>
    </row>
    <row r="1532" spans="1:41" ht="12.5">
      <c r="A1532" s="28" t="s">
        <v>5570</v>
      </c>
      <c r="B1532" s="37">
        <v>45867</v>
      </c>
      <c r="C1532" s="29">
        <v>45880</v>
      </c>
      <c r="D1532" s="38" t="s">
        <v>41</v>
      </c>
      <c r="E1532" s="38" t="s">
        <v>5571</v>
      </c>
      <c r="G1532" s="38" t="s">
        <v>43</v>
      </c>
      <c r="H1532" s="38">
        <v>10.88</v>
      </c>
      <c r="I1532" s="38" t="s">
        <v>44</v>
      </c>
      <c r="J1532" s="38" t="s">
        <v>45</v>
      </c>
      <c r="K1532" s="38" t="s">
        <v>5572</v>
      </c>
      <c r="L1532" s="30" t="s">
        <v>58</v>
      </c>
      <c r="M1532" s="38" t="s">
        <v>48</v>
      </c>
      <c r="N1532" s="38" t="s">
        <v>48</v>
      </c>
      <c r="O1532" s="63" t="s">
        <v>1659</v>
      </c>
      <c r="P1532" s="28" t="s">
        <v>1660</v>
      </c>
      <c r="Q1532" s="38" t="s">
        <v>3533</v>
      </c>
      <c r="R1532" s="38">
        <v>1</v>
      </c>
      <c r="S1532" s="38" t="s">
        <v>3878</v>
      </c>
      <c r="T1532" s="38" t="s">
        <v>53</v>
      </c>
      <c r="U1532" s="38" t="s">
        <v>54</v>
      </c>
      <c r="V1532" s="38" t="s">
        <v>55</v>
      </c>
      <c r="X1532" s="61">
        <v>45888</v>
      </c>
      <c r="Y1532" s="38">
        <v>68.400000000000006</v>
      </c>
      <c r="Z1532" s="38">
        <v>1</v>
      </c>
      <c r="AA1532" s="38" t="s">
        <v>5573</v>
      </c>
      <c r="AB1532" s="38" t="s">
        <v>5574</v>
      </c>
      <c r="AC1532" s="38" t="s">
        <v>5575</v>
      </c>
      <c r="AD1532" s="61">
        <v>45894</v>
      </c>
      <c r="AF1532" s="38">
        <v>57.52</v>
      </c>
      <c r="AK1532" s="14" t="e">
        <f t="shared" si="7"/>
        <v>#DIV/0!</v>
      </c>
      <c r="AM1532" s="38"/>
      <c r="AO1532" s="28"/>
    </row>
    <row r="1533" spans="1:41" ht="12.5">
      <c r="A1533" s="28" t="s">
        <v>5576</v>
      </c>
      <c r="B1533" s="37">
        <v>45867</v>
      </c>
      <c r="C1533" s="29">
        <v>45871</v>
      </c>
      <c r="D1533" s="38" t="s">
        <v>41</v>
      </c>
      <c r="E1533" s="38" t="s">
        <v>5577</v>
      </c>
      <c r="G1533" s="38" t="s">
        <v>43</v>
      </c>
      <c r="H1533" s="38">
        <v>11.96</v>
      </c>
      <c r="I1533" s="38" t="s">
        <v>44</v>
      </c>
      <c r="J1533" s="38" t="s">
        <v>45</v>
      </c>
      <c r="K1533" s="38" t="s">
        <v>5578</v>
      </c>
      <c r="L1533" s="30" t="s">
        <v>47</v>
      </c>
      <c r="M1533" s="38" t="s">
        <v>48</v>
      </c>
      <c r="N1533" s="38" t="s">
        <v>48</v>
      </c>
      <c r="O1533" s="31" t="s">
        <v>5579</v>
      </c>
      <c r="P1533" s="28" t="s">
        <v>5580</v>
      </c>
      <c r="Q1533" s="38" t="s">
        <v>5581</v>
      </c>
      <c r="R1533" s="38">
        <v>1</v>
      </c>
      <c r="S1533" s="38" t="s">
        <v>421</v>
      </c>
      <c r="T1533" s="38" t="s">
        <v>53</v>
      </c>
      <c r="U1533" s="38" t="s">
        <v>54</v>
      </c>
      <c r="V1533" s="38" t="s">
        <v>560</v>
      </c>
      <c r="Y1533" s="38">
        <v>64.64</v>
      </c>
      <c r="Z1533" s="38">
        <v>1</v>
      </c>
      <c r="AF1533" s="38">
        <v>64.64</v>
      </c>
      <c r="AK1533" s="14" t="e">
        <f t="shared" si="7"/>
        <v>#DIV/0!</v>
      </c>
      <c r="AL1533" s="38" t="s">
        <v>5582</v>
      </c>
      <c r="AM1533" s="38" t="s">
        <v>953</v>
      </c>
      <c r="AO1533" s="28" t="s">
        <v>5583</v>
      </c>
    </row>
    <row r="1534" spans="1:41" ht="12.5">
      <c r="A1534" s="28" t="s">
        <v>5584</v>
      </c>
      <c r="B1534" s="37">
        <v>45879</v>
      </c>
      <c r="C1534" s="29">
        <v>45885</v>
      </c>
      <c r="D1534" s="38" t="s">
        <v>41</v>
      </c>
      <c r="E1534" s="38" t="s">
        <v>5585</v>
      </c>
      <c r="G1534" s="38" t="s">
        <v>43</v>
      </c>
      <c r="H1534" s="38">
        <v>10.59</v>
      </c>
      <c r="I1534" s="38" t="s">
        <v>44</v>
      </c>
      <c r="J1534" s="38" t="s">
        <v>45</v>
      </c>
      <c r="K1534" s="38" t="s">
        <v>5586</v>
      </c>
      <c r="L1534" s="30" t="s">
        <v>58</v>
      </c>
      <c r="M1534" s="38" t="s">
        <v>48</v>
      </c>
      <c r="N1534" s="38" t="s">
        <v>48</v>
      </c>
      <c r="O1534" s="31" t="s">
        <v>5587</v>
      </c>
      <c r="P1534" s="28" t="s">
        <v>5588</v>
      </c>
      <c r="Q1534" s="38" t="s">
        <v>5589</v>
      </c>
      <c r="R1534" s="38">
        <v>1</v>
      </c>
      <c r="S1534" s="38" t="s">
        <v>3868</v>
      </c>
      <c r="T1534" s="38" t="s">
        <v>53</v>
      </c>
      <c r="U1534" s="38" t="s">
        <v>54</v>
      </c>
      <c r="V1534" s="38" t="s">
        <v>61</v>
      </c>
      <c r="Y1534" s="38">
        <v>84.38</v>
      </c>
      <c r="Z1534" s="38">
        <v>1</v>
      </c>
      <c r="AF1534" s="38"/>
      <c r="AK1534" s="14" t="e">
        <f t="shared" si="7"/>
        <v>#DIV/0!</v>
      </c>
      <c r="AM1534" s="38"/>
      <c r="AO1534" s="28"/>
    </row>
    <row r="1535" spans="1:41" ht="12.5">
      <c r="A1535" s="28" t="s">
        <v>5590</v>
      </c>
      <c r="B1535" s="37">
        <v>45872</v>
      </c>
      <c r="C1535" s="29">
        <v>45875</v>
      </c>
      <c r="D1535" s="38" t="s">
        <v>41</v>
      </c>
      <c r="E1535" s="38" t="s">
        <v>5591</v>
      </c>
      <c r="G1535" s="38" t="s">
        <v>43</v>
      </c>
      <c r="H1535" s="38">
        <v>15.26</v>
      </c>
      <c r="I1535" s="38" t="s">
        <v>44</v>
      </c>
      <c r="J1535" s="38" t="s">
        <v>45</v>
      </c>
      <c r="K1535" s="38" t="s">
        <v>5592</v>
      </c>
      <c r="L1535" s="30" t="s">
        <v>58</v>
      </c>
      <c r="M1535" s="38" t="s">
        <v>48</v>
      </c>
      <c r="N1535" s="38" t="s">
        <v>48</v>
      </c>
      <c r="O1535" s="31" t="s">
        <v>5419</v>
      </c>
      <c r="P1535" s="28" t="s">
        <v>5420</v>
      </c>
      <c r="Q1535" s="38" t="s">
        <v>5421</v>
      </c>
      <c r="R1535" s="38">
        <v>1</v>
      </c>
      <c r="S1535" s="38" t="s">
        <v>3884</v>
      </c>
      <c r="T1535" s="38" t="s">
        <v>53</v>
      </c>
      <c r="U1535" s="38" t="s">
        <v>54</v>
      </c>
      <c r="V1535" s="38" t="s">
        <v>55</v>
      </c>
      <c r="Y1535" s="38">
        <v>110.36</v>
      </c>
      <c r="Z1535" s="38">
        <v>1</v>
      </c>
      <c r="AF1535" s="38">
        <v>95.1</v>
      </c>
      <c r="AK1535" s="14" t="e">
        <f t="shared" si="7"/>
        <v>#DIV/0!</v>
      </c>
      <c r="AM1535" s="38"/>
      <c r="AO1535" s="28"/>
    </row>
    <row r="1536" spans="1:41" ht="14">
      <c r="A1536" s="28" t="s">
        <v>5593</v>
      </c>
      <c r="B1536" s="37">
        <v>45875</v>
      </c>
      <c r="C1536" s="29">
        <v>45881</v>
      </c>
      <c r="D1536" s="38" t="s">
        <v>41</v>
      </c>
      <c r="E1536" s="38" t="s">
        <v>5594</v>
      </c>
      <c r="G1536" s="38" t="s">
        <v>43</v>
      </c>
      <c r="H1536" s="38">
        <v>20.52</v>
      </c>
      <c r="I1536" s="38" t="s">
        <v>44</v>
      </c>
      <c r="J1536" s="38" t="s">
        <v>45</v>
      </c>
      <c r="K1536" s="38" t="s">
        <v>5595</v>
      </c>
      <c r="L1536" s="30" t="s">
        <v>47</v>
      </c>
      <c r="M1536" s="38" t="s">
        <v>48</v>
      </c>
      <c r="N1536" s="38" t="s">
        <v>48</v>
      </c>
      <c r="O1536" s="31" t="s">
        <v>911</v>
      </c>
      <c r="P1536" s="28" t="s">
        <v>912</v>
      </c>
      <c r="Q1536" s="38" t="s">
        <v>913</v>
      </c>
      <c r="R1536" s="38">
        <v>1</v>
      </c>
      <c r="S1536" s="38" t="s">
        <v>421</v>
      </c>
      <c r="T1536" s="38" t="s">
        <v>53</v>
      </c>
      <c r="U1536" s="38" t="s">
        <v>54</v>
      </c>
      <c r="V1536" s="38" t="s">
        <v>61</v>
      </c>
      <c r="Y1536" s="38">
        <v>268.54000000000002</v>
      </c>
      <c r="Z1536" s="38">
        <v>1</v>
      </c>
      <c r="AF1536" s="38"/>
      <c r="AK1536" s="14" t="e">
        <f t="shared" si="7"/>
        <v>#DIV/0!</v>
      </c>
      <c r="AL1536" s="53">
        <v>1000026232</v>
      </c>
      <c r="AM1536" s="38" t="s">
        <v>953</v>
      </c>
      <c r="AO1536" s="28"/>
    </row>
    <row r="1537" spans="1:42" ht="12.5">
      <c r="A1537" s="28" t="s">
        <v>5596</v>
      </c>
      <c r="B1537" s="37">
        <v>45880</v>
      </c>
      <c r="C1537" s="29">
        <v>45883</v>
      </c>
      <c r="D1537" s="38" t="s">
        <v>41</v>
      </c>
      <c r="E1537" s="38" t="s">
        <v>5597</v>
      </c>
      <c r="G1537" s="38" t="s">
        <v>43</v>
      </c>
      <c r="H1537" s="38">
        <v>11.98</v>
      </c>
      <c r="I1537" s="38" t="s">
        <v>44</v>
      </c>
      <c r="J1537" s="38" t="s">
        <v>45</v>
      </c>
      <c r="K1537" s="38" t="s">
        <v>5598</v>
      </c>
      <c r="L1537" s="30" t="s">
        <v>58</v>
      </c>
      <c r="M1537" s="38" t="s">
        <v>48</v>
      </c>
      <c r="N1537" s="38" t="s">
        <v>48</v>
      </c>
      <c r="O1537" s="31" t="s">
        <v>5599</v>
      </c>
      <c r="P1537" s="28" t="s">
        <v>5600</v>
      </c>
      <c r="Q1537" s="38" t="s">
        <v>5601</v>
      </c>
      <c r="R1537" s="38">
        <v>1</v>
      </c>
      <c r="S1537" s="38" t="s">
        <v>75</v>
      </c>
      <c r="T1537" s="38" t="s">
        <v>53</v>
      </c>
      <c r="U1537" s="38" t="s">
        <v>54</v>
      </c>
      <c r="V1537" s="38" t="s">
        <v>61</v>
      </c>
      <c r="X1537" s="61">
        <v>45890</v>
      </c>
      <c r="Y1537" s="38">
        <v>118.2</v>
      </c>
      <c r="Z1537" s="38">
        <v>1</v>
      </c>
      <c r="AF1537" s="38">
        <v>103.25</v>
      </c>
      <c r="AK1537" s="14" t="e">
        <f t="shared" si="7"/>
        <v>#DIV/0!</v>
      </c>
      <c r="AM1537" s="38"/>
      <c r="AO1537" s="28"/>
    </row>
    <row r="1538" spans="1:42" ht="12.5">
      <c r="A1538" s="28" t="s">
        <v>5602</v>
      </c>
      <c r="B1538" s="37">
        <v>45879</v>
      </c>
      <c r="C1538" s="29">
        <v>45882</v>
      </c>
      <c r="D1538" s="38" t="s">
        <v>41</v>
      </c>
      <c r="E1538" s="38" t="s">
        <v>5603</v>
      </c>
      <c r="G1538" s="38" t="s">
        <v>137</v>
      </c>
      <c r="H1538" s="38">
        <v>0</v>
      </c>
      <c r="I1538" s="38"/>
      <c r="J1538" s="38"/>
      <c r="K1538" s="38"/>
      <c r="L1538" s="30" t="s">
        <v>58</v>
      </c>
      <c r="M1538" s="38" t="s">
        <v>48</v>
      </c>
      <c r="N1538" s="38" t="s">
        <v>48</v>
      </c>
      <c r="O1538" s="31" t="s">
        <v>5604</v>
      </c>
      <c r="P1538" s="28" t="s">
        <v>5605</v>
      </c>
      <c r="Q1538" s="38" t="s">
        <v>5606</v>
      </c>
      <c r="R1538" s="38">
        <v>1</v>
      </c>
      <c r="S1538" s="38" t="s">
        <v>3868</v>
      </c>
      <c r="T1538" s="38" t="s">
        <v>53</v>
      </c>
      <c r="U1538" s="38" t="s">
        <v>54</v>
      </c>
      <c r="V1538" s="38" t="s">
        <v>61</v>
      </c>
      <c r="Y1538" s="38">
        <v>130.44</v>
      </c>
      <c r="Z1538" s="38">
        <v>1</v>
      </c>
      <c r="AF1538" s="38"/>
      <c r="AK1538" s="14" t="e">
        <f t="shared" si="7"/>
        <v>#DIV/0!</v>
      </c>
      <c r="AM1538" s="38"/>
      <c r="AO1538" s="28"/>
    </row>
    <row r="1539" spans="1:42" ht="12.5">
      <c r="A1539" s="28" t="s">
        <v>5607</v>
      </c>
      <c r="B1539" s="37">
        <v>45872</v>
      </c>
      <c r="C1539" s="29">
        <v>45882</v>
      </c>
      <c r="D1539" s="38" t="s">
        <v>41</v>
      </c>
      <c r="E1539" s="38" t="s">
        <v>5608</v>
      </c>
      <c r="G1539" s="38" t="s">
        <v>43</v>
      </c>
      <c r="H1539" s="38">
        <v>11.98</v>
      </c>
      <c r="I1539" s="38" t="s">
        <v>44</v>
      </c>
      <c r="J1539" s="38" t="s">
        <v>45</v>
      </c>
      <c r="K1539" s="38" t="s">
        <v>5609</v>
      </c>
      <c r="L1539" s="30" t="s">
        <v>58</v>
      </c>
      <c r="M1539" s="38" t="s">
        <v>48</v>
      </c>
      <c r="N1539" s="38" t="s">
        <v>48</v>
      </c>
      <c r="O1539" s="31" t="s">
        <v>1638</v>
      </c>
      <c r="P1539" s="28" t="s">
        <v>1639</v>
      </c>
      <c r="Q1539" s="38" t="s">
        <v>5425</v>
      </c>
      <c r="R1539" s="38">
        <v>1</v>
      </c>
      <c r="S1539" s="38" t="s">
        <v>68</v>
      </c>
      <c r="T1539" s="38" t="s">
        <v>53</v>
      </c>
      <c r="U1539" s="38" t="s">
        <v>54</v>
      </c>
      <c r="V1539" s="38" t="s">
        <v>55</v>
      </c>
      <c r="X1539" s="61">
        <v>45889</v>
      </c>
      <c r="Y1539" s="38">
        <v>109.24</v>
      </c>
      <c r="Z1539" s="38">
        <v>1</v>
      </c>
      <c r="AF1539" s="38">
        <v>97.26</v>
      </c>
      <c r="AK1539" s="14" t="e">
        <f t="shared" si="7"/>
        <v>#DIV/0!</v>
      </c>
      <c r="AM1539" s="38"/>
      <c r="AO1539" s="28"/>
    </row>
    <row r="1540" spans="1:42" ht="12.5">
      <c r="A1540" s="28" t="s">
        <v>5610</v>
      </c>
      <c r="B1540" s="37">
        <v>45869</v>
      </c>
      <c r="C1540" s="29">
        <v>45891</v>
      </c>
      <c r="D1540" s="38" t="s">
        <v>41</v>
      </c>
      <c r="E1540" s="38" t="s">
        <v>5611</v>
      </c>
      <c r="G1540" s="38" t="s">
        <v>43</v>
      </c>
      <c r="H1540" s="38">
        <v>12.9</v>
      </c>
      <c r="I1540" s="38" t="s">
        <v>44</v>
      </c>
      <c r="J1540" s="38" t="s">
        <v>45</v>
      </c>
      <c r="K1540" s="38" t="s">
        <v>5612</v>
      </c>
      <c r="L1540" s="30" t="s">
        <v>58</v>
      </c>
      <c r="M1540" s="38" t="s">
        <v>48</v>
      </c>
      <c r="N1540" s="38" t="s">
        <v>48</v>
      </c>
      <c r="O1540" s="31" t="s">
        <v>803</v>
      </c>
      <c r="P1540" s="28" t="s">
        <v>804</v>
      </c>
      <c r="Q1540" s="38" t="s">
        <v>805</v>
      </c>
      <c r="R1540" s="38">
        <v>1</v>
      </c>
      <c r="S1540" s="38" t="s">
        <v>59</v>
      </c>
      <c r="T1540" s="38" t="s">
        <v>53</v>
      </c>
      <c r="U1540" s="38" t="s">
        <v>54</v>
      </c>
      <c r="V1540" s="38" t="s">
        <v>61</v>
      </c>
      <c r="Y1540" s="38">
        <v>96.34</v>
      </c>
      <c r="Z1540" s="38">
        <v>1</v>
      </c>
      <c r="AF1540" s="38">
        <v>80.14</v>
      </c>
      <c r="AK1540" s="14" t="e">
        <f t="shared" si="7"/>
        <v>#DIV/0!</v>
      </c>
      <c r="AM1540" s="38"/>
      <c r="AO1540" s="28"/>
    </row>
    <row r="1541" spans="1:42" ht="12.5">
      <c r="A1541" s="28" t="s">
        <v>5613</v>
      </c>
      <c r="B1541" s="37">
        <v>45864</v>
      </c>
      <c r="C1541" s="29">
        <v>45874</v>
      </c>
      <c r="D1541" s="38" t="s">
        <v>41</v>
      </c>
      <c r="E1541" s="38" t="s">
        <v>5614</v>
      </c>
      <c r="G1541" s="38" t="s">
        <v>43</v>
      </c>
      <c r="H1541" s="38">
        <v>16.78</v>
      </c>
      <c r="I1541" s="38" t="s">
        <v>44</v>
      </c>
      <c r="J1541" s="38" t="s">
        <v>45</v>
      </c>
      <c r="K1541" s="38" t="s">
        <v>5615</v>
      </c>
      <c r="L1541" s="30" t="s">
        <v>58</v>
      </c>
      <c r="M1541" s="38" t="s">
        <v>48</v>
      </c>
      <c r="N1541" s="38" t="s">
        <v>48</v>
      </c>
      <c r="O1541" s="31" t="s">
        <v>1566</v>
      </c>
      <c r="P1541" s="28" t="s">
        <v>1567</v>
      </c>
      <c r="Q1541" s="38" t="s">
        <v>1568</v>
      </c>
      <c r="R1541" s="38">
        <v>1</v>
      </c>
      <c r="S1541" s="38" t="s">
        <v>75</v>
      </c>
      <c r="T1541" s="38" t="s">
        <v>53</v>
      </c>
      <c r="U1541" s="38" t="s">
        <v>54</v>
      </c>
      <c r="V1541" s="38" t="s">
        <v>61</v>
      </c>
      <c r="X1541" s="61">
        <v>45888</v>
      </c>
      <c r="Y1541" s="38">
        <v>129.85</v>
      </c>
      <c r="Z1541" s="38">
        <v>1</v>
      </c>
      <c r="AF1541" s="38">
        <v>113.93</v>
      </c>
      <c r="AK1541" s="14" t="e">
        <f t="shared" si="7"/>
        <v>#DIV/0!</v>
      </c>
      <c r="AM1541" s="38"/>
      <c r="AO1541" s="28"/>
    </row>
    <row r="1542" spans="1:42" ht="12.5">
      <c r="A1542" s="28" t="s">
        <v>5616</v>
      </c>
      <c r="B1542" s="37">
        <v>45869</v>
      </c>
      <c r="C1542" s="29">
        <v>45871</v>
      </c>
      <c r="D1542" s="38" t="s">
        <v>41</v>
      </c>
      <c r="E1542" s="38" t="s">
        <v>5617</v>
      </c>
      <c r="G1542" s="38" t="s">
        <v>43</v>
      </c>
      <c r="H1542" s="38">
        <v>7.84</v>
      </c>
      <c r="I1542" s="38" t="s">
        <v>44</v>
      </c>
      <c r="J1542" s="38" t="s">
        <v>45</v>
      </c>
      <c r="K1542" s="38" t="s">
        <v>5618</v>
      </c>
      <c r="L1542" s="30" t="s">
        <v>58</v>
      </c>
      <c r="M1542" s="38" t="s">
        <v>48</v>
      </c>
      <c r="N1542" s="38" t="s">
        <v>48</v>
      </c>
      <c r="O1542" s="63" t="s">
        <v>848</v>
      </c>
      <c r="P1542" s="28" t="s">
        <v>849</v>
      </c>
      <c r="Q1542" s="38" t="s">
        <v>850</v>
      </c>
      <c r="R1542" s="38">
        <v>1</v>
      </c>
      <c r="S1542" s="38" t="s">
        <v>3884</v>
      </c>
      <c r="T1542" s="38" t="s">
        <v>53</v>
      </c>
      <c r="U1542" s="38" t="s">
        <v>54</v>
      </c>
      <c r="V1542" s="38" t="s">
        <v>61</v>
      </c>
      <c r="Y1542" s="38">
        <v>694.96</v>
      </c>
      <c r="Z1542" s="38"/>
      <c r="AF1542" s="38">
        <v>595.79999999999995</v>
      </c>
      <c r="AK1542" s="14" t="e">
        <f t="shared" si="7"/>
        <v>#DIV/0!</v>
      </c>
      <c r="AM1542" s="38"/>
      <c r="AO1542" s="28"/>
    </row>
    <row r="1543" spans="1:42" ht="12.5">
      <c r="A1543" s="28" t="s">
        <v>5616</v>
      </c>
      <c r="B1543" s="37">
        <v>45869</v>
      </c>
      <c r="C1543" s="29">
        <v>45871</v>
      </c>
      <c r="D1543" s="38" t="s">
        <v>41</v>
      </c>
      <c r="E1543" s="38" t="s">
        <v>5619</v>
      </c>
      <c r="G1543" s="38" t="s">
        <v>43</v>
      </c>
      <c r="H1543" s="38">
        <v>7.84</v>
      </c>
      <c r="I1543" s="38" t="s">
        <v>44</v>
      </c>
      <c r="J1543" s="38" t="s">
        <v>45</v>
      </c>
      <c r="K1543" s="38" t="s">
        <v>5620</v>
      </c>
      <c r="L1543" s="30" t="s">
        <v>58</v>
      </c>
      <c r="M1543" s="38" t="s">
        <v>48</v>
      </c>
      <c r="N1543" s="38" t="s">
        <v>48</v>
      </c>
      <c r="O1543" s="63" t="s">
        <v>848</v>
      </c>
      <c r="P1543" s="28" t="s">
        <v>849</v>
      </c>
      <c r="Q1543" s="38" t="s">
        <v>850</v>
      </c>
      <c r="R1543" s="38">
        <v>1</v>
      </c>
      <c r="S1543" s="38" t="s">
        <v>3884</v>
      </c>
      <c r="T1543" s="38" t="s">
        <v>53</v>
      </c>
      <c r="U1543" s="38" t="s">
        <v>54</v>
      </c>
      <c r="V1543" s="38" t="s">
        <v>61</v>
      </c>
      <c r="Y1543" s="38">
        <v>694.96</v>
      </c>
      <c r="Z1543" s="38">
        <v>4</v>
      </c>
      <c r="AF1543" s="38">
        <v>631.55999999999995</v>
      </c>
      <c r="AK1543" s="14" t="e">
        <f t="shared" si="7"/>
        <v>#DIV/0!</v>
      </c>
      <c r="AM1543" s="38"/>
      <c r="AO1543" s="28"/>
    </row>
    <row r="1544" spans="1:42" ht="12.5">
      <c r="A1544" s="28" t="s">
        <v>5616</v>
      </c>
      <c r="B1544" s="37">
        <v>45869</v>
      </c>
      <c r="C1544" s="29">
        <v>45871</v>
      </c>
      <c r="D1544" s="38" t="s">
        <v>41</v>
      </c>
      <c r="E1544" s="38" t="s">
        <v>5621</v>
      </c>
      <c r="G1544" s="38" t="s">
        <v>43</v>
      </c>
      <c r="H1544" s="38">
        <v>7.84</v>
      </c>
      <c r="I1544" s="38" t="s">
        <v>44</v>
      </c>
      <c r="J1544" s="38" t="s">
        <v>45</v>
      </c>
      <c r="K1544" s="38" t="s">
        <v>5622</v>
      </c>
      <c r="L1544" s="30" t="s">
        <v>58</v>
      </c>
      <c r="M1544" s="38" t="s">
        <v>48</v>
      </c>
      <c r="N1544" s="38" t="s">
        <v>48</v>
      </c>
      <c r="O1544" s="63" t="s">
        <v>848</v>
      </c>
      <c r="P1544" s="28" t="s">
        <v>849</v>
      </c>
      <c r="Q1544" s="38" t="s">
        <v>850</v>
      </c>
      <c r="R1544" s="38">
        <v>1</v>
      </c>
      <c r="S1544" s="38" t="s">
        <v>3884</v>
      </c>
      <c r="T1544" s="38" t="s">
        <v>53</v>
      </c>
      <c r="U1544" s="38" t="s">
        <v>54</v>
      </c>
      <c r="V1544" s="38" t="s">
        <v>61</v>
      </c>
      <c r="Y1544" s="38">
        <v>694.96</v>
      </c>
      <c r="Z1544" s="38"/>
      <c r="AF1544" s="38"/>
      <c r="AK1544" s="14" t="e">
        <f t="shared" si="7"/>
        <v>#DIV/0!</v>
      </c>
      <c r="AM1544" s="38"/>
      <c r="AO1544" s="28"/>
    </row>
    <row r="1545" spans="1:42" ht="12.5">
      <c r="A1545" s="28" t="s">
        <v>5616</v>
      </c>
      <c r="B1545" s="37">
        <v>45869</v>
      </c>
      <c r="C1545" s="29">
        <v>45871</v>
      </c>
      <c r="D1545" s="38" t="s">
        <v>41</v>
      </c>
      <c r="E1545" s="38" t="s">
        <v>5623</v>
      </c>
      <c r="G1545" s="38" t="s">
        <v>43</v>
      </c>
      <c r="H1545" s="38">
        <v>7.84</v>
      </c>
      <c r="I1545" s="38" t="s">
        <v>44</v>
      </c>
      <c r="J1545" s="38" t="s">
        <v>45</v>
      </c>
      <c r="K1545" s="38" t="s">
        <v>5624</v>
      </c>
      <c r="L1545" s="30" t="s">
        <v>58</v>
      </c>
      <c r="M1545" s="38" t="s">
        <v>48</v>
      </c>
      <c r="N1545" s="38" t="s">
        <v>48</v>
      </c>
      <c r="O1545" s="63" t="s">
        <v>848</v>
      </c>
      <c r="P1545" s="28" t="s">
        <v>849</v>
      </c>
      <c r="Q1545" s="38" t="s">
        <v>850</v>
      </c>
      <c r="R1545" s="38">
        <v>1</v>
      </c>
      <c r="S1545" s="38" t="s">
        <v>3884</v>
      </c>
      <c r="T1545" s="38" t="s">
        <v>53</v>
      </c>
      <c r="U1545" s="38" t="s">
        <v>54</v>
      </c>
      <c r="V1545" s="38" t="s">
        <v>61</v>
      </c>
      <c r="Y1545" s="38">
        <v>694.96</v>
      </c>
      <c r="Z1545" s="38">
        <v>4</v>
      </c>
      <c r="AF1545" s="38"/>
      <c r="AK1545" s="14" t="e">
        <f t="shared" si="7"/>
        <v>#DIV/0!</v>
      </c>
      <c r="AM1545" s="38"/>
      <c r="AO1545" s="28"/>
    </row>
    <row r="1546" spans="1:42" ht="12.5">
      <c r="A1546" s="28" t="s">
        <v>5625</v>
      </c>
      <c r="B1546" s="37">
        <v>45887</v>
      </c>
      <c r="C1546" s="29">
        <v>45891</v>
      </c>
      <c r="D1546" s="38" t="s">
        <v>41</v>
      </c>
      <c r="E1546" s="38" t="s">
        <v>5626</v>
      </c>
      <c r="G1546" s="38" t="s">
        <v>43</v>
      </c>
      <c r="H1546" s="38">
        <v>18.37</v>
      </c>
      <c r="I1546" s="38" t="s">
        <v>44</v>
      </c>
      <c r="J1546" s="38" t="s">
        <v>45</v>
      </c>
      <c r="K1546" s="38" t="s">
        <v>5627</v>
      </c>
      <c r="L1546" s="30" t="s">
        <v>58</v>
      </c>
      <c r="M1546" s="38" t="s">
        <v>48</v>
      </c>
      <c r="N1546" s="38" t="s">
        <v>48</v>
      </c>
      <c r="O1546" s="31" t="s">
        <v>809</v>
      </c>
      <c r="P1546" s="28" t="s">
        <v>810</v>
      </c>
      <c r="Q1546" s="38" t="s">
        <v>811</v>
      </c>
      <c r="R1546" s="38">
        <v>1</v>
      </c>
      <c r="S1546" s="38" t="s">
        <v>3878</v>
      </c>
      <c r="T1546" s="38" t="s">
        <v>53</v>
      </c>
      <c r="U1546" s="38" t="s">
        <v>54</v>
      </c>
      <c r="V1546" s="38" t="s">
        <v>55</v>
      </c>
      <c r="Y1546" s="38">
        <v>118.25</v>
      </c>
      <c r="Z1546" s="38">
        <v>1</v>
      </c>
      <c r="AF1546" s="38">
        <v>99.88</v>
      </c>
      <c r="AK1546" s="14" t="e">
        <f t="shared" si="7"/>
        <v>#DIV/0!</v>
      </c>
      <c r="AM1546" s="38"/>
      <c r="AO1546" s="28"/>
    </row>
    <row r="1547" spans="1:42" ht="12.5">
      <c r="A1547" s="28" t="s">
        <v>5628</v>
      </c>
      <c r="B1547" s="37">
        <v>45881</v>
      </c>
      <c r="C1547" s="29">
        <v>45884</v>
      </c>
      <c r="D1547" s="38" t="s">
        <v>41</v>
      </c>
      <c r="E1547" s="38" t="s">
        <v>5629</v>
      </c>
      <c r="G1547" s="38" t="s">
        <v>43</v>
      </c>
      <c r="H1547" s="38">
        <v>24.05</v>
      </c>
      <c r="I1547" s="38" t="s">
        <v>44</v>
      </c>
      <c r="J1547" s="38" t="s">
        <v>45</v>
      </c>
      <c r="K1547" s="38" t="s">
        <v>5630</v>
      </c>
      <c r="L1547" s="30" t="s">
        <v>58</v>
      </c>
      <c r="M1547" s="38" t="s">
        <v>48</v>
      </c>
      <c r="N1547" s="38" t="s">
        <v>48</v>
      </c>
      <c r="O1547" s="31" t="s">
        <v>3238</v>
      </c>
      <c r="P1547" s="28" t="s">
        <v>3239</v>
      </c>
      <c r="Q1547" s="38" t="s">
        <v>5631</v>
      </c>
      <c r="R1547" s="38">
        <v>1</v>
      </c>
      <c r="S1547" s="38" t="s">
        <v>3884</v>
      </c>
      <c r="T1547" s="38" t="s">
        <v>53</v>
      </c>
      <c r="U1547" s="38" t="s">
        <v>54</v>
      </c>
      <c r="V1547" s="38" t="s">
        <v>61</v>
      </c>
      <c r="X1547" s="61">
        <v>45890</v>
      </c>
      <c r="Y1547" s="38">
        <v>326.93</v>
      </c>
      <c r="Z1547" s="38">
        <v>1</v>
      </c>
      <c r="AF1547" s="38">
        <v>296.98</v>
      </c>
      <c r="AK1547" s="14" t="e">
        <f t="shared" si="7"/>
        <v>#DIV/0!</v>
      </c>
      <c r="AM1547" s="38"/>
      <c r="AO1547" s="28"/>
    </row>
    <row r="1548" spans="1:42" ht="12.5">
      <c r="A1548" s="28" t="s">
        <v>5632</v>
      </c>
      <c r="B1548" s="37">
        <v>45887</v>
      </c>
      <c r="C1548" s="29">
        <v>45889</v>
      </c>
      <c r="D1548" s="38" t="s">
        <v>41</v>
      </c>
      <c r="E1548" s="38" t="s">
        <v>5633</v>
      </c>
      <c r="G1548" s="38" t="s">
        <v>137</v>
      </c>
      <c r="H1548" s="38">
        <v>0</v>
      </c>
      <c r="I1548" s="38"/>
      <c r="J1548" s="38"/>
      <c r="K1548" s="38"/>
      <c r="L1548" s="30" t="s">
        <v>58</v>
      </c>
      <c r="M1548" s="38" t="s">
        <v>48</v>
      </c>
      <c r="N1548" s="38" t="s">
        <v>48</v>
      </c>
      <c r="O1548" s="63" t="s">
        <v>2352</v>
      </c>
      <c r="P1548" s="28" t="s">
        <v>2353</v>
      </c>
      <c r="Q1548" s="38" t="s">
        <v>2354</v>
      </c>
      <c r="R1548" s="38">
        <v>1</v>
      </c>
      <c r="S1548" s="38" t="s">
        <v>3878</v>
      </c>
      <c r="T1548" s="38" t="s">
        <v>53</v>
      </c>
      <c r="U1548" s="38" t="s">
        <v>54</v>
      </c>
      <c r="V1548" s="38" t="s">
        <v>61</v>
      </c>
      <c r="Y1548" s="38">
        <v>134.12</v>
      </c>
      <c r="Z1548" s="38">
        <v>1</v>
      </c>
      <c r="AF1548" s="38">
        <v>117.94</v>
      </c>
      <c r="AK1548" s="14" t="e">
        <f t="shared" si="7"/>
        <v>#DIV/0!</v>
      </c>
      <c r="AM1548" s="38"/>
      <c r="AO1548" s="28"/>
    </row>
    <row r="1549" spans="1:42" ht="12.5">
      <c r="A1549" s="28" t="s">
        <v>5634</v>
      </c>
      <c r="B1549" s="37">
        <v>45881</v>
      </c>
      <c r="C1549" s="29">
        <v>45888</v>
      </c>
      <c r="D1549" s="38" t="s">
        <v>41</v>
      </c>
      <c r="E1549" s="38" t="s">
        <v>5635</v>
      </c>
      <c r="G1549" s="38" t="s">
        <v>137</v>
      </c>
      <c r="H1549" s="38">
        <v>0</v>
      </c>
      <c r="I1549" s="38"/>
      <c r="J1549" s="38"/>
      <c r="K1549" s="38"/>
      <c r="L1549" s="30" t="s">
        <v>58</v>
      </c>
      <c r="M1549" s="38" t="s">
        <v>48</v>
      </c>
      <c r="N1549" s="38" t="s">
        <v>48</v>
      </c>
      <c r="O1549" s="63" t="s">
        <v>2352</v>
      </c>
      <c r="P1549" s="28" t="s">
        <v>2353</v>
      </c>
      <c r="Q1549" s="38" t="s">
        <v>2354</v>
      </c>
      <c r="R1549" s="38">
        <v>1</v>
      </c>
      <c r="S1549" s="38" t="s">
        <v>3868</v>
      </c>
      <c r="T1549" s="38" t="s">
        <v>53</v>
      </c>
      <c r="U1549" s="38" t="s">
        <v>54</v>
      </c>
      <c r="V1549" s="38" t="s">
        <v>61</v>
      </c>
      <c r="Y1549" s="38">
        <v>132.11000000000001</v>
      </c>
      <c r="Z1549" s="38">
        <v>1</v>
      </c>
      <c r="AF1549" s="38"/>
      <c r="AK1549" s="14" t="e">
        <f t="shared" si="7"/>
        <v>#DIV/0!</v>
      </c>
      <c r="AM1549" s="38"/>
      <c r="AO1549" s="28"/>
    </row>
    <row r="1550" spans="1:42" ht="12.5">
      <c r="A1550" s="28" t="s">
        <v>5636</v>
      </c>
      <c r="B1550" s="37">
        <v>45874</v>
      </c>
      <c r="C1550" s="29">
        <v>45878</v>
      </c>
      <c r="D1550" s="38" t="s">
        <v>41</v>
      </c>
      <c r="E1550" s="38" t="s">
        <v>5637</v>
      </c>
      <c r="G1550" s="38" t="s">
        <v>43</v>
      </c>
      <c r="H1550" s="38">
        <v>14.32</v>
      </c>
      <c r="I1550" s="38" t="s">
        <v>44</v>
      </c>
      <c r="J1550" s="38" t="s">
        <v>45</v>
      </c>
      <c r="K1550" s="38" t="s">
        <v>5638</v>
      </c>
      <c r="L1550" s="30" t="s">
        <v>58</v>
      </c>
      <c r="M1550" s="38" t="s">
        <v>48</v>
      </c>
      <c r="N1550" s="38" t="s">
        <v>48</v>
      </c>
      <c r="O1550" s="31" t="s">
        <v>5639</v>
      </c>
      <c r="P1550" s="28" t="s">
        <v>5640</v>
      </c>
      <c r="Q1550" s="38" t="s">
        <v>5641</v>
      </c>
      <c r="R1550" s="38">
        <v>1</v>
      </c>
      <c r="S1550" s="38" t="s">
        <v>59</v>
      </c>
      <c r="T1550" s="38" t="s">
        <v>53</v>
      </c>
      <c r="U1550" s="38" t="s">
        <v>54</v>
      </c>
      <c r="V1550" s="38" t="s">
        <v>55</v>
      </c>
      <c r="Y1550" s="38">
        <v>449</v>
      </c>
      <c r="Z1550" s="38">
        <v>4</v>
      </c>
      <c r="AF1550" s="38">
        <v>97.93</v>
      </c>
      <c r="AK1550" s="14" t="e">
        <f t="shared" si="7"/>
        <v>#DIV/0!</v>
      </c>
      <c r="AM1550" s="38"/>
      <c r="AO1550" s="28"/>
    </row>
    <row r="1551" spans="1:42" ht="12.5">
      <c r="A1551" s="28" t="s">
        <v>5642</v>
      </c>
      <c r="B1551" s="37">
        <v>45888</v>
      </c>
      <c r="C1551" s="29">
        <v>45891</v>
      </c>
      <c r="D1551" s="38" t="s">
        <v>41</v>
      </c>
      <c r="E1551" s="38" t="s">
        <v>5643</v>
      </c>
      <c r="G1551" s="38" t="s">
        <v>43</v>
      </c>
      <c r="H1551" s="38">
        <v>13.84</v>
      </c>
      <c r="I1551" s="38" t="s">
        <v>44</v>
      </c>
      <c r="J1551" s="38" t="s">
        <v>45</v>
      </c>
      <c r="K1551" s="38" t="s">
        <v>5644</v>
      </c>
      <c r="L1551" s="30" t="s">
        <v>58</v>
      </c>
      <c r="M1551" s="38" t="s">
        <v>48</v>
      </c>
      <c r="N1551" s="38" t="s">
        <v>48</v>
      </c>
      <c r="O1551" s="63" t="s">
        <v>5355</v>
      </c>
      <c r="P1551" s="28" t="s">
        <v>5356</v>
      </c>
      <c r="Q1551" s="38" t="s">
        <v>5357</v>
      </c>
      <c r="R1551" s="38">
        <v>1</v>
      </c>
      <c r="S1551" s="38" t="s">
        <v>59</v>
      </c>
      <c r="T1551" s="38" t="s">
        <v>53</v>
      </c>
      <c r="U1551" s="38" t="s">
        <v>54</v>
      </c>
      <c r="V1551" s="38" t="s">
        <v>55</v>
      </c>
      <c r="Y1551" s="38">
        <v>97.67</v>
      </c>
      <c r="Z1551" s="38">
        <v>1</v>
      </c>
      <c r="AF1551" s="38">
        <v>83.83</v>
      </c>
      <c r="AK1551" s="14" t="e">
        <f t="shared" si="7"/>
        <v>#DIV/0!</v>
      </c>
      <c r="AM1551" s="38"/>
      <c r="AO1551" s="28"/>
      <c r="AP1551" s="42" t="s">
        <v>5645</v>
      </c>
    </row>
    <row r="1552" spans="1:42" ht="12.5">
      <c r="A1552" s="28" t="s">
        <v>5646</v>
      </c>
      <c r="B1552" s="37">
        <v>45875</v>
      </c>
      <c r="C1552" s="29">
        <v>45880</v>
      </c>
      <c r="D1552" s="38" t="s">
        <v>41</v>
      </c>
      <c r="E1552" s="38" t="s">
        <v>5647</v>
      </c>
      <c r="G1552" s="38" t="s">
        <v>43</v>
      </c>
      <c r="H1552" s="38">
        <v>13.84</v>
      </c>
      <c r="I1552" s="38" t="s">
        <v>44</v>
      </c>
      <c r="J1552" s="38" t="s">
        <v>45</v>
      </c>
      <c r="K1552" s="38" t="s">
        <v>5648</v>
      </c>
      <c r="L1552" s="30" t="s">
        <v>47</v>
      </c>
      <c r="M1552" s="38" t="s">
        <v>48</v>
      </c>
      <c r="N1552" s="38" t="s">
        <v>48</v>
      </c>
      <c r="O1552" s="63" t="s">
        <v>5355</v>
      </c>
      <c r="P1552" s="28" t="s">
        <v>5356</v>
      </c>
      <c r="Q1552" s="38" t="s">
        <v>5357</v>
      </c>
      <c r="R1552" s="38">
        <v>1</v>
      </c>
      <c r="S1552" s="38" t="s">
        <v>82</v>
      </c>
      <c r="T1552" s="38" t="s">
        <v>53</v>
      </c>
      <c r="U1552" s="38" t="s">
        <v>54</v>
      </c>
      <c r="V1552" s="38" t="s">
        <v>560</v>
      </c>
      <c r="Y1552" s="38">
        <v>96.95</v>
      </c>
      <c r="Z1552" s="38">
        <v>1</v>
      </c>
      <c r="AF1552" s="38"/>
      <c r="AK1552" s="14" t="e">
        <f t="shared" si="7"/>
        <v>#DIV/0!</v>
      </c>
      <c r="AL1552" s="38" t="s">
        <v>5649</v>
      </c>
      <c r="AM1552" s="38" t="s">
        <v>953</v>
      </c>
      <c r="AO1552" s="28" t="s">
        <v>5650</v>
      </c>
    </row>
    <row r="1553" spans="1:42" ht="12.5">
      <c r="A1553" s="28" t="s">
        <v>5651</v>
      </c>
      <c r="B1553" s="37">
        <v>45872</v>
      </c>
      <c r="C1553" s="29">
        <v>45879</v>
      </c>
      <c r="D1553" s="38" t="s">
        <v>41</v>
      </c>
      <c r="E1553" s="38" t="s">
        <v>5652</v>
      </c>
      <c r="G1553" s="38" t="s">
        <v>43</v>
      </c>
      <c r="H1553" s="38">
        <v>13.84</v>
      </c>
      <c r="I1553" s="38" t="s">
        <v>44</v>
      </c>
      <c r="J1553" s="38" t="s">
        <v>45</v>
      </c>
      <c r="K1553" s="38" t="s">
        <v>5653</v>
      </c>
      <c r="L1553" s="30" t="s">
        <v>58</v>
      </c>
      <c r="M1553" s="38" t="s">
        <v>48</v>
      </c>
      <c r="N1553" s="38" t="s">
        <v>48</v>
      </c>
      <c r="O1553" s="63" t="s">
        <v>5355</v>
      </c>
      <c r="P1553" s="28" t="s">
        <v>5356</v>
      </c>
      <c r="Q1553" s="38" t="s">
        <v>5357</v>
      </c>
      <c r="R1553" s="38">
        <v>1</v>
      </c>
      <c r="S1553" s="38" t="s">
        <v>59</v>
      </c>
      <c r="T1553" s="38" t="s">
        <v>53</v>
      </c>
      <c r="U1553" s="38" t="s">
        <v>54</v>
      </c>
      <c r="V1553" s="38" t="s">
        <v>55</v>
      </c>
      <c r="Y1553" s="38">
        <v>98.68</v>
      </c>
      <c r="Z1553" s="38">
        <v>1</v>
      </c>
      <c r="AF1553" s="38">
        <v>84.84</v>
      </c>
      <c r="AK1553" s="14" t="e">
        <f t="shared" si="7"/>
        <v>#DIV/0!</v>
      </c>
      <c r="AM1553" s="38"/>
      <c r="AO1553" s="28"/>
    </row>
    <row r="1554" spans="1:42" ht="12.5">
      <c r="A1554" s="28" t="s">
        <v>5654</v>
      </c>
      <c r="B1554" s="37">
        <v>45880</v>
      </c>
      <c r="C1554" s="29">
        <v>45888</v>
      </c>
      <c r="D1554" s="38" t="s">
        <v>41</v>
      </c>
      <c r="E1554" s="38" t="s">
        <v>5655</v>
      </c>
      <c r="G1554" s="38" t="s">
        <v>43</v>
      </c>
      <c r="H1554" s="38">
        <v>14.32</v>
      </c>
      <c r="I1554" s="38" t="s">
        <v>44</v>
      </c>
      <c r="J1554" s="38" t="s">
        <v>45</v>
      </c>
      <c r="K1554" s="38" t="s">
        <v>5656</v>
      </c>
      <c r="L1554" s="30" t="s">
        <v>58</v>
      </c>
      <c r="M1554" s="38" t="s">
        <v>48</v>
      </c>
      <c r="N1554" s="38" t="s">
        <v>48</v>
      </c>
      <c r="O1554" s="31" t="s">
        <v>842</v>
      </c>
      <c r="P1554" s="28" t="s">
        <v>843</v>
      </c>
      <c r="Q1554" s="38" t="s">
        <v>844</v>
      </c>
      <c r="R1554" s="38">
        <v>1</v>
      </c>
      <c r="S1554" s="38" t="s">
        <v>3868</v>
      </c>
      <c r="T1554" s="38" t="s">
        <v>53</v>
      </c>
      <c r="U1554" s="38" t="s">
        <v>54</v>
      </c>
      <c r="V1554" s="38" t="s">
        <v>61</v>
      </c>
      <c r="Y1554" s="38">
        <v>103.28</v>
      </c>
      <c r="Z1554" s="38">
        <v>1</v>
      </c>
      <c r="AF1554" s="38"/>
      <c r="AK1554" s="14" t="e">
        <f t="shared" si="7"/>
        <v>#DIV/0!</v>
      </c>
      <c r="AM1554" s="38"/>
      <c r="AO1554" s="28"/>
    </row>
    <row r="1555" spans="1:42" ht="12.5">
      <c r="A1555" s="28" t="s">
        <v>5657</v>
      </c>
      <c r="B1555" s="37">
        <v>45882</v>
      </c>
      <c r="C1555" s="29">
        <v>45886</v>
      </c>
      <c r="D1555" s="38" t="s">
        <v>41</v>
      </c>
      <c r="E1555" s="38" t="s">
        <v>5658</v>
      </c>
      <c r="G1555" s="38" t="s">
        <v>43</v>
      </c>
      <c r="H1555" s="38">
        <v>16.34</v>
      </c>
      <c r="I1555" s="38" t="s">
        <v>44</v>
      </c>
      <c r="J1555" s="38" t="s">
        <v>45</v>
      </c>
      <c r="K1555" s="38" t="s">
        <v>5659</v>
      </c>
      <c r="L1555" s="30" t="s">
        <v>58</v>
      </c>
      <c r="M1555" s="38" t="s">
        <v>48</v>
      </c>
      <c r="N1555" s="38" t="s">
        <v>48</v>
      </c>
      <c r="O1555" s="63" t="s">
        <v>1584</v>
      </c>
      <c r="P1555" s="28" t="s">
        <v>1585</v>
      </c>
      <c r="Q1555" s="38" t="s">
        <v>1586</v>
      </c>
      <c r="R1555" s="38">
        <v>1</v>
      </c>
      <c r="S1555" s="38" t="s">
        <v>3878</v>
      </c>
      <c r="T1555" s="38" t="s">
        <v>53</v>
      </c>
      <c r="U1555" s="38" t="s">
        <v>54</v>
      </c>
      <c r="V1555" s="38" t="s">
        <v>55</v>
      </c>
      <c r="X1555" s="61">
        <v>45894</v>
      </c>
      <c r="Y1555" s="38">
        <v>117.99</v>
      </c>
      <c r="Z1555" s="38">
        <v>1</v>
      </c>
      <c r="AF1555" s="38">
        <v>101.65</v>
      </c>
      <c r="AK1555" s="14" t="e">
        <f t="shared" si="7"/>
        <v>#DIV/0!</v>
      </c>
      <c r="AM1555" s="38"/>
      <c r="AO1555" s="28"/>
    </row>
    <row r="1556" spans="1:42" ht="50">
      <c r="A1556" s="28" t="s">
        <v>5660</v>
      </c>
      <c r="B1556" s="37">
        <v>45877</v>
      </c>
      <c r="C1556" s="29">
        <v>45881</v>
      </c>
      <c r="D1556" s="38" t="s">
        <v>41</v>
      </c>
      <c r="E1556" s="38" t="s">
        <v>5661</v>
      </c>
      <c r="G1556" s="38" t="s">
        <v>43</v>
      </c>
      <c r="H1556" s="38">
        <v>16.34</v>
      </c>
      <c r="I1556" s="38" t="s">
        <v>44</v>
      </c>
      <c r="J1556" s="38" t="s">
        <v>45</v>
      </c>
      <c r="K1556" s="38" t="s">
        <v>5662</v>
      </c>
      <c r="L1556" s="30" t="s">
        <v>47</v>
      </c>
      <c r="M1556" s="38" t="s">
        <v>48</v>
      </c>
      <c r="N1556" s="38" t="s">
        <v>48</v>
      </c>
      <c r="O1556" s="63" t="s">
        <v>1584</v>
      </c>
      <c r="P1556" s="28" t="s">
        <v>1585</v>
      </c>
      <c r="Q1556" s="38" t="s">
        <v>1586</v>
      </c>
      <c r="R1556" s="38">
        <v>1</v>
      </c>
      <c r="S1556" s="38" t="s">
        <v>421</v>
      </c>
      <c r="T1556" s="38" t="s">
        <v>53</v>
      </c>
      <c r="U1556" s="38" t="s">
        <v>54</v>
      </c>
      <c r="V1556" s="38" t="s">
        <v>560</v>
      </c>
      <c r="Y1556" s="38">
        <v>107.08</v>
      </c>
      <c r="Z1556" s="38">
        <v>1</v>
      </c>
      <c r="AF1556" s="38"/>
      <c r="AK1556" s="14" t="e">
        <f t="shared" si="7"/>
        <v>#DIV/0!</v>
      </c>
      <c r="AL1556" s="67" t="s">
        <v>5663</v>
      </c>
      <c r="AM1556" s="38" t="s">
        <v>953</v>
      </c>
      <c r="AO1556" s="28" t="s">
        <v>5664</v>
      </c>
      <c r="AP1556" s="38" t="s">
        <v>5665</v>
      </c>
    </row>
    <row r="1557" spans="1:42" ht="12.5">
      <c r="A1557" s="28" t="s">
        <v>5666</v>
      </c>
      <c r="B1557" s="37">
        <v>45868</v>
      </c>
      <c r="C1557" s="29">
        <v>45874</v>
      </c>
      <c r="D1557" s="38" t="s">
        <v>41</v>
      </c>
      <c r="E1557" s="38" t="s">
        <v>5667</v>
      </c>
      <c r="G1557" s="38" t="s">
        <v>43</v>
      </c>
      <c r="H1557" s="38">
        <v>11.73</v>
      </c>
      <c r="I1557" s="38" t="s">
        <v>44</v>
      </c>
      <c r="J1557" s="38" t="s">
        <v>45</v>
      </c>
      <c r="K1557" s="38" t="s">
        <v>5668</v>
      </c>
      <c r="L1557" s="30" t="s">
        <v>58</v>
      </c>
      <c r="M1557" s="38" t="s">
        <v>48</v>
      </c>
      <c r="N1557" s="38" t="s">
        <v>48</v>
      </c>
      <c r="O1557" s="68" t="s">
        <v>2358</v>
      </c>
      <c r="P1557" s="28" t="s">
        <v>2359</v>
      </c>
      <c r="Q1557" s="38" t="s">
        <v>2360</v>
      </c>
      <c r="R1557" s="38">
        <v>1</v>
      </c>
      <c r="S1557" s="38" t="s">
        <v>3878</v>
      </c>
      <c r="T1557" s="38" t="s">
        <v>53</v>
      </c>
      <c r="U1557" s="38" t="s">
        <v>54</v>
      </c>
      <c r="V1557" s="38" t="s">
        <v>55</v>
      </c>
      <c r="Y1557" s="38">
        <v>104.66</v>
      </c>
      <c r="Z1557" s="38">
        <v>1</v>
      </c>
      <c r="AF1557" s="38">
        <v>92.93</v>
      </c>
      <c r="AK1557" s="14" t="e">
        <f t="shared" si="7"/>
        <v>#DIV/0!</v>
      </c>
      <c r="AM1557" s="38"/>
      <c r="AO1557" s="28"/>
    </row>
    <row r="1558" spans="1:42" ht="12.5">
      <c r="A1558" s="28" t="s">
        <v>5669</v>
      </c>
      <c r="B1558" s="37">
        <v>45863</v>
      </c>
      <c r="C1558" s="29">
        <v>45873</v>
      </c>
      <c r="D1558" s="38" t="s">
        <v>41</v>
      </c>
      <c r="E1558" s="38" t="s">
        <v>5670</v>
      </c>
      <c r="G1558" s="38" t="s">
        <v>43</v>
      </c>
      <c r="H1558" s="38">
        <v>11.71</v>
      </c>
      <c r="I1558" s="38" t="s">
        <v>44</v>
      </c>
      <c r="J1558" s="38" t="s">
        <v>45</v>
      </c>
      <c r="K1558" s="38" t="s">
        <v>5671</v>
      </c>
      <c r="L1558" s="30" t="s">
        <v>58</v>
      </c>
      <c r="M1558" s="38" t="s">
        <v>48</v>
      </c>
      <c r="N1558" s="38" t="s">
        <v>48</v>
      </c>
      <c r="O1558" s="68" t="s">
        <v>2358</v>
      </c>
      <c r="P1558" s="28" t="s">
        <v>2359</v>
      </c>
      <c r="Q1558" s="38" t="s">
        <v>2360</v>
      </c>
      <c r="R1558" s="38">
        <v>1</v>
      </c>
      <c r="S1558" s="38" t="s">
        <v>59</v>
      </c>
      <c r="T1558" s="38" t="s">
        <v>53</v>
      </c>
      <c r="U1558" s="38" t="s">
        <v>54</v>
      </c>
      <c r="V1558" s="38" t="s">
        <v>55</v>
      </c>
      <c r="Y1558" s="38">
        <v>92.8</v>
      </c>
      <c r="Z1558" s="38">
        <v>1</v>
      </c>
      <c r="AF1558" s="38">
        <v>81.09</v>
      </c>
      <c r="AK1558" s="14" t="e">
        <f t="shared" si="7"/>
        <v>#DIV/0!</v>
      </c>
      <c r="AM1558" s="38"/>
      <c r="AO1558" s="28"/>
    </row>
    <row r="1559" spans="1:42" ht="12.5">
      <c r="A1559" s="28" t="s">
        <v>5672</v>
      </c>
      <c r="B1559" s="37">
        <v>45878</v>
      </c>
      <c r="C1559" s="29">
        <v>45897</v>
      </c>
      <c r="D1559" s="38" t="s">
        <v>41</v>
      </c>
      <c r="E1559" s="38" t="s">
        <v>5673</v>
      </c>
      <c r="G1559" s="38" t="s">
        <v>43</v>
      </c>
      <c r="H1559" s="38">
        <v>12.9</v>
      </c>
      <c r="I1559" s="38" t="s">
        <v>44</v>
      </c>
      <c r="J1559" s="38" t="s">
        <v>45</v>
      </c>
      <c r="K1559" s="38" t="s">
        <v>5674</v>
      </c>
      <c r="L1559" s="30" t="s">
        <v>58</v>
      </c>
      <c r="M1559" s="38" t="s">
        <v>48</v>
      </c>
      <c r="N1559" s="38" t="s">
        <v>48</v>
      </c>
      <c r="O1559" s="63" t="s">
        <v>725</v>
      </c>
      <c r="P1559" s="28" t="s">
        <v>726</v>
      </c>
      <c r="Q1559" s="38" t="s">
        <v>727</v>
      </c>
      <c r="R1559" s="38">
        <v>1</v>
      </c>
      <c r="S1559" s="38" t="s">
        <v>75</v>
      </c>
      <c r="T1559" s="38" t="s">
        <v>53</v>
      </c>
      <c r="U1559" s="38" t="s">
        <v>54</v>
      </c>
      <c r="V1559" s="38" t="s">
        <v>61</v>
      </c>
      <c r="Y1559" s="38">
        <v>126.26</v>
      </c>
      <c r="Z1559" s="38">
        <v>1</v>
      </c>
      <c r="AF1559" s="38"/>
      <c r="AK1559" s="14" t="e">
        <f t="shared" si="7"/>
        <v>#DIV/0!</v>
      </c>
      <c r="AM1559" s="38"/>
      <c r="AO1559" s="69"/>
    </row>
    <row r="1560" spans="1:42" ht="12.5">
      <c r="A1560" s="28" t="s">
        <v>5675</v>
      </c>
      <c r="B1560" s="37">
        <v>45869</v>
      </c>
      <c r="C1560" s="29">
        <v>45887</v>
      </c>
      <c r="D1560" s="38" t="s">
        <v>41</v>
      </c>
      <c r="E1560" s="38" t="s">
        <v>5676</v>
      </c>
      <c r="G1560" s="38" t="s">
        <v>43</v>
      </c>
      <c r="H1560" s="38">
        <v>12.9</v>
      </c>
      <c r="I1560" s="38" t="s">
        <v>44</v>
      </c>
      <c r="J1560" s="38" t="s">
        <v>45</v>
      </c>
      <c r="K1560" s="38" t="s">
        <v>5677</v>
      </c>
      <c r="L1560" s="30" t="s">
        <v>47</v>
      </c>
      <c r="M1560" s="38" t="s">
        <v>48</v>
      </c>
      <c r="N1560" s="38" t="s">
        <v>48</v>
      </c>
      <c r="O1560" s="63" t="s">
        <v>725</v>
      </c>
      <c r="P1560" s="28" t="s">
        <v>726</v>
      </c>
      <c r="Q1560" s="38" t="s">
        <v>727</v>
      </c>
      <c r="R1560" s="38">
        <v>1</v>
      </c>
      <c r="S1560" s="38" t="s">
        <v>99</v>
      </c>
      <c r="T1560" s="38" t="s">
        <v>53</v>
      </c>
      <c r="U1560" s="38" t="s">
        <v>54</v>
      </c>
      <c r="V1560" s="38" t="s">
        <v>61</v>
      </c>
      <c r="Y1560" s="38">
        <v>123.33</v>
      </c>
      <c r="Z1560" s="38">
        <v>1</v>
      </c>
      <c r="AF1560" s="38"/>
      <c r="AK1560" s="14" t="e">
        <f t="shared" si="7"/>
        <v>#DIV/0!</v>
      </c>
      <c r="AM1560" s="38"/>
      <c r="AO1560" s="69"/>
    </row>
    <row r="1561" spans="1:42" ht="12.5">
      <c r="A1561" s="28" t="s">
        <v>5678</v>
      </c>
      <c r="B1561" s="37">
        <v>45878</v>
      </c>
      <c r="C1561" s="29">
        <v>45882</v>
      </c>
      <c r="D1561" s="38" t="s">
        <v>41</v>
      </c>
      <c r="E1561" s="38" t="s">
        <v>5679</v>
      </c>
      <c r="G1561" s="38" t="s">
        <v>43</v>
      </c>
      <c r="H1561" s="38">
        <v>12.9</v>
      </c>
      <c r="I1561" s="38" t="s">
        <v>44</v>
      </c>
      <c r="J1561" s="38" t="s">
        <v>45</v>
      </c>
      <c r="K1561" s="38" t="s">
        <v>5680</v>
      </c>
      <c r="L1561" s="30" t="s">
        <v>58</v>
      </c>
      <c r="M1561" s="38" t="s">
        <v>48</v>
      </c>
      <c r="N1561" s="38" t="s">
        <v>48</v>
      </c>
      <c r="O1561" s="63" t="s">
        <v>725</v>
      </c>
      <c r="P1561" s="28" t="s">
        <v>726</v>
      </c>
      <c r="Q1561" s="38" t="s">
        <v>727</v>
      </c>
      <c r="R1561" s="38">
        <v>1</v>
      </c>
      <c r="S1561" s="38" t="s">
        <v>75</v>
      </c>
      <c r="T1561" s="38" t="s">
        <v>53</v>
      </c>
      <c r="U1561" s="38" t="s">
        <v>54</v>
      </c>
      <c r="V1561" s="38" t="s">
        <v>61</v>
      </c>
      <c r="X1561" s="61">
        <v>45888</v>
      </c>
      <c r="Y1561" s="38">
        <v>127.43</v>
      </c>
      <c r="Z1561" s="38">
        <v>1</v>
      </c>
      <c r="AF1561" s="38">
        <v>111.13</v>
      </c>
      <c r="AK1561" s="14" t="e">
        <f t="shared" si="7"/>
        <v>#DIV/0!</v>
      </c>
      <c r="AM1561" s="38"/>
      <c r="AO1561" s="69"/>
    </row>
    <row r="1562" spans="1:42" ht="12.5">
      <c r="A1562" s="28" t="s">
        <v>5681</v>
      </c>
      <c r="B1562" s="37">
        <v>45892</v>
      </c>
      <c r="C1562" s="29">
        <v>45895</v>
      </c>
      <c r="D1562" s="38" t="s">
        <v>41</v>
      </c>
      <c r="E1562" s="38" t="s">
        <v>5682</v>
      </c>
      <c r="G1562" s="38" t="s">
        <v>43</v>
      </c>
      <c r="H1562" s="38">
        <v>14.73</v>
      </c>
      <c r="I1562" s="38" t="s">
        <v>44</v>
      </c>
      <c r="J1562" s="38" t="s">
        <v>45</v>
      </c>
      <c r="K1562" s="38" t="s">
        <v>5683</v>
      </c>
      <c r="L1562" s="30" t="s">
        <v>58</v>
      </c>
      <c r="M1562" s="38" t="s">
        <v>48</v>
      </c>
      <c r="N1562" s="38" t="s">
        <v>48</v>
      </c>
      <c r="O1562" s="31" t="s">
        <v>2683</v>
      </c>
      <c r="P1562" s="28" t="s">
        <v>2684</v>
      </c>
      <c r="Q1562" s="38" t="s">
        <v>2685</v>
      </c>
      <c r="R1562" s="38">
        <v>1</v>
      </c>
      <c r="S1562" s="38" t="s">
        <v>3868</v>
      </c>
      <c r="T1562" s="38" t="s">
        <v>53</v>
      </c>
      <c r="U1562" s="38" t="s">
        <v>54</v>
      </c>
      <c r="V1562" s="38" t="s">
        <v>55</v>
      </c>
      <c r="Y1562" s="38">
        <v>75.739999999999995</v>
      </c>
      <c r="Z1562" s="38">
        <v>1</v>
      </c>
      <c r="AF1562" s="38">
        <v>61.01</v>
      </c>
      <c r="AK1562" s="14" t="e">
        <f t="shared" si="7"/>
        <v>#DIV/0!</v>
      </c>
      <c r="AM1562" s="38"/>
      <c r="AO1562" s="28"/>
    </row>
    <row r="1563" spans="1:42" ht="12.5">
      <c r="A1563" s="28" t="s">
        <v>5684</v>
      </c>
      <c r="B1563" s="37">
        <v>45871</v>
      </c>
      <c r="C1563" s="29">
        <v>45882</v>
      </c>
      <c r="D1563" s="38" t="s">
        <v>41</v>
      </c>
      <c r="E1563" s="38" t="s">
        <v>5685</v>
      </c>
      <c r="G1563" s="38" t="s">
        <v>43</v>
      </c>
      <c r="H1563" s="38">
        <v>7.22</v>
      </c>
      <c r="I1563" s="38" t="s">
        <v>44</v>
      </c>
      <c r="J1563" s="38" t="s">
        <v>45</v>
      </c>
      <c r="K1563" s="38" t="s">
        <v>5686</v>
      </c>
      <c r="L1563" s="30" t="s">
        <v>47</v>
      </c>
      <c r="M1563" s="38" t="s">
        <v>48</v>
      </c>
      <c r="N1563" s="38" t="s">
        <v>48</v>
      </c>
      <c r="O1563" s="63" t="s">
        <v>263</v>
      </c>
      <c r="P1563" s="28" t="s">
        <v>264</v>
      </c>
      <c r="Q1563" s="38" t="s">
        <v>265</v>
      </c>
      <c r="R1563" s="38">
        <v>1</v>
      </c>
      <c r="S1563" s="38" t="s">
        <v>99</v>
      </c>
      <c r="T1563" s="38" t="s">
        <v>53</v>
      </c>
      <c r="U1563" s="38" t="s">
        <v>54</v>
      </c>
      <c r="V1563" s="38" t="s">
        <v>61</v>
      </c>
      <c r="X1563" s="61">
        <v>45895</v>
      </c>
      <c r="Y1563" s="38">
        <v>128.16</v>
      </c>
      <c r="Z1563" s="38">
        <v>1</v>
      </c>
      <c r="AF1563" s="38">
        <v>117.61</v>
      </c>
      <c r="AK1563" s="14" t="e">
        <f t="shared" si="7"/>
        <v>#DIV/0!</v>
      </c>
      <c r="AM1563" s="38"/>
      <c r="AO1563" s="28"/>
    </row>
    <row r="1564" spans="1:42" ht="12.5">
      <c r="A1564" s="28" t="s">
        <v>5687</v>
      </c>
      <c r="B1564" s="37">
        <v>45864</v>
      </c>
      <c r="C1564" s="29">
        <v>45871</v>
      </c>
      <c r="D1564" s="38" t="s">
        <v>41</v>
      </c>
      <c r="E1564" s="38" t="s">
        <v>5688</v>
      </c>
      <c r="G1564" s="38" t="s">
        <v>43</v>
      </c>
      <c r="H1564" s="38">
        <v>6.83</v>
      </c>
      <c r="I1564" s="38" t="s">
        <v>44</v>
      </c>
      <c r="J1564" s="38" t="s">
        <v>45</v>
      </c>
      <c r="K1564" s="38" t="s">
        <v>5689</v>
      </c>
      <c r="L1564" s="30" t="s">
        <v>58</v>
      </c>
      <c r="M1564" s="38" t="s">
        <v>48</v>
      </c>
      <c r="N1564" s="38" t="s">
        <v>48</v>
      </c>
      <c r="O1564" s="63" t="s">
        <v>263</v>
      </c>
      <c r="P1564" s="28" t="s">
        <v>264</v>
      </c>
      <c r="Q1564" s="38" t="s">
        <v>265</v>
      </c>
      <c r="R1564" s="38">
        <v>1</v>
      </c>
      <c r="S1564" s="38" t="s">
        <v>3884</v>
      </c>
      <c r="T1564" s="38" t="s">
        <v>53</v>
      </c>
      <c r="U1564" s="38" t="s">
        <v>54</v>
      </c>
      <c r="V1564" s="38" t="s">
        <v>61</v>
      </c>
      <c r="Y1564" s="38">
        <v>127.39</v>
      </c>
      <c r="Z1564" s="38">
        <v>1</v>
      </c>
      <c r="AF1564" s="38">
        <v>117.44</v>
      </c>
      <c r="AK1564" s="14" t="e">
        <f t="shared" si="7"/>
        <v>#DIV/0!</v>
      </c>
      <c r="AM1564" s="38"/>
      <c r="AO1564" s="28"/>
    </row>
    <row r="1565" spans="1:42" ht="12.5">
      <c r="A1565" s="28" t="s">
        <v>5690</v>
      </c>
      <c r="B1565" s="37">
        <v>45871</v>
      </c>
      <c r="C1565" s="29">
        <v>45877</v>
      </c>
      <c r="D1565" s="38" t="s">
        <v>41</v>
      </c>
      <c r="E1565" s="38" t="s">
        <v>5691</v>
      </c>
      <c r="G1565" s="38" t="s">
        <v>43</v>
      </c>
      <c r="H1565" s="38">
        <v>5.0199999999999996</v>
      </c>
      <c r="I1565" s="38" t="s">
        <v>44</v>
      </c>
      <c r="J1565" s="38" t="s">
        <v>249</v>
      </c>
      <c r="K1565" s="62">
        <v>9.3020100000000005E+21</v>
      </c>
      <c r="L1565" s="30" t="s">
        <v>58</v>
      </c>
      <c r="M1565" s="38" t="s">
        <v>48</v>
      </c>
      <c r="N1565" s="38" t="s">
        <v>48</v>
      </c>
      <c r="O1565" s="31" t="s">
        <v>251</v>
      </c>
      <c r="P1565" s="28" t="s">
        <v>5140</v>
      </c>
      <c r="Q1565" s="38" t="s">
        <v>253</v>
      </c>
      <c r="R1565" s="38">
        <v>1</v>
      </c>
      <c r="S1565" s="38" t="s">
        <v>75</v>
      </c>
      <c r="T1565" s="38" t="s">
        <v>53</v>
      </c>
      <c r="U1565" s="38" t="s">
        <v>54</v>
      </c>
      <c r="V1565" s="38" t="s">
        <v>61</v>
      </c>
      <c r="Y1565" s="38">
        <v>121.21</v>
      </c>
      <c r="Z1565" s="38"/>
      <c r="AF1565" s="38">
        <v>113.93</v>
      </c>
      <c r="AK1565" s="14" t="e">
        <f t="shared" si="7"/>
        <v>#DIV/0!</v>
      </c>
      <c r="AM1565" s="38"/>
      <c r="AO1565" s="28"/>
    </row>
    <row r="1566" spans="1:42" ht="12.5">
      <c r="A1566" s="28" t="s">
        <v>5692</v>
      </c>
      <c r="B1566" s="37">
        <v>45873</v>
      </c>
      <c r="C1566" s="29">
        <v>45877</v>
      </c>
      <c r="D1566" s="38" t="s">
        <v>41</v>
      </c>
      <c r="E1566" s="38" t="s">
        <v>5693</v>
      </c>
      <c r="G1566" s="38" t="s">
        <v>43</v>
      </c>
      <c r="H1566" s="38">
        <v>6.4</v>
      </c>
      <c r="I1566" s="38" t="s">
        <v>44</v>
      </c>
      <c r="J1566" s="38" t="s">
        <v>45</v>
      </c>
      <c r="K1566" s="38" t="s">
        <v>5694</v>
      </c>
      <c r="L1566" s="30" t="s">
        <v>58</v>
      </c>
      <c r="M1566" s="38" t="s">
        <v>48</v>
      </c>
      <c r="N1566" s="38" t="s">
        <v>48</v>
      </c>
      <c r="O1566" s="31" t="s">
        <v>5695</v>
      </c>
      <c r="P1566" s="28" t="s">
        <v>5696</v>
      </c>
      <c r="Q1566" s="38" t="s">
        <v>5697</v>
      </c>
      <c r="R1566" s="38">
        <v>1</v>
      </c>
      <c r="S1566" s="38" t="s">
        <v>3878</v>
      </c>
      <c r="T1566" s="38" t="s">
        <v>53</v>
      </c>
      <c r="U1566" s="38" t="s">
        <v>54</v>
      </c>
      <c r="V1566" s="38" t="s">
        <v>55</v>
      </c>
      <c r="X1566" s="61">
        <v>45889</v>
      </c>
      <c r="Y1566" s="38">
        <v>79.45</v>
      </c>
      <c r="Z1566" s="38">
        <v>1</v>
      </c>
      <c r="AA1566" s="38" t="s">
        <v>5698</v>
      </c>
      <c r="AB1566" s="38" t="s">
        <v>5699</v>
      </c>
      <c r="AC1566" s="38" t="s">
        <v>3376</v>
      </c>
      <c r="AD1566" s="61">
        <v>45890</v>
      </c>
      <c r="AE1566" s="38">
        <v>13.99</v>
      </c>
      <c r="AF1566" s="38">
        <v>73.05</v>
      </c>
      <c r="AK1566" s="14" t="e">
        <f t="shared" si="7"/>
        <v>#DIV/0!</v>
      </c>
      <c r="AM1566" s="38"/>
      <c r="AO1566" s="28"/>
    </row>
    <row r="1567" spans="1:42" ht="12.5">
      <c r="A1567" s="28" t="s">
        <v>5700</v>
      </c>
      <c r="B1567" s="37">
        <v>45895</v>
      </c>
      <c r="C1567" s="29">
        <v>45897</v>
      </c>
      <c r="D1567" s="38" t="s">
        <v>41</v>
      </c>
      <c r="E1567" s="38" t="s">
        <v>5701</v>
      </c>
      <c r="G1567" s="38" t="s">
        <v>43</v>
      </c>
      <c r="H1567" s="38">
        <v>12.45</v>
      </c>
      <c r="I1567" s="38" t="s">
        <v>44</v>
      </c>
      <c r="J1567" s="38" t="s">
        <v>45</v>
      </c>
      <c r="K1567" s="38" t="s">
        <v>5702</v>
      </c>
      <c r="L1567" s="30" t="s">
        <v>58</v>
      </c>
      <c r="M1567" s="38" t="s">
        <v>48</v>
      </c>
      <c r="N1567" s="38" t="s">
        <v>48</v>
      </c>
      <c r="O1567" s="31" t="s">
        <v>1051</v>
      </c>
      <c r="P1567" s="28" t="s">
        <v>1052</v>
      </c>
      <c r="Q1567" s="38" t="s">
        <v>1053</v>
      </c>
      <c r="R1567" s="38">
        <v>1</v>
      </c>
      <c r="S1567" s="38" t="s">
        <v>3868</v>
      </c>
      <c r="T1567" s="38" t="s">
        <v>53</v>
      </c>
      <c r="U1567" s="38" t="s">
        <v>54</v>
      </c>
      <c r="V1567" s="38" t="s">
        <v>61</v>
      </c>
      <c r="Y1567" s="38">
        <v>84.35</v>
      </c>
      <c r="Z1567" s="38">
        <v>1</v>
      </c>
      <c r="AF1567" s="38"/>
      <c r="AK1567" s="14" t="e">
        <f t="shared" si="7"/>
        <v>#DIV/0!</v>
      </c>
      <c r="AM1567" s="38"/>
      <c r="AO1567" s="28"/>
    </row>
    <row r="1568" spans="1:42" ht="12.5">
      <c r="A1568" s="28" t="s">
        <v>5703</v>
      </c>
      <c r="B1568" s="37">
        <v>45876</v>
      </c>
      <c r="C1568" s="29">
        <v>45881</v>
      </c>
      <c r="D1568" s="38" t="s">
        <v>41</v>
      </c>
      <c r="E1568" s="38" t="s">
        <v>5704</v>
      </c>
      <c r="G1568" s="38" t="s">
        <v>43</v>
      </c>
      <c r="H1568" s="38">
        <v>11.33</v>
      </c>
      <c r="I1568" s="38" t="s">
        <v>44</v>
      </c>
      <c r="J1568" s="38" t="s">
        <v>45</v>
      </c>
      <c r="K1568" s="38" t="s">
        <v>5705</v>
      </c>
      <c r="L1568" s="30" t="s">
        <v>58</v>
      </c>
      <c r="M1568" s="38" t="s">
        <v>48</v>
      </c>
      <c r="N1568" s="38" t="s">
        <v>48</v>
      </c>
      <c r="O1568" s="31" t="s">
        <v>2230</v>
      </c>
      <c r="P1568" s="28" t="s">
        <v>2231</v>
      </c>
      <c r="Q1568" s="38" t="s">
        <v>4732</v>
      </c>
      <c r="R1568" s="38">
        <v>1</v>
      </c>
      <c r="S1568" s="38" t="s">
        <v>3868</v>
      </c>
      <c r="T1568" s="38" t="s">
        <v>53</v>
      </c>
      <c r="U1568" s="38" t="s">
        <v>54</v>
      </c>
      <c r="V1568" s="38" t="s">
        <v>55</v>
      </c>
      <c r="X1568" s="61">
        <v>45888</v>
      </c>
      <c r="Y1568" s="38">
        <v>83.08</v>
      </c>
      <c r="Z1568" s="38">
        <v>1</v>
      </c>
      <c r="AF1568" s="38">
        <v>71.150000000000006</v>
      </c>
      <c r="AK1568" s="14" t="e">
        <f t="shared" si="7"/>
        <v>#DIV/0!</v>
      </c>
      <c r="AM1568" s="38"/>
      <c r="AO1568" s="28"/>
    </row>
    <row r="1569" spans="1:41" ht="14">
      <c r="A1569" s="28" t="s">
        <v>5706</v>
      </c>
      <c r="B1569" s="37">
        <v>45870</v>
      </c>
      <c r="C1569" s="29">
        <v>45878</v>
      </c>
      <c r="D1569" s="38" t="s">
        <v>41</v>
      </c>
      <c r="E1569" s="38" t="s">
        <v>5707</v>
      </c>
      <c r="G1569" s="38" t="s">
        <v>43</v>
      </c>
      <c r="H1569" s="38">
        <v>10.88</v>
      </c>
      <c r="I1569" s="38" t="s">
        <v>44</v>
      </c>
      <c r="J1569" s="38" t="s">
        <v>45</v>
      </c>
      <c r="K1569" s="38" t="s">
        <v>5708</v>
      </c>
      <c r="L1569" s="30" t="s">
        <v>47</v>
      </c>
      <c r="M1569" s="38" t="s">
        <v>48</v>
      </c>
      <c r="N1569" s="38" t="s">
        <v>48</v>
      </c>
      <c r="O1569" s="31" t="s">
        <v>49</v>
      </c>
      <c r="P1569" s="28" t="s">
        <v>50</v>
      </c>
      <c r="Q1569" s="38" t="s">
        <v>51</v>
      </c>
      <c r="R1569" s="38">
        <v>1</v>
      </c>
      <c r="S1569" s="38" t="s">
        <v>82</v>
      </c>
      <c r="T1569" s="38" t="s">
        <v>53</v>
      </c>
      <c r="U1569" s="38" t="s">
        <v>54</v>
      </c>
      <c r="V1569" s="38" t="s">
        <v>61</v>
      </c>
      <c r="X1569" s="61">
        <v>45888</v>
      </c>
      <c r="Y1569" s="38">
        <v>94.4</v>
      </c>
      <c r="Z1569" s="38">
        <v>1</v>
      </c>
      <c r="AF1569" s="38">
        <v>94.4</v>
      </c>
      <c r="AK1569" s="14" t="e">
        <f t="shared" si="7"/>
        <v>#DIV/0!</v>
      </c>
      <c r="AL1569" s="53">
        <v>1000025912</v>
      </c>
      <c r="AM1569" s="38"/>
      <c r="AO1569" s="28" t="s">
        <v>5709</v>
      </c>
    </row>
    <row r="1570" spans="1:41" ht="12.5">
      <c r="A1570" s="28" t="s">
        <v>5710</v>
      </c>
      <c r="B1570" s="37">
        <v>45888</v>
      </c>
      <c r="C1570" s="29">
        <v>45894</v>
      </c>
      <c r="D1570" s="38" t="s">
        <v>41</v>
      </c>
      <c r="E1570" s="38" t="s">
        <v>5711</v>
      </c>
      <c r="G1570" s="38" t="s">
        <v>43</v>
      </c>
      <c r="H1570" s="38">
        <v>5.76</v>
      </c>
      <c r="I1570" s="38" t="s">
        <v>44</v>
      </c>
      <c r="J1570" s="38" t="s">
        <v>45</v>
      </c>
      <c r="K1570" s="38" t="s">
        <v>5712</v>
      </c>
      <c r="L1570" s="30" t="s">
        <v>58</v>
      </c>
      <c r="M1570" s="38" t="s">
        <v>48</v>
      </c>
      <c r="N1570" s="38" t="s">
        <v>48</v>
      </c>
      <c r="O1570" s="63" t="s">
        <v>219</v>
      </c>
      <c r="P1570" s="28" t="s">
        <v>220</v>
      </c>
      <c r="Q1570" s="38" t="s">
        <v>221</v>
      </c>
      <c r="R1570" s="38">
        <v>1</v>
      </c>
      <c r="S1570" s="38" t="s">
        <v>3878</v>
      </c>
      <c r="T1570" s="38" t="s">
        <v>53</v>
      </c>
      <c r="U1570" s="38" t="s">
        <v>54</v>
      </c>
      <c r="V1570" s="38" t="s">
        <v>55</v>
      </c>
      <c r="Y1570" s="38">
        <v>81.52</v>
      </c>
      <c r="Z1570" s="38">
        <v>1</v>
      </c>
      <c r="AF1570" s="38">
        <v>75.760000000000005</v>
      </c>
      <c r="AK1570" s="14" t="e">
        <f t="shared" si="7"/>
        <v>#DIV/0!</v>
      </c>
      <c r="AM1570" s="38"/>
      <c r="AO1570" s="28"/>
    </row>
    <row r="1571" spans="1:41" ht="12.5">
      <c r="A1571" s="28" t="s">
        <v>5713</v>
      </c>
      <c r="B1571" s="37">
        <v>45879</v>
      </c>
      <c r="C1571" s="29">
        <v>45882</v>
      </c>
      <c r="D1571" s="38" t="s">
        <v>41</v>
      </c>
      <c r="E1571" s="38" t="s">
        <v>5714</v>
      </c>
      <c r="G1571" s="38" t="s">
        <v>43</v>
      </c>
      <c r="H1571" s="38">
        <v>5.76</v>
      </c>
      <c r="I1571" s="38" t="s">
        <v>44</v>
      </c>
      <c r="J1571" s="38" t="s">
        <v>45</v>
      </c>
      <c r="K1571" s="38" t="s">
        <v>5715</v>
      </c>
      <c r="L1571" s="30" t="s">
        <v>58</v>
      </c>
      <c r="M1571" s="38" t="s">
        <v>48</v>
      </c>
      <c r="N1571" s="38" t="s">
        <v>48</v>
      </c>
      <c r="O1571" s="63" t="s">
        <v>219</v>
      </c>
      <c r="P1571" s="28" t="s">
        <v>220</v>
      </c>
      <c r="Q1571" s="38" t="s">
        <v>221</v>
      </c>
      <c r="R1571" s="38">
        <v>1</v>
      </c>
      <c r="S1571" s="38" t="s">
        <v>3878</v>
      </c>
      <c r="T1571" s="38" t="s">
        <v>53</v>
      </c>
      <c r="U1571" s="38" t="s">
        <v>54</v>
      </c>
      <c r="V1571" s="38" t="s">
        <v>61</v>
      </c>
      <c r="X1571" s="61">
        <v>45889</v>
      </c>
      <c r="Y1571" s="38">
        <v>85.17</v>
      </c>
      <c r="Z1571" s="38">
        <v>1</v>
      </c>
      <c r="AF1571" s="38">
        <v>68.61</v>
      </c>
      <c r="AK1571" s="14" t="e">
        <f t="shared" si="7"/>
        <v>#DIV/0!</v>
      </c>
      <c r="AM1571" s="38"/>
      <c r="AO1571" s="28"/>
    </row>
    <row r="1572" spans="1:41" ht="12.5">
      <c r="A1572" s="28" t="s">
        <v>5716</v>
      </c>
      <c r="B1572" s="37">
        <v>45873</v>
      </c>
      <c r="C1572" s="29">
        <v>45881</v>
      </c>
      <c r="D1572" s="38" t="s">
        <v>41</v>
      </c>
      <c r="E1572" s="38" t="s">
        <v>5717</v>
      </c>
      <c r="G1572" s="38" t="s">
        <v>43</v>
      </c>
      <c r="H1572" s="38">
        <v>5.76</v>
      </c>
      <c r="I1572" s="38" t="s">
        <v>44</v>
      </c>
      <c r="J1572" s="38" t="s">
        <v>45</v>
      </c>
      <c r="K1572" s="38" t="s">
        <v>5718</v>
      </c>
      <c r="L1572" s="30" t="s">
        <v>58</v>
      </c>
      <c r="M1572" s="38" t="s">
        <v>48</v>
      </c>
      <c r="N1572" s="38" t="s">
        <v>48</v>
      </c>
      <c r="O1572" s="63" t="s">
        <v>219</v>
      </c>
      <c r="P1572" s="28" t="s">
        <v>220</v>
      </c>
      <c r="Q1572" s="38" t="s">
        <v>221</v>
      </c>
      <c r="R1572" s="38">
        <v>1</v>
      </c>
      <c r="S1572" s="38" t="s">
        <v>59</v>
      </c>
      <c r="T1572" s="38" t="s">
        <v>53</v>
      </c>
      <c r="U1572" s="38" t="s">
        <v>54</v>
      </c>
      <c r="V1572" s="38" t="s">
        <v>61</v>
      </c>
      <c r="Y1572" s="38">
        <v>83.24</v>
      </c>
      <c r="Z1572" s="38">
        <v>1</v>
      </c>
      <c r="AF1572" s="38"/>
      <c r="AK1572" s="14" t="e">
        <f t="shared" si="7"/>
        <v>#DIV/0!</v>
      </c>
      <c r="AM1572" s="38"/>
      <c r="AO1572" s="28"/>
    </row>
    <row r="1573" spans="1:41" ht="12.5">
      <c r="A1573" s="28" t="s">
        <v>5719</v>
      </c>
      <c r="B1573" s="37">
        <v>45868</v>
      </c>
      <c r="C1573" s="29">
        <v>45876</v>
      </c>
      <c r="D1573" s="38" t="s">
        <v>41</v>
      </c>
      <c r="E1573" s="38" t="s">
        <v>5720</v>
      </c>
      <c r="G1573" s="38" t="s">
        <v>43</v>
      </c>
      <c r="H1573" s="38">
        <v>5.76</v>
      </c>
      <c r="I1573" s="38" t="s">
        <v>44</v>
      </c>
      <c r="J1573" s="38" t="s">
        <v>45</v>
      </c>
      <c r="K1573" s="38" t="s">
        <v>5721</v>
      </c>
      <c r="L1573" s="30" t="s">
        <v>58</v>
      </c>
      <c r="M1573" s="38" t="s">
        <v>48</v>
      </c>
      <c r="N1573" s="38" t="s">
        <v>48</v>
      </c>
      <c r="O1573" s="63" t="s">
        <v>219</v>
      </c>
      <c r="P1573" s="28" t="s">
        <v>220</v>
      </c>
      <c r="Q1573" s="38" t="s">
        <v>221</v>
      </c>
      <c r="R1573" s="38">
        <v>1</v>
      </c>
      <c r="S1573" s="38" t="s">
        <v>3878</v>
      </c>
      <c r="T1573" s="38" t="s">
        <v>53</v>
      </c>
      <c r="U1573" s="38" t="s">
        <v>54</v>
      </c>
      <c r="V1573" s="38" t="s">
        <v>55</v>
      </c>
      <c r="Y1573" s="38">
        <v>80.62</v>
      </c>
      <c r="Z1573" s="38">
        <v>1</v>
      </c>
      <c r="AF1573" s="38">
        <v>74.86</v>
      </c>
      <c r="AK1573" s="14" t="e">
        <f t="shared" si="7"/>
        <v>#DIV/0!</v>
      </c>
      <c r="AM1573" s="38"/>
      <c r="AO1573" s="28"/>
    </row>
    <row r="1574" spans="1:41" ht="12.5">
      <c r="A1574" s="28" t="s">
        <v>5722</v>
      </c>
      <c r="B1574" s="37">
        <v>45875</v>
      </c>
      <c r="C1574" s="29">
        <v>45884</v>
      </c>
      <c r="D1574" s="38" t="s">
        <v>41</v>
      </c>
      <c r="E1574" s="38" t="s">
        <v>5723</v>
      </c>
      <c r="G1574" s="38" t="s">
        <v>43</v>
      </c>
      <c r="H1574" s="38">
        <v>11.33</v>
      </c>
      <c r="I1574" s="38" t="s">
        <v>44</v>
      </c>
      <c r="J1574" s="38" t="s">
        <v>45</v>
      </c>
      <c r="K1574" s="38" t="s">
        <v>5724</v>
      </c>
      <c r="L1574" s="30" t="s">
        <v>58</v>
      </c>
      <c r="M1574" s="38" t="s">
        <v>48</v>
      </c>
      <c r="N1574" s="38" t="s">
        <v>48</v>
      </c>
      <c r="O1574" s="31" t="s">
        <v>3193</v>
      </c>
      <c r="P1574" s="28" t="s">
        <v>3194</v>
      </c>
      <c r="Q1574" s="38" t="s">
        <v>5725</v>
      </c>
      <c r="R1574" s="38">
        <v>1</v>
      </c>
      <c r="S1574" s="38" t="s">
        <v>3878</v>
      </c>
      <c r="T1574" s="38" t="s">
        <v>53</v>
      </c>
      <c r="U1574" s="38" t="s">
        <v>54</v>
      </c>
      <c r="V1574" s="38" t="s">
        <v>61</v>
      </c>
      <c r="Y1574" s="38">
        <v>92.22</v>
      </c>
      <c r="Z1574" s="38">
        <v>1</v>
      </c>
      <c r="AF1574" s="38"/>
      <c r="AK1574" s="14" t="e">
        <f t="shared" si="7"/>
        <v>#DIV/0!</v>
      </c>
      <c r="AM1574" s="38"/>
      <c r="AO1574" s="28"/>
    </row>
    <row r="1575" spans="1:41" ht="12.5">
      <c r="A1575" s="28" t="s">
        <v>5726</v>
      </c>
      <c r="B1575" s="37">
        <v>45876</v>
      </c>
      <c r="C1575" s="29">
        <v>45885</v>
      </c>
      <c r="D1575" s="38" t="s">
        <v>41</v>
      </c>
      <c r="E1575" s="38" t="s">
        <v>5727</v>
      </c>
      <c r="G1575" s="38" t="s">
        <v>43</v>
      </c>
      <c r="H1575" s="38">
        <v>11.33</v>
      </c>
      <c r="I1575" s="38" t="s">
        <v>44</v>
      </c>
      <c r="J1575" s="38" t="s">
        <v>45</v>
      </c>
      <c r="K1575" s="38" t="s">
        <v>5728</v>
      </c>
      <c r="L1575" s="30" t="s">
        <v>47</v>
      </c>
      <c r="M1575" s="38" t="s">
        <v>48</v>
      </c>
      <c r="N1575" s="38" t="s">
        <v>48</v>
      </c>
      <c r="O1575" s="31" t="s">
        <v>160</v>
      </c>
      <c r="P1575" s="28" t="s">
        <v>161</v>
      </c>
      <c r="Q1575" s="38" t="s">
        <v>4426</v>
      </c>
      <c r="R1575" s="38">
        <v>1</v>
      </c>
      <c r="S1575" s="38" t="s">
        <v>99</v>
      </c>
      <c r="T1575" s="38" t="s">
        <v>53</v>
      </c>
      <c r="U1575" s="38" t="s">
        <v>54</v>
      </c>
      <c r="V1575" s="38" t="s">
        <v>55</v>
      </c>
      <c r="X1575" s="61">
        <v>45894</v>
      </c>
      <c r="Y1575" s="38">
        <v>55.36</v>
      </c>
      <c r="Z1575" s="38">
        <v>1</v>
      </c>
      <c r="AF1575" s="38">
        <v>55.36</v>
      </c>
      <c r="AK1575" s="14" t="e">
        <f t="shared" si="7"/>
        <v>#DIV/0!</v>
      </c>
      <c r="AM1575" s="38"/>
      <c r="AO1575" s="28"/>
    </row>
    <row r="1576" spans="1:41" ht="12.5">
      <c r="A1576" s="28" t="s">
        <v>5729</v>
      </c>
      <c r="B1576" s="37">
        <v>45889</v>
      </c>
      <c r="C1576" s="29">
        <v>45894</v>
      </c>
      <c r="D1576" s="38" t="s">
        <v>41</v>
      </c>
      <c r="E1576" s="38" t="s">
        <v>5730</v>
      </c>
      <c r="G1576" s="38" t="s">
        <v>43</v>
      </c>
      <c r="H1576" s="38">
        <v>12.9</v>
      </c>
      <c r="I1576" s="38" t="s">
        <v>44</v>
      </c>
      <c r="J1576" s="38" t="s">
        <v>45</v>
      </c>
      <c r="K1576" s="38" t="s">
        <v>5731</v>
      </c>
      <c r="L1576" s="30" t="s">
        <v>58</v>
      </c>
      <c r="M1576" s="38" t="s">
        <v>48</v>
      </c>
      <c r="N1576" s="38" t="s">
        <v>48</v>
      </c>
      <c r="O1576" s="31" t="s">
        <v>96</v>
      </c>
      <c r="P1576" s="28" t="s">
        <v>97</v>
      </c>
      <c r="Q1576" s="38" t="s">
        <v>4150</v>
      </c>
      <c r="R1576" s="38">
        <v>1</v>
      </c>
      <c r="S1576" s="38" t="s">
        <v>3878</v>
      </c>
      <c r="T1576" s="38" t="s">
        <v>53</v>
      </c>
      <c r="U1576" s="38" t="s">
        <v>54</v>
      </c>
      <c r="V1576" s="38" t="s">
        <v>61</v>
      </c>
      <c r="Y1576" s="38">
        <v>81.83</v>
      </c>
      <c r="Z1576" s="38">
        <v>1</v>
      </c>
      <c r="AF1576" s="38"/>
      <c r="AK1576" s="14" t="e">
        <f t="shared" si="7"/>
        <v>#DIV/0!</v>
      </c>
      <c r="AM1576" s="38"/>
      <c r="AO1576" s="28"/>
    </row>
    <row r="1577" spans="1:41" ht="14">
      <c r="A1577" s="28" t="s">
        <v>5732</v>
      </c>
      <c r="B1577" s="37">
        <v>45894</v>
      </c>
      <c r="C1577" s="29">
        <v>45896</v>
      </c>
      <c r="D1577" s="38" t="s">
        <v>41</v>
      </c>
      <c r="E1577" s="38" t="s">
        <v>5733</v>
      </c>
      <c r="G1577" s="38" t="s">
        <v>43</v>
      </c>
      <c r="H1577" s="38">
        <v>11.73</v>
      </c>
      <c r="I1577" s="38" t="s">
        <v>44</v>
      </c>
      <c r="J1577" s="38" t="s">
        <v>45</v>
      </c>
      <c r="K1577" s="38" t="s">
        <v>5734</v>
      </c>
      <c r="L1577" s="30" t="s">
        <v>47</v>
      </c>
      <c r="M1577" s="38" t="s">
        <v>48</v>
      </c>
      <c r="N1577" s="38" t="s">
        <v>48</v>
      </c>
      <c r="O1577" s="63" t="s">
        <v>455</v>
      </c>
      <c r="P1577" s="28" t="s">
        <v>456</v>
      </c>
      <c r="Q1577" s="38" t="s">
        <v>4530</v>
      </c>
      <c r="R1577" s="38">
        <v>1</v>
      </c>
      <c r="S1577" s="38" t="s">
        <v>52</v>
      </c>
      <c r="T1577" s="38" t="s">
        <v>53</v>
      </c>
      <c r="U1577" s="38" t="s">
        <v>54</v>
      </c>
      <c r="V1577" s="38" t="s">
        <v>55</v>
      </c>
      <c r="Y1577" s="38">
        <v>73.5</v>
      </c>
      <c r="Z1577" s="38">
        <v>1</v>
      </c>
      <c r="AF1577" s="38">
        <v>73.5</v>
      </c>
      <c r="AK1577" s="14" t="e">
        <f t="shared" si="7"/>
        <v>#DIV/0!</v>
      </c>
      <c r="AL1577" s="53">
        <v>1000027343</v>
      </c>
      <c r="AM1577" s="38"/>
      <c r="AO1577" s="28"/>
    </row>
    <row r="1578" spans="1:41" ht="12.5">
      <c r="A1578" s="28" t="s">
        <v>5735</v>
      </c>
      <c r="B1578" s="37">
        <v>45849</v>
      </c>
      <c r="C1578" s="29">
        <v>45884</v>
      </c>
      <c r="D1578" s="38" t="s">
        <v>41</v>
      </c>
      <c r="E1578" s="38" t="s">
        <v>5736</v>
      </c>
      <c r="G1578" s="38" t="s">
        <v>43</v>
      </c>
      <c r="H1578" s="38">
        <v>11.73</v>
      </c>
      <c r="I1578" s="38" t="s">
        <v>44</v>
      </c>
      <c r="J1578" s="38" t="s">
        <v>45</v>
      </c>
      <c r="K1578" s="38" t="s">
        <v>5737</v>
      </c>
      <c r="L1578" s="30" t="s">
        <v>58</v>
      </c>
      <c r="M1578" s="38" t="s">
        <v>48</v>
      </c>
      <c r="N1578" s="38" t="s">
        <v>48</v>
      </c>
      <c r="O1578" s="63" t="s">
        <v>455</v>
      </c>
      <c r="P1578" s="28" t="s">
        <v>456</v>
      </c>
      <c r="Q1578" s="38" t="s">
        <v>4530</v>
      </c>
      <c r="R1578" s="38">
        <v>1</v>
      </c>
      <c r="S1578" s="38" t="s">
        <v>3884</v>
      </c>
      <c r="T1578" s="38" t="s">
        <v>53</v>
      </c>
      <c r="U1578" s="38" t="s">
        <v>54</v>
      </c>
      <c r="V1578" s="38" t="s">
        <v>55</v>
      </c>
      <c r="X1578" s="61">
        <v>45894</v>
      </c>
      <c r="Y1578" s="38">
        <v>73.84</v>
      </c>
      <c r="Z1578" s="38">
        <v>1</v>
      </c>
      <c r="AF1578" s="38">
        <v>62.11</v>
      </c>
      <c r="AK1578" s="14" t="e">
        <f t="shared" si="7"/>
        <v>#DIV/0!</v>
      </c>
      <c r="AM1578" s="38"/>
      <c r="AO1578" s="28"/>
    </row>
    <row r="1579" spans="1:41" ht="12.5">
      <c r="A1579" s="28" t="s">
        <v>5738</v>
      </c>
      <c r="B1579" s="37">
        <v>45874</v>
      </c>
      <c r="C1579" s="29">
        <v>45880</v>
      </c>
      <c r="D1579" s="38" t="s">
        <v>41</v>
      </c>
      <c r="E1579" s="38" t="s">
        <v>5739</v>
      </c>
      <c r="G1579" s="38" t="s">
        <v>43</v>
      </c>
      <c r="H1579" s="38">
        <v>11.73</v>
      </c>
      <c r="I1579" s="38" t="s">
        <v>44</v>
      </c>
      <c r="J1579" s="38" t="s">
        <v>45</v>
      </c>
      <c r="K1579" s="38" t="s">
        <v>5740</v>
      </c>
      <c r="L1579" s="30" t="s">
        <v>58</v>
      </c>
      <c r="M1579" s="38" t="s">
        <v>48</v>
      </c>
      <c r="N1579" s="38" t="s">
        <v>48</v>
      </c>
      <c r="O1579" s="63" t="s">
        <v>455</v>
      </c>
      <c r="P1579" s="28" t="s">
        <v>456</v>
      </c>
      <c r="Q1579" s="38" t="s">
        <v>4530</v>
      </c>
      <c r="R1579" s="38">
        <v>1</v>
      </c>
      <c r="S1579" s="38" t="s">
        <v>68</v>
      </c>
      <c r="T1579" s="38" t="s">
        <v>53</v>
      </c>
      <c r="U1579" s="38" t="s">
        <v>54</v>
      </c>
      <c r="V1579" s="38" t="s">
        <v>55</v>
      </c>
      <c r="Y1579" s="38">
        <v>75.03</v>
      </c>
      <c r="Z1579" s="38">
        <v>1</v>
      </c>
      <c r="AF1579" s="38">
        <v>63.3</v>
      </c>
      <c r="AK1579" s="14" t="e">
        <f t="shared" si="7"/>
        <v>#DIV/0!</v>
      </c>
      <c r="AM1579" s="38"/>
      <c r="AO1579" s="28"/>
    </row>
    <row r="1580" spans="1:41" ht="12.5">
      <c r="A1580" s="28" t="s">
        <v>5741</v>
      </c>
      <c r="B1580" s="37">
        <v>45833</v>
      </c>
      <c r="C1580" s="29">
        <v>45870</v>
      </c>
      <c r="D1580" s="38" t="s">
        <v>41</v>
      </c>
      <c r="E1580" s="38" t="s">
        <v>5742</v>
      </c>
      <c r="G1580" s="38" t="s">
        <v>43</v>
      </c>
      <c r="H1580" s="38">
        <v>8.0299999999999994</v>
      </c>
      <c r="I1580" s="38" t="s">
        <v>44</v>
      </c>
      <c r="J1580" s="38" t="s">
        <v>45</v>
      </c>
      <c r="K1580" s="38" t="s">
        <v>5743</v>
      </c>
      <c r="L1580" s="30" t="s">
        <v>58</v>
      </c>
      <c r="M1580" s="38" t="s">
        <v>48</v>
      </c>
      <c r="N1580" s="38" t="s">
        <v>48</v>
      </c>
      <c r="O1580" s="63" t="s">
        <v>455</v>
      </c>
      <c r="P1580" s="28" t="s">
        <v>456</v>
      </c>
      <c r="Q1580" s="38" t="s">
        <v>4530</v>
      </c>
      <c r="R1580" s="38">
        <v>1</v>
      </c>
      <c r="S1580" s="38" t="s">
        <v>68</v>
      </c>
      <c r="T1580" s="38" t="s">
        <v>53</v>
      </c>
      <c r="U1580" s="38" t="s">
        <v>54</v>
      </c>
      <c r="V1580" s="38" t="s">
        <v>61</v>
      </c>
      <c r="Y1580" s="38">
        <v>73.34</v>
      </c>
      <c r="Z1580" s="38">
        <v>1</v>
      </c>
      <c r="AF1580" s="38"/>
      <c r="AK1580" s="14" t="e">
        <f t="shared" si="7"/>
        <v>#DIV/0!</v>
      </c>
      <c r="AM1580" s="38"/>
      <c r="AO1580" s="28"/>
    </row>
    <row r="1581" spans="1:41" ht="12.5">
      <c r="A1581" s="28" t="s">
        <v>5744</v>
      </c>
      <c r="B1581" s="37">
        <v>45879</v>
      </c>
      <c r="C1581" s="29">
        <v>45886</v>
      </c>
      <c r="D1581" s="38" t="s">
        <v>41</v>
      </c>
      <c r="E1581" s="38" t="s">
        <v>5745</v>
      </c>
      <c r="G1581" s="38" t="s">
        <v>43</v>
      </c>
      <c r="H1581" s="38">
        <v>11.33</v>
      </c>
      <c r="I1581" s="38" t="s">
        <v>44</v>
      </c>
      <c r="J1581" s="38" t="s">
        <v>45</v>
      </c>
      <c r="K1581" s="38" t="s">
        <v>5746</v>
      </c>
      <c r="L1581" s="30" t="s">
        <v>58</v>
      </c>
      <c r="M1581" s="38" t="s">
        <v>48</v>
      </c>
      <c r="N1581" s="38" t="s">
        <v>48</v>
      </c>
      <c r="O1581" s="68" t="s">
        <v>1066</v>
      </c>
      <c r="P1581" s="28" t="s">
        <v>1067</v>
      </c>
      <c r="Q1581" s="38" t="s">
        <v>4201</v>
      </c>
      <c r="R1581" s="38">
        <v>1</v>
      </c>
      <c r="S1581" s="38" t="s">
        <v>59</v>
      </c>
      <c r="T1581" s="38" t="s">
        <v>53</v>
      </c>
      <c r="U1581" s="38" t="s">
        <v>54</v>
      </c>
      <c r="V1581" s="38" t="s">
        <v>55</v>
      </c>
      <c r="X1581" s="61">
        <v>45889</v>
      </c>
      <c r="Y1581" s="38">
        <v>75.03</v>
      </c>
      <c r="Z1581" s="38">
        <v>1</v>
      </c>
      <c r="AF1581" s="38">
        <v>63.7</v>
      </c>
      <c r="AK1581" s="14" t="e">
        <f t="shared" si="7"/>
        <v>#DIV/0!</v>
      </c>
      <c r="AM1581" s="38"/>
      <c r="AO1581" s="28"/>
    </row>
    <row r="1582" spans="1:41" ht="12.5">
      <c r="A1582" s="28" t="s">
        <v>5747</v>
      </c>
      <c r="B1582" s="37">
        <v>45880</v>
      </c>
      <c r="C1582" s="29">
        <v>45883</v>
      </c>
      <c r="D1582" s="38" t="s">
        <v>41</v>
      </c>
      <c r="E1582" s="38" t="s">
        <v>5748</v>
      </c>
      <c r="G1582" s="38" t="s">
        <v>43</v>
      </c>
      <c r="H1582" s="38">
        <v>11.33</v>
      </c>
      <c r="I1582" s="38" t="s">
        <v>44</v>
      </c>
      <c r="J1582" s="38" t="s">
        <v>45</v>
      </c>
      <c r="K1582" s="38" t="s">
        <v>5749</v>
      </c>
      <c r="L1582" s="30" t="s">
        <v>58</v>
      </c>
      <c r="M1582" s="38" t="s">
        <v>48</v>
      </c>
      <c r="N1582" s="38" t="s">
        <v>48</v>
      </c>
      <c r="O1582" s="68" t="s">
        <v>1066</v>
      </c>
      <c r="P1582" s="28" t="s">
        <v>1067</v>
      </c>
      <c r="Q1582" s="38" t="s">
        <v>4201</v>
      </c>
      <c r="R1582" s="38">
        <v>1</v>
      </c>
      <c r="S1582" s="38" t="s">
        <v>3868</v>
      </c>
      <c r="T1582" s="38" t="s">
        <v>53</v>
      </c>
      <c r="U1582" s="38" t="s">
        <v>54</v>
      </c>
      <c r="V1582" s="38" t="s">
        <v>61</v>
      </c>
      <c r="Y1582" s="38">
        <v>73.5</v>
      </c>
      <c r="Z1582" s="38">
        <v>1</v>
      </c>
      <c r="AF1582" s="38"/>
      <c r="AK1582" s="14" t="e">
        <f t="shared" si="7"/>
        <v>#DIV/0!</v>
      </c>
      <c r="AM1582" s="38"/>
      <c r="AO1582" s="28"/>
    </row>
    <row r="1583" spans="1:41" ht="12.5">
      <c r="A1583" s="28" t="s">
        <v>5750</v>
      </c>
      <c r="B1583" s="37">
        <v>45869</v>
      </c>
      <c r="C1583" s="29">
        <v>45873</v>
      </c>
      <c r="D1583" s="38" t="s">
        <v>41</v>
      </c>
      <c r="E1583" s="38" t="s">
        <v>5751</v>
      </c>
      <c r="G1583" s="38" t="s">
        <v>43</v>
      </c>
      <c r="H1583" s="38">
        <v>10.85</v>
      </c>
      <c r="I1583" s="38" t="s">
        <v>44</v>
      </c>
      <c r="J1583" s="38" t="s">
        <v>45</v>
      </c>
      <c r="K1583" s="38" t="s">
        <v>5752</v>
      </c>
      <c r="L1583" s="30" t="s">
        <v>58</v>
      </c>
      <c r="M1583" s="38" t="s">
        <v>48</v>
      </c>
      <c r="N1583" s="38" t="s">
        <v>48</v>
      </c>
      <c r="O1583" s="68" t="s">
        <v>1066</v>
      </c>
      <c r="P1583" s="28" t="s">
        <v>1067</v>
      </c>
      <c r="Q1583" s="38" t="s">
        <v>4201</v>
      </c>
      <c r="R1583" s="38">
        <v>1</v>
      </c>
      <c r="S1583" s="38" t="s">
        <v>3884</v>
      </c>
      <c r="T1583" s="38" t="s">
        <v>53</v>
      </c>
      <c r="U1583" s="38" t="s">
        <v>54</v>
      </c>
      <c r="V1583" s="38" t="s">
        <v>55</v>
      </c>
      <c r="Y1583" s="38">
        <v>73.33</v>
      </c>
      <c r="Z1583" s="38">
        <v>1</v>
      </c>
      <c r="AF1583" s="38">
        <v>62.48</v>
      </c>
      <c r="AK1583" s="14" t="e">
        <f t="shared" si="7"/>
        <v>#DIV/0!</v>
      </c>
      <c r="AM1583" s="38"/>
      <c r="AO1583" s="28"/>
    </row>
    <row r="1584" spans="1:41" ht="12.5">
      <c r="A1584" s="28" t="s">
        <v>5753</v>
      </c>
      <c r="B1584" s="37">
        <v>45864</v>
      </c>
      <c r="C1584" s="29">
        <v>45893</v>
      </c>
      <c r="D1584" s="38" t="s">
        <v>41</v>
      </c>
      <c r="E1584" s="38" t="s">
        <v>5754</v>
      </c>
      <c r="G1584" s="38" t="s">
        <v>43</v>
      </c>
      <c r="H1584" s="38">
        <v>9.82</v>
      </c>
      <c r="I1584" s="38" t="s">
        <v>44</v>
      </c>
      <c r="J1584" s="38" t="s">
        <v>45</v>
      </c>
      <c r="K1584" s="38" t="s">
        <v>5755</v>
      </c>
      <c r="L1584" s="30" t="s">
        <v>58</v>
      </c>
      <c r="M1584" s="38" t="s">
        <v>48</v>
      </c>
      <c r="N1584" s="38" t="s">
        <v>48</v>
      </c>
      <c r="O1584" s="63" t="s">
        <v>396</v>
      </c>
      <c r="P1584" s="28" t="s">
        <v>397</v>
      </c>
      <c r="Q1584" s="38" t="s">
        <v>4505</v>
      </c>
      <c r="R1584" s="38">
        <v>1</v>
      </c>
      <c r="S1584" s="38" t="s">
        <v>3878</v>
      </c>
      <c r="T1584" s="38" t="s">
        <v>53</v>
      </c>
      <c r="U1584" s="38" t="s">
        <v>54</v>
      </c>
      <c r="V1584" s="38" t="s">
        <v>55</v>
      </c>
      <c r="Y1584" s="38">
        <v>64.680000000000007</v>
      </c>
      <c r="Z1584" s="38">
        <v>1</v>
      </c>
      <c r="AF1584" s="38">
        <v>54.25</v>
      </c>
      <c r="AK1584" s="14" t="e">
        <f t="shared" si="7"/>
        <v>#DIV/0!</v>
      </c>
      <c r="AM1584" s="38"/>
      <c r="AO1584" s="28"/>
    </row>
    <row r="1585" spans="1:42" ht="12.5">
      <c r="A1585" s="28" t="s">
        <v>5756</v>
      </c>
      <c r="B1585" s="37">
        <v>45865</v>
      </c>
      <c r="C1585" s="29">
        <v>45884</v>
      </c>
      <c r="D1585" s="38" t="s">
        <v>41</v>
      </c>
      <c r="E1585" s="38" t="s">
        <v>5757</v>
      </c>
      <c r="G1585" s="38" t="s">
        <v>43</v>
      </c>
      <c r="H1585" s="38">
        <v>9.82</v>
      </c>
      <c r="I1585" s="38" t="s">
        <v>44</v>
      </c>
      <c r="J1585" s="38" t="s">
        <v>45</v>
      </c>
      <c r="K1585" s="38" t="s">
        <v>5758</v>
      </c>
      <c r="L1585" s="30" t="s">
        <v>58</v>
      </c>
      <c r="M1585" s="38" t="s">
        <v>48</v>
      </c>
      <c r="N1585" s="38" t="s">
        <v>48</v>
      </c>
      <c r="O1585" s="63" t="s">
        <v>396</v>
      </c>
      <c r="P1585" s="28" t="s">
        <v>397</v>
      </c>
      <c r="Q1585" s="38" t="s">
        <v>4505</v>
      </c>
      <c r="R1585" s="38">
        <v>1</v>
      </c>
      <c r="S1585" s="38" t="s">
        <v>3884</v>
      </c>
      <c r="T1585" s="38" t="s">
        <v>53</v>
      </c>
      <c r="U1585" s="38" t="s">
        <v>54</v>
      </c>
      <c r="V1585" s="38" t="s">
        <v>61</v>
      </c>
      <c r="X1585" s="61">
        <v>45895</v>
      </c>
      <c r="Y1585" s="38">
        <v>66.84</v>
      </c>
      <c r="Z1585" s="38">
        <v>1</v>
      </c>
      <c r="AF1585" s="38">
        <v>50.43</v>
      </c>
      <c r="AK1585" s="14" t="e">
        <f t="shared" si="7"/>
        <v>#DIV/0!</v>
      </c>
      <c r="AM1585" s="38"/>
      <c r="AO1585" s="28"/>
    </row>
    <row r="1586" spans="1:42" ht="50">
      <c r="A1586" s="28" t="s">
        <v>5759</v>
      </c>
      <c r="B1586" s="37">
        <v>45869</v>
      </c>
      <c r="C1586" s="29">
        <v>45875</v>
      </c>
      <c r="D1586" s="38" t="s">
        <v>41</v>
      </c>
      <c r="E1586" s="38" t="s">
        <v>5760</v>
      </c>
      <c r="G1586" s="38" t="s">
        <v>43</v>
      </c>
      <c r="H1586" s="38">
        <v>7.64</v>
      </c>
      <c r="I1586" s="38" t="s">
        <v>44</v>
      </c>
      <c r="J1586" s="38" t="s">
        <v>45</v>
      </c>
      <c r="K1586" s="38" t="s">
        <v>5761</v>
      </c>
      <c r="L1586" s="30" t="s">
        <v>47</v>
      </c>
      <c r="M1586" s="38" t="s">
        <v>48</v>
      </c>
      <c r="N1586" s="38" t="s">
        <v>48</v>
      </c>
      <c r="O1586" s="68" t="s">
        <v>5154</v>
      </c>
      <c r="P1586" s="28" t="s">
        <v>5155</v>
      </c>
      <c r="Q1586" s="38" t="s">
        <v>5156</v>
      </c>
      <c r="R1586" s="38">
        <v>1</v>
      </c>
      <c r="S1586" s="38" t="s">
        <v>82</v>
      </c>
      <c r="T1586" s="38" t="s">
        <v>53</v>
      </c>
      <c r="U1586" s="38" t="s">
        <v>54</v>
      </c>
      <c r="V1586" s="38" t="s">
        <v>560</v>
      </c>
      <c r="Y1586" s="38">
        <v>70.900000000000006</v>
      </c>
      <c r="Z1586" s="38">
        <v>1</v>
      </c>
      <c r="AF1586" s="38"/>
      <c r="AK1586" s="14" t="e">
        <f t="shared" si="7"/>
        <v>#DIV/0!</v>
      </c>
      <c r="AL1586" s="67" t="s">
        <v>5762</v>
      </c>
      <c r="AM1586" s="38" t="s">
        <v>1168</v>
      </c>
      <c r="AO1586" s="28" t="s">
        <v>5763</v>
      </c>
    </row>
    <row r="1587" spans="1:42" ht="12.5">
      <c r="A1587" s="28" t="s">
        <v>5764</v>
      </c>
      <c r="B1587" s="37">
        <v>45847</v>
      </c>
      <c r="C1587" s="29">
        <v>45870</v>
      </c>
      <c r="D1587" s="38" t="s">
        <v>41</v>
      </c>
      <c r="E1587" s="38" t="s">
        <v>5765</v>
      </c>
      <c r="G1587" s="38" t="s">
        <v>43</v>
      </c>
      <c r="H1587" s="38">
        <v>7.62</v>
      </c>
      <c r="I1587" s="38" t="s">
        <v>44</v>
      </c>
      <c r="J1587" s="38" t="s">
        <v>45</v>
      </c>
      <c r="K1587" s="38" t="s">
        <v>5766</v>
      </c>
      <c r="L1587" s="30" t="s">
        <v>58</v>
      </c>
      <c r="M1587" s="38" t="s">
        <v>48</v>
      </c>
      <c r="N1587" s="38" t="s">
        <v>48</v>
      </c>
      <c r="O1587" s="68" t="s">
        <v>5154</v>
      </c>
      <c r="P1587" s="28" t="s">
        <v>5155</v>
      </c>
      <c r="Q1587" s="38" t="s">
        <v>5156</v>
      </c>
      <c r="R1587" s="38">
        <v>1</v>
      </c>
      <c r="S1587" s="38" t="s">
        <v>3884</v>
      </c>
      <c r="T1587" s="38" t="s">
        <v>53</v>
      </c>
      <c r="U1587" s="38" t="s">
        <v>54</v>
      </c>
      <c r="V1587" s="38" t="s">
        <v>61</v>
      </c>
      <c r="Y1587" s="38">
        <v>67.900000000000006</v>
      </c>
      <c r="Z1587" s="38">
        <v>1</v>
      </c>
      <c r="AF1587" s="38"/>
      <c r="AK1587" s="14" t="e">
        <f t="shared" si="7"/>
        <v>#DIV/0!</v>
      </c>
      <c r="AM1587" s="38"/>
      <c r="AO1587" s="28"/>
    </row>
    <row r="1588" spans="1:42" ht="12.5">
      <c r="A1588" s="28" t="s">
        <v>5767</v>
      </c>
      <c r="B1588" s="37">
        <v>45867</v>
      </c>
      <c r="C1588" s="29">
        <v>45872</v>
      </c>
      <c r="D1588" s="38" t="s">
        <v>41</v>
      </c>
      <c r="E1588" s="38" t="s">
        <v>5768</v>
      </c>
      <c r="G1588" s="38" t="s">
        <v>43</v>
      </c>
      <c r="H1588" s="38">
        <v>10.85</v>
      </c>
      <c r="I1588" s="38" t="s">
        <v>44</v>
      </c>
      <c r="J1588" s="38" t="s">
        <v>45</v>
      </c>
      <c r="K1588" s="38" t="s">
        <v>5769</v>
      </c>
      <c r="L1588" s="30" t="s">
        <v>58</v>
      </c>
      <c r="M1588" s="38" t="s">
        <v>48</v>
      </c>
      <c r="N1588" s="38" t="s">
        <v>48</v>
      </c>
      <c r="O1588" s="31" t="s">
        <v>3347</v>
      </c>
      <c r="P1588" s="28" t="s">
        <v>3348</v>
      </c>
      <c r="Q1588" s="38" t="s">
        <v>5770</v>
      </c>
      <c r="R1588" s="38">
        <v>1</v>
      </c>
      <c r="S1588" s="38" t="s">
        <v>3868</v>
      </c>
      <c r="T1588" s="38" t="s">
        <v>53</v>
      </c>
      <c r="U1588" s="38" t="s">
        <v>54</v>
      </c>
      <c r="V1588" s="38" t="s">
        <v>55</v>
      </c>
      <c r="Y1588" s="38">
        <v>72.819999999999993</v>
      </c>
      <c r="Z1588" s="38">
        <v>1</v>
      </c>
      <c r="AF1588" s="38">
        <v>61.97</v>
      </c>
      <c r="AK1588" s="14" t="e">
        <f t="shared" si="7"/>
        <v>#DIV/0!</v>
      </c>
      <c r="AM1588" s="38"/>
      <c r="AO1588" s="28"/>
    </row>
    <row r="1589" spans="1:42" ht="12.5">
      <c r="A1589" s="28" t="s">
        <v>5771</v>
      </c>
      <c r="B1589" s="37">
        <v>45870</v>
      </c>
      <c r="C1589" s="29">
        <v>45877</v>
      </c>
      <c r="D1589" s="38" t="s">
        <v>41</v>
      </c>
      <c r="E1589" s="38" t="s">
        <v>5772</v>
      </c>
      <c r="G1589" s="38" t="s">
        <v>43</v>
      </c>
      <c r="H1589" s="38">
        <v>10.59</v>
      </c>
      <c r="I1589" s="38" t="s">
        <v>44</v>
      </c>
      <c r="J1589" s="38" t="s">
        <v>45</v>
      </c>
      <c r="K1589" s="38" t="s">
        <v>5773</v>
      </c>
      <c r="L1589" s="30" t="s">
        <v>58</v>
      </c>
      <c r="M1589" s="38" t="s">
        <v>48</v>
      </c>
      <c r="N1589" s="38" t="s">
        <v>48</v>
      </c>
      <c r="O1589" s="31" t="s">
        <v>2806</v>
      </c>
      <c r="P1589" s="28" t="s">
        <v>2807</v>
      </c>
      <c r="Q1589" s="38" t="s">
        <v>5774</v>
      </c>
      <c r="R1589" s="38">
        <v>1</v>
      </c>
      <c r="S1589" s="38" t="s">
        <v>75</v>
      </c>
      <c r="T1589" s="38" t="s">
        <v>53</v>
      </c>
      <c r="U1589" s="38" t="s">
        <v>54</v>
      </c>
      <c r="V1589" s="38" t="s">
        <v>55</v>
      </c>
      <c r="Y1589" s="38">
        <v>82.9</v>
      </c>
      <c r="Z1589" s="38">
        <v>1</v>
      </c>
      <c r="AF1589" s="38">
        <v>72.31</v>
      </c>
      <c r="AK1589" s="14" t="e">
        <f t="shared" si="7"/>
        <v>#DIV/0!</v>
      </c>
      <c r="AM1589" s="38"/>
      <c r="AO1589" s="28"/>
    </row>
    <row r="1590" spans="1:42" ht="14">
      <c r="A1590" s="28" t="s">
        <v>5775</v>
      </c>
      <c r="B1590" s="37">
        <v>45885</v>
      </c>
      <c r="C1590" s="29">
        <v>45888</v>
      </c>
      <c r="D1590" s="38" t="s">
        <v>41</v>
      </c>
      <c r="E1590" s="38" t="s">
        <v>5776</v>
      </c>
      <c r="G1590" s="38" t="s">
        <v>43</v>
      </c>
      <c r="H1590" s="38">
        <v>11.33</v>
      </c>
      <c r="I1590" s="38" t="s">
        <v>44</v>
      </c>
      <c r="J1590" s="38" t="s">
        <v>45</v>
      </c>
      <c r="K1590" s="38" t="s">
        <v>5777</v>
      </c>
      <c r="L1590" s="30" t="s">
        <v>47</v>
      </c>
      <c r="M1590" s="38" t="s">
        <v>48</v>
      </c>
      <c r="N1590" s="38" t="s">
        <v>48</v>
      </c>
      <c r="O1590" s="63" t="s">
        <v>79</v>
      </c>
      <c r="P1590" s="28" t="s">
        <v>80</v>
      </c>
      <c r="Q1590" s="38" t="s">
        <v>4631</v>
      </c>
      <c r="R1590" s="38">
        <v>1</v>
      </c>
      <c r="S1590" s="38" t="s">
        <v>52</v>
      </c>
      <c r="T1590" s="38" t="s">
        <v>53</v>
      </c>
      <c r="U1590" s="38" t="s">
        <v>54</v>
      </c>
      <c r="V1590" s="38" t="s">
        <v>61</v>
      </c>
      <c r="Y1590" s="38">
        <v>55.1</v>
      </c>
      <c r="Z1590" s="38">
        <v>1</v>
      </c>
      <c r="AF1590" s="38"/>
      <c r="AK1590" s="14" t="e">
        <f t="shared" si="7"/>
        <v>#DIV/0!</v>
      </c>
      <c r="AL1590" s="53">
        <v>1000026814</v>
      </c>
      <c r="AM1590" s="38"/>
      <c r="AO1590" s="38" t="s">
        <v>5778</v>
      </c>
      <c r="AP1590" s="38" t="s">
        <v>5779</v>
      </c>
    </row>
    <row r="1591" spans="1:42" ht="12.5">
      <c r="A1591" s="28" t="s">
        <v>5780</v>
      </c>
      <c r="B1591" s="37">
        <v>45874</v>
      </c>
      <c r="C1591" s="29">
        <v>45878</v>
      </c>
      <c r="D1591" s="38" t="s">
        <v>41</v>
      </c>
      <c r="E1591" s="38" t="s">
        <v>5781</v>
      </c>
      <c r="G1591" s="38" t="s">
        <v>43</v>
      </c>
      <c r="H1591" s="38">
        <v>11.33</v>
      </c>
      <c r="I1591" s="38" t="s">
        <v>44</v>
      </c>
      <c r="J1591" s="38" t="s">
        <v>45</v>
      </c>
      <c r="K1591" s="38" t="s">
        <v>5782</v>
      </c>
      <c r="L1591" s="30" t="s">
        <v>58</v>
      </c>
      <c r="M1591" s="38" t="s">
        <v>48</v>
      </c>
      <c r="N1591" s="38" t="s">
        <v>48</v>
      </c>
      <c r="O1591" s="63" t="s">
        <v>79</v>
      </c>
      <c r="P1591" s="28" t="s">
        <v>80</v>
      </c>
      <c r="Q1591" s="38" t="s">
        <v>4631</v>
      </c>
      <c r="R1591" s="38">
        <v>1</v>
      </c>
      <c r="S1591" s="38" t="s">
        <v>3878</v>
      </c>
      <c r="T1591" s="38" t="s">
        <v>53</v>
      </c>
      <c r="U1591" s="38" t="s">
        <v>54</v>
      </c>
      <c r="V1591" s="38" t="s">
        <v>55</v>
      </c>
      <c r="Y1591" s="38">
        <v>53.42</v>
      </c>
      <c r="Z1591" s="38">
        <v>1</v>
      </c>
      <c r="AF1591" s="38">
        <v>42.09</v>
      </c>
      <c r="AK1591" s="14" t="e">
        <f t="shared" si="7"/>
        <v>#DIV/0!</v>
      </c>
      <c r="AM1591" s="38"/>
      <c r="AO1591" s="28"/>
    </row>
    <row r="1592" spans="1:42" ht="12.5">
      <c r="A1592" s="28" t="s">
        <v>5783</v>
      </c>
      <c r="B1592" s="37">
        <v>45856</v>
      </c>
      <c r="C1592" s="29">
        <v>45874</v>
      </c>
      <c r="D1592" s="38" t="s">
        <v>41</v>
      </c>
      <c r="E1592" s="38" t="s">
        <v>5784</v>
      </c>
      <c r="G1592" s="38" t="s">
        <v>43</v>
      </c>
      <c r="H1592" s="38">
        <v>11.33</v>
      </c>
      <c r="I1592" s="38" t="s">
        <v>44</v>
      </c>
      <c r="J1592" s="38" t="s">
        <v>45</v>
      </c>
      <c r="K1592" s="38" t="s">
        <v>5785</v>
      </c>
      <c r="L1592" s="30" t="s">
        <v>58</v>
      </c>
      <c r="M1592" s="38" t="s">
        <v>48</v>
      </c>
      <c r="N1592" s="38" t="s">
        <v>48</v>
      </c>
      <c r="O1592" s="63" t="s">
        <v>79</v>
      </c>
      <c r="P1592" s="28" t="s">
        <v>80</v>
      </c>
      <c r="Q1592" s="38" t="s">
        <v>4631</v>
      </c>
      <c r="R1592" s="38">
        <v>1</v>
      </c>
      <c r="S1592" s="38" t="s">
        <v>59</v>
      </c>
      <c r="T1592" s="38" t="s">
        <v>53</v>
      </c>
      <c r="U1592" s="38" t="s">
        <v>54</v>
      </c>
      <c r="V1592" s="38" t="s">
        <v>61</v>
      </c>
      <c r="Y1592" s="38">
        <v>49.41</v>
      </c>
      <c r="Z1592" s="38">
        <v>1</v>
      </c>
      <c r="AF1592" s="38"/>
      <c r="AK1592" s="14" t="e">
        <f t="shared" si="7"/>
        <v>#DIV/0!</v>
      </c>
      <c r="AM1592" s="38"/>
      <c r="AO1592" s="28"/>
    </row>
    <row r="1593" spans="1:42" ht="12.5">
      <c r="A1593" s="28" t="s">
        <v>5786</v>
      </c>
      <c r="B1593" s="37">
        <v>45873</v>
      </c>
      <c r="C1593" s="29">
        <v>45875</v>
      </c>
      <c r="D1593" s="38" t="s">
        <v>41</v>
      </c>
      <c r="E1593" s="38" t="s">
        <v>5787</v>
      </c>
      <c r="G1593" s="38" t="s">
        <v>43</v>
      </c>
      <c r="H1593" s="38">
        <v>7.46</v>
      </c>
      <c r="I1593" s="38" t="s">
        <v>44</v>
      </c>
      <c r="J1593" s="38" t="s">
        <v>45</v>
      </c>
      <c r="K1593" s="38" t="s">
        <v>5788</v>
      </c>
      <c r="L1593" s="30" t="s">
        <v>58</v>
      </c>
      <c r="M1593" s="38" t="s">
        <v>48</v>
      </c>
      <c r="N1593" s="38" t="s">
        <v>48</v>
      </c>
      <c r="O1593" s="31" t="s">
        <v>526</v>
      </c>
      <c r="P1593" s="28" t="s">
        <v>527</v>
      </c>
      <c r="Q1593" s="38" t="s">
        <v>4556</v>
      </c>
      <c r="R1593" s="38">
        <v>1</v>
      </c>
      <c r="S1593" s="38" t="s">
        <v>68</v>
      </c>
      <c r="T1593" s="38" t="s">
        <v>53</v>
      </c>
      <c r="U1593" s="38" t="s">
        <v>54</v>
      </c>
      <c r="V1593" s="38" t="s">
        <v>61</v>
      </c>
      <c r="Y1593" s="38">
        <v>64.77</v>
      </c>
      <c r="Z1593" s="38">
        <v>1</v>
      </c>
      <c r="AF1593" s="38"/>
      <c r="AK1593" s="14" t="e">
        <f t="shared" si="7"/>
        <v>#DIV/0!</v>
      </c>
      <c r="AM1593" s="38"/>
      <c r="AO1593" s="28"/>
    </row>
    <row r="1594" spans="1:42" ht="12.5">
      <c r="A1594" s="28" t="s">
        <v>5789</v>
      </c>
      <c r="B1594" s="37">
        <v>45891</v>
      </c>
      <c r="C1594" s="29">
        <v>45895</v>
      </c>
      <c r="D1594" s="38" t="s">
        <v>41</v>
      </c>
      <c r="E1594" s="38" t="s">
        <v>5790</v>
      </c>
      <c r="G1594" s="38" t="s">
        <v>43</v>
      </c>
      <c r="H1594" s="38">
        <v>9.82</v>
      </c>
      <c r="I1594" s="38" t="s">
        <v>44</v>
      </c>
      <c r="J1594" s="38" t="s">
        <v>45</v>
      </c>
      <c r="K1594" s="38" t="s">
        <v>5791</v>
      </c>
      <c r="L1594" s="30" t="s">
        <v>58</v>
      </c>
      <c r="M1594" s="38" t="s">
        <v>48</v>
      </c>
      <c r="N1594" s="38" t="s">
        <v>48</v>
      </c>
      <c r="O1594" s="63" t="s">
        <v>1134</v>
      </c>
      <c r="P1594" s="28" t="s">
        <v>1135</v>
      </c>
      <c r="Q1594" s="38" t="s">
        <v>1136</v>
      </c>
      <c r="R1594" s="38">
        <v>1</v>
      </c>
      <c r="S1594" s="38" t="s">
        <v>3868</v>
      </c>
      <c r="T1594" s="38" t="s">
        <v>53</v>
      </c>
      <c r="U1594" s="38" t="s">
        <v>54</v>
      </c>
      <c r="V1594" s="38" t="s">
        <v>61</v>
      </c>
      <c r="Y1594" s="38">
        <v>78.8</v>
      </c>
      <c r="Z1594" s="38">
        <v>1</v>
      </c>
      <c r="AF1594" s="38"/>
      <c r="AK1594" s="14" t="e">
        <f t="shared" si="7"/>
        <v>#DIV/0!</v>
      </c>
      <c r="AM1594" s="38"/>
      <c r="AO1594" s="28"/>
    </row>
    <row r="1595" spans="1:42" ht="12.5">
      <c r="A1595" s="28" t="s">
        <v>5792</v>
      </c>
      <c r="B1595" s="37">
        <v>45880</v>
      </c>
      <c r="C1595" s="29">
        <v>45885</v>
      </c>
      <c r="D1595" s="38" t="s">
        <v>41</v>
      </c>
      <c r="E1595" s="38" t="s">
        <v>5793</v>
      </c>
      <c r="G1595" s="38" t="s">
        <v>43</v>
      </c>
      <c r="H1595" s="38">
        <v>9.82</v>
      </c>
      <c r="I1595" s="38" t="s">
        <v>44</v>
      </c>
      <c r="J1595" s="38" t="s">
        <v>45</v>
      </c>
      <c r="K1595" s="38" t="s">
        <v>5794</v>
      </c>
      <c r="L1595" s="30" t="s">
        <v>58</v>
      </c>
      <c r="M1595" s="38" t="s">
        <v>48</v>
      </c>
      <c r="N1595" s="38" t="s">
        <v>48</v>
      </c>
      <c r="O1595" s="63" t="s">
        <v>1134</v>
      </c>
      <c r="P1595" s="28" t="s">
        <v>1135</v>
      </c>
      <c r="Q1595" s="38" t="s">
        <v>1136</v>
      </c>
      <c r="R1595" s="38">
        <v>1</v>
      </c>
      <c r="S1595" s="38" t="s">
        <v>75</v>
      </c>
      <c r="T1595" s="38" t="s">
        <v>53</v>
      </c>
      <c r="U1595" s="38" t="s">
        <v>54</v>
      </c>
      <c r="V1595" s="38" t="s">
        <v>55</v>
      </c>
      <c r="X1595" s="61">
        <v>45891</v>
      </c>
      <c r="Y1595" s="38">
        <v>80.09</v>
      </c>
      <c r="Z1595" s="38">
        <v>1</v>
      </c>
      <c r="AF1595" s="38">
        <v>70.27</v>
      </c>
      <c r="AK1595" s="14" t="e">
        <f t="shared" si="7"/>
        <v>#DIV/0!</v>
      </c>
      <c r="AM1595" s="38"/>
      <c r="AO1595" s="28"/>
    </row>
    <row r="1596" spans="1:42" ht="12.5">
      <c r="A1596" s="46" t="s">
        <v>5792</v>
      </c>
      <c r="B1596" s="37">
        <v>45880</v>
      </c>
      <c r="C1596" s="29">
        <v>45884</v>
      </c>
      <c r="D1596" s="38" t="s">
        <v>41</v>
      </c>
      <c r="E1596" s="38" t="s">
        <v>5795</v>
      </c>
      <c r="G1596" s="38" t="s">
        <v>43</v>
      </c>
      <c r="H1596" s="38">
        <v>9.82</v>
      </c>
      <c r="I1596" s="38" t="s">
        <v>44</v>
      </c>
      <c r="J1596" s="38" t="s">
        <v>45</v>
      </c>
      <c r="K1596" s="38" t="s">
        <v>5796</v>
      </c>
      <c r="L1596" s="30" t="s">
        <v>58</v>
      </c>
      <c r="M1596" s="38" t="s">
        <v>48</v>
      </c>
      <c r="N1596" s="38" t="s">
        <v>48</v>
      </c>
      <c r="O1596" s="63" t="s">
        <v>1134</v>
      </c>
      <c r="P1596" s="28" t="s">
        <v>1135</v>
      </c>
      <c r="Q1596" s="38" t="s">
        <v>1136</v>
      </c>
      <c r="R1596" s="38">
        <v>1</v>
      </c>
      <c r="S1596" s="38" t="s">
        <v>3884</v>
      </c>
      <c r="T1596" s="38" t="s">
        <v>53</v>
      </c>
      <c r="U1596" s="38" t="s">
        <v>54</v>
      </c>
      <c r="V1596" s="38" t="s">
        <v>61</v>
      </c>
      <c r="Y1596" s="38">
        <v>80.09</v>
      </c>
      <c r="Z1596" s="38">
        <v>1</v>
      </c>
      <c r="AF1596" s="38"/>
      <c r="AK1596" s="14" t="e">
        <f t="shared" si="7"/>
        <v>#DIV/0!</v>
      </c>
      <c r="AM1596" s="38"/>
      <c r="AO1596" s="28"/>
    </row>
    <row r="1597" spans="1:42" ht="12.5">
      <c r="A1597" s="28" t="s">
        <v>5797</v>
      </c>
      <c r="B1597" s="37">
        <v>45883</v>
      </c>
      <c r="C1597" s="29">
        <v>45884</v>
      </c>
      <c r="D1597" s="38" t="s">
        <v>41</v>
      </c>
      <c r="E1597" s="38" t="s">
        <v>5798</v>
      </c>
      <c r="G1597" s="38" t="s">
        <v>43</v>
      </c>
      <c r="H1597" s="38">
        <v>12.9</v>
      </c>
      <c r="I1597" s="38" t="s">
        <v>44</v>
      </c>
      <c r="J1597" s="38" t="s">
        <v>45</v>
      </c>
      <c r="K1597" s="38" t="s">
        <v>5799</v>
      </c>
      <c r="L1597" s="30" t="s">
        <v>58</v>
      </c>
      <c r="M1597" s="38" t="s">
        <v>48</v>
      </c>
      <c r="N1597" s="38" t="s">
        <v>48</v>
      </c>
      <c r="O1597" s="31" t="s">
        <v>357</v>
      </c>
      <c r="P1597" s="28" t="s">
        <v>358</v>
      </c>
      <c r="Q1597" s="38" t="s">
        <v>359</v>
      </c>
      <c r="R1597" s="38">
        <v>1</v>
      </c>
      <c r="S1597" s="38" t="s">
        <v>3878</v>
      </c>
      <c r="T1597" s="38" t="s">
        <v>53</v>
      </c>
      <c r="U1597" s="38" t="s">
        <v>54</v>
      </c>
      <c r="V1597" s="38" t="s">
        <v>55</v>
      </c>
      <c r="X1597" s="61">
        <v>45896</v>
      </c>
      <c r="Y1597" s="38">
        <v>76.930000000000007</v>
      </c>
      <c r="Z1597" s="38">
        <v>1</v>
      </c>
      <c r="AF1597" s="38">
        <v>64.03</v>
      </c>
      <c r="AK1597" s="14" t="e">
        <f t="shared" si="7"/>
        <v>#DIV/0!</v>
      </c>
      <c r="AM1597" s="38"/>
      <c r="AO1597" s="28"/>
    </row>
    <row r="1598" spans="1:42" ht="12.5">
      <c r="A1598" s="28" t="s">
        <v>5800</v>
      </c>
      <c r="B1598" s="37">
        <v>45866</v>
      </c>
      <c r="C1598" s="29">
        <v>45872</v>
      </c>
      <c r="D1598" s="38" t="s">
        <v>41</v>
      </c>
      <c r="E1598" s="38" t="s">
        <v>5801</v>
      </c>
      <c r="G1598" s="38" t="s">
        <v>43</v>
      </c>
      <c r="H1598" s="38">
        <v>12.87</v>
      </c>
      <c r="I1598" s="38" t="s">
        <v>44</v>
      </c>
      <c r="J1598" s="38" t="s">
        <v>45</v>
      </c>
      <c r="K1598" s="38" t="s">
        <v>5802</v>
      </c>
      <c r="L1598" s="30" t="s">
        <v>58</v>
      </c>
      <c r="M1598" s="38" t="s">
        <v>48</v>
      </c>
      <c r="N1598" s="38" t="s">
        <v>48</v>
      </c>
      <c r="O1598" s="31" t="s">
        <v>357</v>
      </c>
      <c r="P1598" s="28" t="s">
        <v>358</v>
      </c>
      <c r="Q1598" s="38" t="s">
        <v>359</v>
      </c>
      <c r="R1598" s="38">
        <v>1</v>
      </c>
      <c r="S1598" s="38" t="s">
        <v>3878</v>
      </c>
      <c r="T1598" s="38" t="s">
        <v>53</v>
      </c>
      <c r="U1598" s="38" t="s">
        <v>54</v>
      </c>
      <c r="V1598" s="38" t="s">
        <v>61</v>
      </c>
      <c r="Y1598" s="38">
        <v>76.58</v>
      </c>
      <c r="Z1598" s="38"/>
      <c r="AF1598" s="38">
        <v>60.43</v>
      </c>
      <c r="AK1598" s="14" t="e">
        <f t="shared" si="7"/>
        <v>#DIV/0!</v>
      </c>
      <c r="AM1598" s="38"/>
      <c r="AO1598" s="28"/>
    </row>
    <row r="1599" spans="1:42" ht="12.5">
      <c r="A1599" s="28" t="s">
        <v>5803</v>
      </c>
      <c r="B1599" s="37">
        <v>45871</v>
      </c>
      <c r="C1599" s="29">
        <v>45877</v>
      </c>
      <c r="D1599" s="38" t="s">
        <v>41</v>
      </c>
      <c r="E1599" s="38" t="s">
        <v>5804</v>
      </c>
      <c r="G1599" s="38" t="s">
        <v>43</v>
      </c>
      <c r="H1599" s="38">
        <v>10.88</v>
      </c>
      <c r="I1599" s="38" t="s">
        <v>44</v>
      </c>
      <c r="J1599" s="38" t="s">
        <v>45</v>
      </c>
      <c r="K1599" s="38" t="s">
        <v>5805</v>
      </c>
      <c r="L1599" s="30" t="s">
        <v>58</v>
      </c>
      <c r="M1599" s="38" t="s">
        <v>48</v>
      </c>
      <c r="N1599" s="38" t="s">
        <v>48</v>
      </c>
      <c r="O1599" s="31" t="s">
        <v>2193</v>
      </c>
      <c r="P1599" s="28" t="s">
        <v>2194</v>
      </c>
      <c r="Q1599" s="38" t="s">
        <v>2195</v>
      </c>
      <c r="R1599" s="38">
        <v>1</v>
      </c>
      <c r="S1599" s="38" t="s">
        <v>3884</v>
      </c>
      <c r="T1599" s="38" t="s">
        <v>53</v>
      </c>
      <c r="U1599" s="38" t="s">
        <v>54</v>
      </c>
      <c r="V1599" s="38" t="s">
        <v>55</v>
      </c>
      <c r="Y1599" s="38">
        <v>82.96</v>
      </c>
      <c r="Z1599" s="38">
        <v>1</v>
      </c>
      <c r="AF1599" s="38">
        <v>72.08</v>
      </c>
      <c r="AK1599" s="14" t="e">
        <f t="shared" si="7"/>
        <v>#DIV/0!</v>
      </c>
      <c r="AM1599" s="38" t="s">
        <v>953</v>
      </c>
      <c r="AO1599" s="28"/>
    </row>
    <row r="1600" spans="1:42" ht="14">
      <c r="A1600" s="28" t="s">
        <v>5806</v>
      </c>
      <c r="B1600" s="37">
        <v>45857</v>
      </c>
      <c r="C1600" s="29">
        <v>45876</v>
      </c>
      <c r="D1600" s="38" t="s">
        <v>41</v>
      </c>
      <c r="E1600" s="38" t="s">
        <v>5807</v>
      </c>
      <c r="G1600" s="38" t="s">
        <v>43</v>
      </c>
      <c r="H1600" s="38">
        <v>10.88</v>
      </c>
      <c r="I1600" s="38" t="s">
        <v>44</v>
      </c>
      <c r="J1600" s="38" t="s">
        <v>45</v>
      </c>
      <c r="K1600" s="38" t="s">
        <v>5808</v>
      </c>
      <c r="L1600" s="30" t="s">
        <v>47</v>
      </c>
      <c r="M1600" s="38" t="s">
        <v>48</v>
      </c>
      <c r="N1600" s="38" t="s">
        <v>48</v>
      </c>
      <c r="O1600" s="31" t="s">
        <v>2193</v>
      </c>
      <c r="P1600" s="28" t="s">
        <v>2194</v>
      </c>
      <c r="Q1600" s="38" t="s">
        <v>2195</v>
      </c>
      <c r="R1600" s="38">
        <v>1</v>
      </c>
      <c r="S1600" s="38" t="s">
        <v>52</v>
      </c>
      <c r="T1600" s="38" t="s">
        <v>53</v>
      </c>
      <c r="U1600" s="38" t="s">
        <v>54</v>
      </c>
      <c r="V1600" s="38" t="s">
        <v>61</v>
      </c>
      <c r="Y1600" s="38">
        <v>81.739999999999995</v>
      </c>
      <c r="Z1600" s="38">
        <v>1</v>
      </c>
      <c r="AF1600" s="38"/>
      <c r="AK1600" s="14" t="e">
        <f t="shared" si="7"/>
        <v>#DIV/0!</v>
      </c>
      <c r="AL1600" s="53">
        <v>1000025133</v>
      </c>
      <c r="AM1600" s="38"/>
      <c r="AO1600" s="28" t="s">
        <v>5534</v>
      </c>
    </row>
    <row r="1601" spans="1:41" ht="12.5">
      <c r="A1601" s="28" t="s">
        <v>5809</v>
      </c>
      <c r="B1601" s="37">
        <v>45866</v>
      </c>
      <c r="C1601" s="29">
        <v>45884</v>
      </c>
      <c r="D1601" s="38" t="s">
        <v>41</v>
      </c>
      <c r="E1601" s="38" t="s">
        <v>5810</v>
      </c>
      <c r="G1601" s="38" t="s">
        <v>43</v>
      </c>
      <c r="H1601" s="38">
        <v>11.33</v>
      </c>
      <c r="I1601" s="38" t="s">
        <v>44</v>
      </c>
      <c r="J1601" s="38" t="s">
        <v>45</v>
      </c>
      <c r="K1601" s="38" t="s">
        <v>5811</v>
      </c>
      <c r="L1601" s="30" t="s">
        <v>58</v>
      </c>
      <c r="M1601" s="38" t="s">
        <v>48</v>
      </c>
      <c r="N1601" s="38" t="s">
        <v>48</v>
      </c>
      <c r="O1601" s="31" t="s">
        <v>310</v>
      </c>
      <c r="P1601" s="28" t="s">
        <v>311</v>
      </c>
      <c r="Q1601" s="38" t="s">
        <v>312</v>
      </c>
      <c r="R1601" s="38">
        <v>1</v>
      </c>
      <c r="S1601" s="38" t="s">
        <v>3884</v>
      </c>
      <c r="T1601" s="38" t="s">
        <v>53</v>
      </c>
      <c r="U1601" s="38" t="s">
        <v>54</v>
      </c>
      <c r="V1601" s="38" t="s">
        <v>61</v>
      </c>
      <c r="Y1601" s="38">
        <v>148.94999999999999</v>
      </c>
      <c r="Z1601" s="38">
        <v>1</v>
      </c>
      <c r="AF1601" s="38"/>
      <c r="AK1601" s="14" t="e">
        <f t="shared" si="7"/>
        <v>#DIV/0!</v>
      </c>
      <c r="AM1601" s="38"/>
      <c r="AO1601" s="28"/>
    </row>
    <row r="1602" spans="1:41" ht="12.5">
      <c r="A1602" s="28" t="s">
        <v>5812</v>
      </c>
      <c r="B1602" s="37">
        <v>45854</v>
      </c>
      <c r="C1602" s="29">
        <v>45882</v>
      </c>
      <c r="D1602" s="38" t="s">
        <v>41</v>
      </c>
      <c r="E1602" s="38" t="s">
        <v>5813</v>
      </c>
      <c r="G1602" s="38" t="s">
        <v>43</v>
      </c>
      <c r="H1602" s="38">
        <v>11.33</v>
      </c>
      <c r="I1602" s="38" t="s">
        <v>44</v>
      </c>
      <c r="J1602" s="38" t="s">
        <v>45</v>
      </c>
      <c r="K1602" s="38" t="s">
        <v>5814</v>
      </c>
      <c r="L1602" s="30" t="s">
        <v>58</v>
      </c>
      <c r="M1602" s="38" t="s">
        <v>48</v>
      </c>
      <c r="N1602" s="38" t="s">
        <v>48</v>
      </c>
      <c r="O1602" s="31" t="s">
        <v>310</v>
      </c>
      <c r="P1602" s="28" t="s">
        <v>311</v>
      </c>
      <c r="Q1602" s="38" t="s">
        <v>312</v>
      </c>
      <c r="R1602" s="38">
        <v>1</v>
      </c>
      <c r="S1602" s="38" t="s">
        <v>3884</v>
      </c>
      <c r="T1602" s="38" t="s">
        <v>53</v>
      </c>
      <c r="U1602" s="38" t="s">
        <v>54</v>
      </c>
      <c r="V1602" s="38" t="s">
        <v>61</v>
      </c>
      <c r="X1602" s="61">
        <v>45891</v>
      </c>
      <c r="Y1602" s="38">
        <v>150.25</v>
      </c>
      <c r="Z1602" s="38">
        <v>1</v>
      </c>
      <c r="AF1602" s="38">
        <v>150.25</v>
      </c>
      <c r="AK1602" s="14" t="e">
        <f t="shared" si="7"/>
        <v>#DIV/0!</v>
      </c>
      <c r="AM1602" s="38"/>
      <c r="AO1602" s="28"/>
    </row>
    <row r="1603" spans="1:41" ht="12.5">
      <c r="A1603" s="28" t="s">
        <v>5815</v>
      </c>
      <c r="B1603" s="37">
        <v>45873</v>
      </c>
      <c r="C1603" s="29">
        <v>45880</v>
      </c>
      <c r="D1603" s="38" t="s">
        <v>41</v>
      </c>
      <c r="E1603" s="38" t="s">
        <v>5816</v>
      </c>
      <c r="G1603" s="38" t="s">
        <v>43</v>
      </c>
      <c r="H1603" s="38">
        <v>11.33</v>
      </c>
      <c r="I1603" s="38" t="s">
        <v>44</v>
      </c>
      <c r="J1603" s="38" t="s">
        <v>45</v>
      </c>
      <c r="K1603" s="38" t="s">
        <v>5817</v>
      </c>
      <c r="L1603" s="30" t="s">
        <v>58</v>
      </c>
      <c r="M1603" s="38" t="s">
        <v>48</v>
      </c>
      <c r="N1603" s="38" t="s">
        <v>48</v>
      </c>
      <c r="O1603" s="31" t="s">
        <v>5818</v>
      </c>
      <c r="P1603" s="28" t="s">
        <v>5819</v>
      </c>
      <c r="Q1603" s="38" t="s">
        <v>5820</v>
      </c>
      <c r="R1603" s="38">
        <v>1</v>
      </c>
      <c r="S1603" s="38" t="s">
        <v>3868</v>
      </c>
      <c r="T1603" s="38" t="s">
        <v>53</v>
      </c>
      <c r="U1603" s="38" t="s">
        <v>54</v>
      </c>
      <c r="V1603" s="38" t="s">
        <v>61</v>
      </c>
      <c r="Y1603" s="38">
        <v>73.430000000000007</v>
      </c>
      <c r="Z1603" s="38">
        <v>1</v>
      </c>
      <c r="AF1603" s="38"/>
      <c r="AK1603" s="14" t="e">
        <f t="shared" si="7"/>
        <v>#DIV/0!</v>
      </c>
      <c r="AM1603" s="38"/>
      <c r="AO1603" s="28"/>
    </row>
    <row r="1604" spans="1:41" ht="12.5">
      <c r="A1604" s="28" t="s">
        <v>5821</v>
      </c>
      <c r="B1604" s="37">
        <v>45881</v>
      </c>
      <c r="C1604" s="29">
        <v>45893</v>
      </c>
      <c r="D1604" s="38" t="s">
        <v>41</v>
      </c>
      <c r="E1604" s="38" t="s">
        <v>5822</v>
      </c>
      <c r="G1604" s="38" t="s">
        <v>43</v>
      </c>
      <c r="H1604" s="38">
        <v>11.98</v>
      </c>
      <c r="I1604" s="38" t="s">
        <v>44</v>
      </c>
      <c r="J1604" s="38" t="s">
        <v>45</v>
      </c>
      <c r="K1604" s="38" t="s">
        <v>5823</v>
      </c>
      <c r="L1604" s="30" t="s">
        <v>58</v>
      </c>
      <c r="M1604" s="38" t="s">
        <v>48</v>
      </c>
      <c r="N1604" s="38" t="s">
        <v>48</v>
      </c>
      <c r="O1604" s="31" t="s">
        <v>1840</v>
      </c>
      <c r="P1604" s="28" t="s">
        <v>1841</v>
      </c>
      <c r="Q1604" s="38" t="s">
        <v>1842</v>
      </c>
      <c r="R1604" s="38">
        <v>1</v>
      </c>
      <c r="S1604" s="38" t="s">
        <v>68</v>
      </c>
      <c r="T1604" s="38" t="s">
        <v>53</v>
      </c>
      <c r="U1604" s="38" t="s">
        <v>54</v>
      </c>
      <c r="V1604" s="38" t="s">
        <v>61</v>
      </c>
      <c r="Y1604" s="38">
        <v>102.26</v>
      </c>
      <c r="Z1604" s="38">
        <v>1</v>
      </c>
      <c r="AF1604" s="38">
        <v>86.15</v>
      </c>
      <c r="AK1604" s="14" t="e">
        <f t="shared" si="7"/>
        <v>#DIV/0!</v>
      </c>
      <c r="AM1604" s="38"/>
      <c r="AO1604" s="28"/>
    </row>
    <row r="1605" spans="1:41" ht="14">
      <c r="A1605" s="28" t="s">
        <v>5824</v>
      </c>
      <c r="B1605" s="37">
        <v>45879</v>
      </c>
      <c r="C1605" s="29">
        <v>45883</v>
      </c>
      <c r="D1605" s="38" t="s">
        <v>41</v>
      </c>
      <c r="E1605" s="38" t="s">
        <v>5825</v>
      </c>
      <c r="G1605" s="38" t="s">
        <v>43</v>
      </c>
      <c r="H1605" s="38">
        <v>11.98</v>
      </c>
      <c r="I1605" s="38" t="s">
        <v>44</v>
      </c>
      <c r="J1605" s="38" t="s">
        <v>45</v>
      </c>
      <c r="K1605" s="38" t="s">
        <v>5826</v>
      </c>
      <c r="L1605" s="30" t="s">
        <v>47</v>
      </c>
      <c r="M1605" s="38" t="s">
        <v>48</v>
      </c>
      <c r="N1605" s="38" t="s">
        <v>48</v>
      </c>
      <c r="O1605" s="31" t="s">
        <v>1840</v>
      </c>
      <c r="P1605" s="28" t="s">
        <v>1841</v>
      </c>
      <c r="Q1605" s="38" t="s">
        <v>1842</v>
      </c>
      <c r="R1605" s="38">
        <v>1</v>
      </c>
      <c r="S1605" s="38" t="s">
        <v>52</v>
      </c>
      <c r="T1605" s="38" t="s">
        <v>53</v>
      </c>
      <c r="U1605" s="38" t="s">
        <v>54</v>
      </c>
      <c r="V1605" s="38" t="s">
        <v>55</v>
      </c>
      <c r="X1605" s="61">
        <v>45891</v>
      </c>
      <c r="Y1605" s="38">
        <v>100.1</v>
      </c>
      <c r="Z1605" s="38">
        <v>1</v>
      </c>
      <c r="AF1605" s="38">
        <v>100.1</v>
      </c>
      <c r="AK1605" s="14" t="e">
        <f t="shared" si="7"/>
        <v>#DIV/0!</v>
      </c>
      <c r="AL1605" s="53">
        <v>1000026436</v>
      </c>
      <c r="AM1605" s="38"/>
      <c r="AO1605" s="28"/>
    </row>
    <row r="1606" spans="1:41" ht="12.5">
      <c r="A1606" s="28" t="s">
        <v>5827</v>
      </c>
      <c r="B1606" s="37">
        <v>45875</v>
      </c>
      <c r="C1606" s="29">
        <v>45880</v>
      </c>
      <c r="D1606" s="38" t="s">
        <v>41</v>
      </c>
      <c r="E1606" s="38" t="s">
        <v>5828</v>
      </c>
      <c r="G1606" s="38" t="s">
        <v>43</v>
      </c>
      <c r="H1606" s="38">
        <v>11.98</v>
      </c>
      <c r="I1606" s="38" t="s">
        <v>44</v>
      </c>
      <c r="J1606" s="38" t="s">
        <v>45</v>
      </c>
      <c r="K1606" s="38" t="s">
        <v>5829</v>
      </c>
      <c r="L1606" s="30" t="s">
        <v>58</v>
      </c>
      <c r="M1606" s="38" t="s">
        <v>48</v>
      </c>
      <c r="N1606" s="38" t="s">
        <v>48</v>
      </c>
      <c r="O1606" s="31" t="s">
        <v>1840</v>
      </c>
      <c r="P1606" s="28" t="s">
        <v>1841</v>
      </c>
      <c r="Q1606" s="38" t="s">
        <v>1842</v>
      </c>
      <c r="R1606" s="38">
        <v>1</v>
      </c>
      <c r="S1606" s="38" t="s">
        <v>68</v>
      </c>
      <c r="T1606" s="38" t="s">
        <v>53</v>
      </c>
      <c r="U1606" s="38" t="s">
        <v>54</v>
      </c>
      <c r="V1606" s="38" t="s">
        <v>55</v>
      </c>
      <c r="Y1606" s="38">
        <v>102.85</v>
      </c>
      <c r="Z1606" s="38">
        <v>1</v>
      </c>
      <c r="AF1606" s="38">
        <v>90.87</v>
      </c>
      <c r="AK1606" s="14" t="e">
        <f t="shared" si="7"/>
        <v>#DIV/0!</v>
      </c>
      <c r="AM1606" s="38"/>
      <c r="AO1606" s="28"/>
    </row>
    <row r="1607" spans="1:41" ht="12.5">
      <c r="A1607" s="28" t="s">
        <v>5830</v>
      </c>
      <c r="B1607" s="37">
        <v>45874</v>
      </c>
      <c r="C1607" s="29">
        <v>45890</v>
      </c>
      <c r="D1607" s="38" t="s">
        <v>41</v>
      </c>
      <c r="E1607" s="38" t="s">
        <v>5831</v>
      </c>
      <c r="G1607" s="38" t="s">
        <v>43</v>
      </c>
      <c r="H1607" s="38">
        <v>13.38</v>
      </c>
      <c r="I1607" s="38" t="s">
        <v>44</v>
      </c>
      <c r="J1607" s="38" t="s">
        <v>45</v>
      </c>
      <c r="K1607" s="38" t="s">
        <v>5832</v>
      </c>
      <c r="L1607" s="30" t="s">
        <v>58</v>
      </c>
      <c r="M1607" s="38" t="s">
        <v>48</v>
      </c>
      <c r="N1607" s="38" t="s">
        <v>48</v>
      </c>
      <c r="O1607" s="31" t="s">
        <v>1292</v>
      </c>
      <c r="P1607" s="28" t="s">
        <v>1293</v>
      </c>
      <c r="Q1607" s="38" t="s">
        <v>5833</v>
      </c>
      <c r="R1607" s="38">
        <v>1</v>
      </c>
      <c r="S1607" s="38" t="s">
        <v>3884</v>
      </c>
      <c r="T1607" s="38" t="s">
        <v>53</v>
      </c>
      <c r="U1607" s="38" t="s">
        <v>54</v>
      </c>
      <c r="V1607" s="38" t="s">
        <v>55</v>
      </c>
      <c r="Y1607" s="38">
        <v>74.819999999999993</v>
      </c>
      <c r="Z1607" s="38">
        <v>1</v>
      </c>
      <c r="AF1607" s="38">
        <v>61.44</v>
      </c>
      <c r="AK1607" s="14" t="e">
        <f t="shared" si="7"/>
        <v>#DIV/0!</v>
      </c>
      <c r="AM1607" s="38"/>
      <c r="AO1607" s="28"/>
    </row>
    <row r="1608" spans="1:41" ht="14">
      <c r="A1608" s="28" t="s">
        <v>5834</v>
      </c>
      <c r="B1608" s="37">
        <v>45872</v>
      </c>
      <c r="C1608" s="29">
        <v>45880</v>
      </c>
      <c r="D1608" s="38" t="s">
        <v>41</v>
      </c>
      <c r="E1608" s="38" t="s">
        <v>5835</v>
      </c>
      <c r="G1608" s="38" t="s">
        <v>43</v>
      </c>
      <c r="H1608" s="38">
        <v>13.38</v>
      </c>
      <c r="I1608" s="38" t="s">
        <v>44</v>
      </c>
      <c r="J1608" s="38" t="s">
        <v>45</v>
      </c>
      <c r="K1608" s="38" t="s">
        <v>5836</v>
      </c>
      <c r="L1608" s="30" t="s">
        <v>47</v>
      </c>
      <c r="M1608" s="38" t="s">
        <v>48</v>
      </c>
      <c r="N1608" s="38" t="s">
        <v>48</v>
      </c>
      <c r="O1608" s="31" t="s">
        <v>1292</v>
      </c>
      <c r="P1608" s="28" t="s">
        <v>1293</v>
      </c>
      <c r="Q1608" s="38" t="s">
        <v>5833</v>
      </c>
      <c r="R1608" s="38">
        <v>1</v>
      </c>
      <c r="S1608" s="38" t="s">
        <v>421</v>
      </c>
      <c r="T1608" s="38" t="s">
        <v>53</v>
      </c>
      <c r="U1608" s="38" t="s">
        <v>54</v>
      </c>
      <c r="V1608" s="38" t="s">
        <v>55</v>
      </c>
      <c r="Y1608" s="38">
        <v>76.58</v>
      </c>
      <c r="Z1608" s="38">
        <v>1</v>
      </c>
      <c r="AF1608" s="38">
        <v>76.58</v>
      </c>
      <c r="AK1608" s="14" t="e">
        <f t="shared" si="7"/>
        <v>#DIV/0!</v>
      </c>
      <c r="AL1608" s="53">
        <v>1000026025</v>
      </c>
      <c r="AM1608" s="38" t="s">
        <v>953</v>
      </c>
      <c r="AO1608" s="28"/>
    </row>
    <row r="1609" spans="1:41" ht="12.5">
      <c r="A1609" s="28" t="s">
        <v>5837</v>
      </c>
      <c r="B1609" s="37">
        <v>45866</v>
      </c>
      <c r="C1609" s="29">
        <v>45870</v>
      </c>
      <c r="D1609" s="38" t="s">
        <v>41</v>
      </c>
      <c r="E1609" s="38" t="s">
        <v>5838</v>
      </c>
      <c r="G1609" s="38" t="s">
        <v>43</v>
      </c>
      <c r="H1609" s="38">
        <v>14.29</v>
      </c>
      <c r="I1609" s="38" t="s">
        <v>44</v>
      </c>
      <c r="J1609" s="38" t="s">
        <v>45</v>
      </c>
      <c r="K1609" s="38" t="s">
        <v>5839</v>
      </c>
      <c r="L1609" s="30" t="s">
        <v>58</v>
      </c>
      <c r="M1609" s="38" t="s">
        <v>48</v>
      </c>
      <c r="N1609" s="38" t="s">
        <v>48</v>
      </c>
      <c r="O1609" s="31" t="s">
        <v>2593</v>
      </c>
      <c r="P1609" s="28" t="s">
        <v>2594</v>
      </c>
      <c r="Q1609" s="38" t="s">
        <v>2595</v>
      </c>
      <c r="R1609" s="38">
        <v>1</v>
      </c>
      <c r="S1609" s="38" t="s">
        <v>3884</v>
      </c>
      <c r="T1609" s="38" t="s">
        <v>53</v>
      </c>
      <c r="U1609" s="38" t="s">
        <v>54</v>
      </c>
      <c r="V1609" s="38" t="s">
        <v>61</v>
      </c>
      <c r="Y1609" s="38">
        <v>84.4</v>
      </c>
      <c r="Z1609" s="38">
        <v>1</v>
      </c>
      <c r="AF1609" s="38">
        <v>67.989999999999995</v>
      </c>
      <c r="AK1609" s="14" t="e">
        <f t="shared" si="7"/>
        <v>#DIV/0!</v>
      </c>
      <c r="AM1609" s="38"/>
      <c r="AO1609" s="28"/>
    </row>
    <row r="1610" spans="1:41" ht="12.5">
      <c r="A1610" s="28" t="s">
        <v>5840</v>
      </c>
      <c r="B1610" s="37">
        <v>45870</v>
      </c>
      <c r="C1610" s="29">
        <v>45882</v>
      </c>
      <c r="D1610" s="38" t="s">
        <v>41</v>
      </c>
      <c r="E1610" s="38" t="s">
        <v>5841</v>
      </c>
      <c r="G1610" s="38" t="s">
        <v>137</v>
      </c>
      <c r="H1610" s="38">
        <v>0</v>
      </c>
      <c r="I1610" s="38"/>
      <c r="J1610" s="38"/>
      <c r="K1610" s="38"/>
      <c r="L1610" s="30" t="s">
        <v>58</v>
      </c>
      <c r="M1610" s="38" t="s">
        <v>48</v>
      </c>
      <c r="N1610" s="38" t="s">
        <v>48</v>
      </c>
      <c r="O1610" s="31" t="s">
        <v>1020</v>
      </c>
      <c r="P1610" s="28" t="s">
        <v>1021</v>
      </c>
      <c r="Q1610" s="38" t="s">
        <v>1022</v>
      </c>
      <c r="R1610" s="38">
        <v>1</v>
      </c>
      <c r="S1610" s="38" t="s">
        <v>3868</v>
      </c>
      <c r="T1610" s="38" t="s">
        <v>53</v>
      </c>
      <c r="U1610" s="38" t="s">
        <v>54</v>
      </c>
      <c r="V1610" s="38" t="s">
        <v>61</v>
      </c>
      <c r="Y1610" s="38">
        <v>309.83</v>
      </c>
      <c r="Z1610" s="38">
        <v>1</v>
      </c>
      <c r="AF1610" s="38"/>
      <c r="AK1610" s="14" t="e">
        <f t="shared" si="7"/>
        <v>#DIV/0!</v>
      </c>
      <c r="AM1610" s="38"/>
      <c r="AO1610" s="28"/>
    </row>
    <row r="1611" spans="1:41" ht="12.5">
      <c r="A1611" s="28" t="s">
        <v>5842</v>
      </c>
      <c r="B1611" s="37">
        <v>45887</v>
      </c>
      <c r="C1611" s="29">
        <v>45891</v>
      </c>
      <c r="D1611" s="38" t="s">
        <v>41</v>
      </c>
      <c r="E1611" s="38" t="s">
        <v>5843</v>
      </c>
      <c r="G1611" s="38" t="s">
        <v>43</v>
      </c>
      <c r="H1611" s="38">
        <v>14.32</v>
      </c>
      <c r="I1611" s="38" t="s">
        <v>44</v>
      </c>
      <c r="J1611" s="38" t="s">
        <v>45</v>
      </c>
      <c r="K1611" s="38" t="s">
        <v>5844</v>
      </c>
      <c r="L1611" s="30" t="s">
        <v>58</v>
      </c>
      <c r="M1611" s="38" t="s">
        <v>48</v>
      </c>
      <c r="N1611" s="38" t="s">
        <v>48</v>
      </c>
      <c r="O1611" s="31" t="s">
        <v>425</v>
      </c>
      <c r="P1611" s="28" t="s">
        <v>426</v>
      </c>
      <c r="Q1611" s="38" t="s">
        <v>427</v>
      </c>
      <c r="R1611" s="38">
        <v>1</v>
      </c>
      <c r="S1611" s="38" t="s">
        <v>3868</v>
      </c>
      <c r="T1611" s="38" t="s">
        <v>53</v>
      </c>
      <c r="U1611" s="38" t="s">
        <v>54</v>
      </c>
      <c r="V1611" s="38" t="s">
        <v>61</v>
      </c>
      <c r="Y1611" s="38">
        <v>139.9</v>
      </c>
      <c r="Z1611" s="38">
        <v>1</v>
      </c>
      <c r="AF1611" s="38">
        <v>124.95</v>
      </c>
      <c r="AK1611" s="14" t="e">
        <f t="shared" si="7"/>
        <v>#DIV/0!</v>
      </c>
      <c r="AM1611" s="38"/>
      <c r="AO1611" s="28"/>
    </row>
    <row r="1612" spans="1:41" ht="14">
      <c r="A1612" s="28" t="s">
        <v>5845</v>
      </c>
      <c r="B1612" s="37">
        <v>45877</v>
      </c>
      <c r="C1612" s="29">
        <v>45887</v>
      </c>
      <c r="D1612" s="38" t="s">
        <v>41</v>
      </c>
      <c r="E1612" s="38" t="s">
        <v>5846</v>
      </c>
      <c r="G1612" s="38" t="s">
        <v>43</v>
      </c>
      <c r="H1612" s="38">
        <v>14.32</v>
      </c>
      <c r="I1612" s="38" t="s">
        <v>44</v>
      </c>
      <c r="J1612" s="38" t="s">
        <v>45</v>
      </c>
      <c r="K1612" s="38" t="s">
        <v>5847</v>
      </c>
      <c r="L1612" s="30" t="s">
        <v>47</v>
      </c>
      <c r="M1612" s="38" t="s">
        <v>48</v>
      </c>
      <c r="N1612" s="38" t="s">
        <v>48</v>
      </c>
      <c r="O1612" s="31" t="s">
        <v>425</v>
      </c>
      <c r="P1612" s="28" t="s">
        <v>426</v>
      </c>
      <c r="Q1612" s="38" t="s">
        <v>427</v>
      </c>
      <c r="R1612" s="38">
        <v>1</v>
      </c>
      <c r="S1612" s="38" t="s">
        <v>92</v>
      </c>
      <c r="T1612" s="38" t="s">
        <v>53</v>
      </c>
      <c r="U1612" s="38" t="s">
        <v>54</v>
      </c>
      <c r="V1612" s="38" t="s">
        <v>61</v>
      </c>
      <c r="Y1612" s="38">
        <v>148.02000000000001</v>
      </c>
      <c r="Z1612" s="38">
        <v>1</v>
      </c>
      <c r="AF1612" s="38"/>
      <c r="AK1612" s="14" t="e">
        <f t="shared" si="7"/>
        <v>#DIV/0!</v>
      </c>
      <c r="AL1612" s="53">
        <v>1000026430</v>
      </c>
      <c r="AM1612" s="38" t="s">
        <v>953</v>
      </c>
      <c r="AO1612" s="28" t="s">
        <v>5848</v>
      </c>
    </row>
    <row r="1613" spans="1:41" ht="12.5">
      <c r="A1613" s="28" t="s">
        <v>5849</v>
      </c>
      <c r="B1613" s="37">
        <v>45869</v>
      </c>
      <c r="C1613" s="29">
        <v>45892</v>
      </c>
      <c r="D1613" s="38" t="s">
        <v>41</v>
      </c>
      <c r="E1613" s="38" t="s">
        <v>5850</v>
      </c>
      <c r="G1613" s="38" t="s">
        <v>43</v>
      </c>
      <c r="H1613" s="38">
        <v>17.8</v>
      </c>
      <c r="I1613" s="38" t="s">
        <v>44</v>
      </c>
      <c r="J1613" s="38" t="s">
        <v>45</v>
      </c>
      <c r="K1613" s="38" t="s">
        <v>5851</v>
      </c>
      <c r="L1613" s="30" t="s">
        <v>58</v>
      </c>
      <c r="M1613" s="38" t="s">
        <v>48</v>
      </c>
      <c r="N1613" s="38" t="s">
        <v>48</v>
      </c>
      <c r="O1613" s="31" t="s">
        <v>2617</v>
      </c>
      <c r="P1613" s="28" t="s">
        <v>2618</v>
      </c>
      <c r="Q1613" s="38" t="s">
        <v>5852</v>
      </c>
      <c r="R1613" s="38">
        <v>1</v>
      </c>
      <c r="S1613" s="38" t="s">
        <v>3868</v>
      </c>
      <c r="T1613" s="38" t="s">
        <v>53</v>
      </c>
      <c r="U1613" s="38" t="s">
        <v>54</v>
      </c>
      <c r="V1613" s="38" t="s">
        <v>55</v>
      </c>
      <c r="Y1613" s="38">
        <v>99.43</v>
      </c>
      <c r="Z1613" s="38">
        <v>1</v>
      </c>
      <c r="AF1613" s="38">
        <v>81.63</v>
      </c>
      <c r="AK1613" s="14" t="e">
        <f t="shared" si="7"/>
        <v>#DIV/0!</v>
      </c>
      <c r="AM1613" s="38"/>
      <c r="AO1613" s="28"/>
    </row>
    <row r="1614" spans="1:41" ht="12.5">
      <c r="A1614" s="28" t="s">
        <v>5853</v>
      </c>
      <c r="B1614" s="37">
        <v>45870</v>
      </c>
      <c r="C1614" s="29">
        <v>45881</v>
      </c>
      <c r="D1614" s="38" t="s">
        <v>41</v>
      </c>
      <c r="E1614" s="38" t="s">
        <v>5854</v>
      </c>
      <c r="G1614" s="38" t="s">
        <v>43</v>
      </c>
      <c r="H1614" s="38">
        <v>17.8</v>
      </c>
      <c r="I1614" s="38" t="s">
        <v>44</v>
      </c>
      <c r="J1614" s="38" t="s">
        <v>45</v>
      </c>
      <c r="K1614" s="38" t="s">
        <v>5855</v>
      </c>
      <c r="L1614" s="30" t="s">
        <v>58</v>
      </c>
      <c r="M1614" s="38" t="s">
        <v>48</v>
      </c>
      <c r="N1614" s="38" t="s">
        <v>48</v>
      </c>
      <c r="O1614" s="31" t="s">
        <v>2617</v>
      </c>
      <c r="P1614" s="28" t="s">
        <v>2618</v>
      </c>
      <c r="Q1614" s="38" t="s">
        <v>5852</v>
      </c>
      <c r="R1614" s="38">
        <v>1</v>
      </c>
      <c r="S1614" s="38" t="s">
        <v>3868</v>
      </c>
      <c r="T1614" s="38" t="s">
        <v>53</v>
      </c>
      <c r="U1614" s="38" t="s">
        <v>54</v>
      </c>
      <c r="V1614" s="38" t="s">
        <v>55</v>
      </c>
      <c r="X1614" s="61">
        <v>45888</v>
      </c>
      <c r="Y1614" s="38">
        <v>99.54</v>
      </c>
      <c r="Z1614" s="38">
        <v>1</v>
      </c>
      <c r="AF1614" s="38">
        <v>81.739999999999995</v>
      </c>
      <c r="AK1614" s="14" t="e">
        <f t="shared" si="7"/>
        <v>#DIV/0!</v>
      </c>
      <c r="AM1614" s="38"/>
      <c r="AO1614" s="28"/>
    </row>
    <row r="1615" spans="1:41" ht="12.5">
      <c r="A1615" s="28" t="s">
        <v>5856</v>
      </c>
      <c r="B1615" s="37">
        <v>45859</v>
      </c>
      <c r="C1615" s="29">
        <v>45875</v>
      </c>
      <c r="D1615" s="38" t="s">
        <v>41</v>
      </c>
      <c r="E1615" s="38" t="s">
        <v>5857</v>
      </c>
      <c r="G1615" s="38" t="s">
        <v>43</v>
      </c>
      <c r="H1615" s="38">
        <v>17.8</v>
      </c>
      <c r="I1615" s="38" t="s">
        <v>44</v>
      </c>
      <c r="J1615" s="38" t="s">
        <v>45</v>
      </c>
      <c r="K1615" s="38" t="s">
        <v>5858</v>
      </c>
      <c r="L1615" s="30" t="s">
        <v>58</v>
      </c>
      <c r="M1615" s="38" t="s">
        <v>48</v>
      </c>
      <c r="N1615" s="38" t="s">
        <v>48</v>
      </c>
      <c r="O1615" s="31" t="s">
        <v>2617</v>
      </c>
      <c r="P1615" s="28" t="s">
        <v>2618</v>
      </c>
      <c r="Q1615" s="38" t="s">
        <v>2619</v>
      </c>
      <c r="R1615" s="38">
        <v>1</v>
      </c>
      <c r="S1615" s="38" t="s">
        <v>3878</v>
      </c>
      <c r="T1615" s="38" t="s">
        <v>53</v>
      </c>
      <c r="U1615" s="38" t="s">
        <v>54</v>
      </c>
      <c r="V1615" s="38" t="s">
        <v>55</v>
      </c>
      <c r="Y1615" s="38">
        <v>89.95</v>
      </c>
      <c r="Z1615" s="38">
        <v>1</v>
      </c>
      <c r="AF1615" s="38">
        <v>72.150000000000006</v>
      </c>
      <c r="AK1615" s="14" t="e">
        <f t="shared" si="7"/>
        <v>#DIV/0!</v>
      </c>
      <c r="AM1615" s="38"/>
      <c r="AO1615" s="28"/>
    </row>
    <row r="1616" spans="1:41" ht="12.5">
      <c r="A1616" s="28" t="s">
        <v>5859</v>
      </c>
      <c r="B1616" s="37">
        <v>45876</v>
      </c>
      <c r="C1616" s="29">
        <v>45880</v>
      </c>
      <c r="D1616" s="38" t="s">
        <v>41</v>
      </c>
      <c r="E1616" s="38" t="s">
        <v>5860</v>
      </c>
      <c r="G1616" s="38" t="s">
        <v>43</v>
      </c>
      <c r="H1616" s="38">
        <v>24.05</v>
      </c>
      <c r="I1616" s="38" t="s">
        <v>44</v>
      </c>
      <c r="J1616" s="38" t="s">
        <v>45</v>
      </c>
      <c r="K1616" s="38" t="s">
        <v>5861</v>
      </c>
      <c r="L1616" s="30" t="s">
        <v>58</v>
      </c>
      <c r="M1616" s="38" t="s">
        <v>48</v>
      </c>
      <c r="N1616" s="38" t="s">
        <v>48</v>
      </c>
      <c r="O1616" s="63" t="s">
        <v>551</v>
      </c>
      <c r="P1616" s="28" t="s">
        <v>552</v>
      </c>
      <c r="Q1616" s="38" t="s">
        <v>5862</v>
      </c>
      <c r="R1616" s="38">
        <v>1</v>
      </c>
      <c r="S1616" s="38" t="s">
        <v>3868</v>
      </c>
      <c r="T1616" s="38" t="s">
        <v>53</v>
      </c>
      <c r="U1616" s="38" t="s">
        <v>54</v>
      </c>
      <c r="V1616" s="38" t="s">
        <v>61</v>
      </c>
      <c r="X1616" s="61">
        <v>45889</v>
      </c>
      <c r="Y1616" s="38">
        <v>99.54</v>
      </c>
      <c r="Z1616" s="38">
        <v>1</v>
      </c>
      <c r="AF1616" s="38">
        <v>83.69</v>
      </c>
      <c r="AK1616" s="14" t="e">
        <f t="shared" si="7"/>
        <v>#DIV/0!</v>
      </c>
      <c r="AM1616" s="38"/>
      <c r="AO1616" s="28"/>
    </row>
    <row r="1617" spans="1:41" ht="12.5">
      <c r="A1617" s="28" t="s">
        <v>5863</v>
      </c>
      <c r="B1617" s="37">
        <v>45859</v>
      </c>
      <c r="C1617" s="29">
        <v>45880</v>
      </c>
      <c r="D1617" s="38" t="s">
        <v>41</v>
      </c>
      <c r="E1617" s="38" t="s">
        <v>5864</v>
      </c>
      <c r="G1617" s="38" t="s">
        <v>43</v>
      </c>
      <c r="H1617" s="38">
        <v>24.05</v>
      </c>
      <c r="I1617" s="38" t="s">
        <v>44</v>
      </c>
      <c r="J1617" s="38" t="s">
        <v>45</v>
      </c>
      <c r="K1617" s="38" t="s">
        <v>5865</v>
      </c>
      <c r="L1617" s="30" t="s">
        <v>58</v>
      </c>
      <c r="M1617" s="38" t="s">
        <v>48</v>
      </c>
      <c r="N1617" s="38" t="s">
        <v>48</v>
      </c>
      <c r="O1617" s="63" t="s">
        <v>551</v>
      </c>
      <c r="P1617" s="28" t="s">
        <v>552</v>
      </c>
      <c r="Q1617" s="38" t="s">
        <v>5862</v>
      </c>
      <c r="R1617" s="38">
        <v>1</v>
      </c>
      <c r="S1617" s="38" t="s">
        <v>75</v>
      </c>
      <c r="T1617" s="38" t="s">
        <v>53</v>
      </c>
      <c r="U1617" s="38" t="s">
        <v>54</v>
      </c>
      <c r="V1617" s="38" t="s">
        <v>61</v>
      </c>
      <c r="Y1617" s="38">
        <v>97.37</v>
      </c>
      <c r="Z1617" s="38"/>
      <c r="AF1617" s="38">
        <v>81.19</v>
      </c>
      <c r="AK1617" s="14" t="e">
        <f t="shared" si="7"/>
        <v>#DIV/0!</v>
      </c>
      <c r="AM1617" s="38"/>
      <c r="AO1617" s="28"/>
    </row>
    <row r="1618" spans="1:41" ht="12.5">
      <c r="A1618" s="28" t="s">
        <v>5866</v>
      </c>
      <c r="B1618" s="37">
        <v>45863</v>
      </c>
      <c r="C1618" s="29">
        <v>45878</v>
      </c>
      <c r="D1618" s="38" t="s">
        <v>41</v>
      </c>
      <c r="E1618" s="38" t="s">
        <v>5867</v>
      </c>
      <c r="G1618" s="38" t="s">
        <v>43</v>
      </c>
      <c r="H1618" s="38">
        <v>24.05</v>
      </c>
      <c r="I1618" s="38" t="s">
        <v>44</v>
      </c>
      <c r="J1618" s="38" t="s">
        <v>45</v>
      </c>
      <c r="K1618" s="38" t="s">
        <v>5868</v>
      </c>
      <c r="L1618" s="30" t="s">
        <v>47</v>
      </c>
      <c r="M1618" s="38" t="s">
        <v>48</v>
      </c>
      <c r="N1618" s="38" t="s">
        <v>48</v>
      </c>
      <c r="O1618" s="63" t="s">
        <v>551</v>
      </c>
      <c r="P1618" s="28" t="s">
        <v>552</v>
      </c>
      <c r="Q1618" s="38" t="s">
        <v>5862</v>
      </c>
      <c r="R1618" s="38">
        <v>1</v>
      </c>
      <c r="S1618" s="38" t="s">
        <v>99</v>
      </c>
      <c r="T1618" s="38" t="s">
        <v>53</v>
      </c>
      <c r="U1618" s="38" t="s">
        <v>54</v>
      </c>
      <c r="V1618" s="38" t="s">
        <v>55</v>
      </c>
      <c r="Y1618" s="38">
        <v>101.5</v>
      </c>
      <c r="Z1618" s="38">
        <v>1</v>
      </c>
      <c r="AF1618" s="38">
        <v>101.5</v>
      </c>
      <c r="AK1618" s="14" t="e">
        <f t="shared" si="7"/>
        <v>#DIV/0!</v>
      </c>
      <c r="AM1618" s="38"/>
      <c r="AO1618" s="28"/>
    </row>
    <row r="1619" spans="1:41" ht="12.5">
      <c r="A1619" s="28" t="s">
        <v>5869</v>
      </c>
      <c r="B1619" s="37">
        <v>45860</v>
      </c>
      <c r="C1619" s="29">
        <v>45876</v>
      </c>
      <c r="D1619" s="38" t="s">
        <v>41</v>
      </c>
      <c r="E1619" s="38" t="s">
        <v>5870</v>
      </c>
      <c r="G1619" s="38" t="s">
        <v>43</v>
      </c>
      <c r="H1619" s="38">
        <v>24.05</v>
      </c>
      <c r="I1619" s="38" t="s">
        <v>44</v>
      </c>
      <c r="J1619" s="38" t="s">
        <v>45</v>
      </c>
      <c r="K1619" s="38" t="s">
        <v>5871</v>
      </c>
      <c r="L1619" s="30" t="s">
        <v>58</v>
      </c>
      <c r="M1619" s="38" t="s">
        <v>48</v>
      </c>
      <c r="N1619" s="38" t="s">
        <v>48</v>
      </c>
      <c r="O1619" s="63" t="s">
        <v>551</v>
      </c>
      <c r="P1619" s="28" t="s">
        <v>552</v>
      </c>
      <c r="Q1619" s="38" t="s">
        <v>5862</v>
      </c>
      <c r="R1619" s="38">
        <v>1</v>
      </c>
      <c r="S1619" s="38" t="s">
        <v>3878</v>
      </c>
      <c r="T1619" s="38" t="s">
        <v>53</v>
      </c>
      <c r="U1619" s="38" t="s">
        <v>54</v>
      </c>
      <c r="V1619" s="38" t="s">
        <v>55</v>
      </c>
      <c r="Y1619" s="38">
        <v>93.9</v>
      </c>
      <c r="Z1619" s="38">
        <v>1</v>
      </c>
      <c r="AF1619" s="38">
        <v>69.849999999999994</v>
      </c>
      <c r="AK1619" s="14" t="e">
        <f t="shared" si="7"/>
        <v>#DIV/0!</v>
      </c>
      <c r="AM1619" s="38" t="s">
        <v>561</v>
      </c>
      <c r="AO1619" s="28"/>
    </row>
    <row r="1620" spans="1:41" ht="14">
      <c r="A1620" s="28" t="s">
        <v>5872</v>
      </c>
      <c r="B1620" s="37">
        <v>45851</v>
      </c>
      <c r="C1620" s="29">
        <v>45874</v>
      </c>
      <c r="D1620" s="38" t="s">
        <v>41</v>
      </c>
      <c r="E1620" s="38" t="s">
        <v>5873</v>
      </c>
      <c r="G1620" s="38" t="s">
        <v>43</v>
      </c>
      <c r="H1620" s="38">
        <v>20.94</v>
      </c>
      <c r="I1620" s="38" t="s">
        <v>44</v>
      </c>
      <c r="J1620" s="38" t="s">
        <v>45</v>
      </c>
      <c r="K1620" s="38" t="s">
        <v>5874</v>
      </c>
      <c r="L1620" s="30" t="s">
        <v>47</v>
      </c>
      <c r="M1620" s="38" t="s">
        <v>48</v>
      </c>
      <c r="N1620" s="38" t="s">
        <v>48</v>
      </c>
      <c r="O1620" s="63" t="s">
        <v>551</v>
      </c>
      <c r="P1620" s="28" t="s">
        <v>552</v>
      </c>
      <c r="Q1620" s="38" t="s">
        <v>5875</v>
      </c>
      <c r="R1620" s="38">
        <v>1</v>
      </c>
      <c r="S1620" s="38" t="s">
        <v>92</v>
      </c>
      <c r="T1620" s="38" t="s">
        <v>53</v>
      </c>
      <c r="U1620" s="38" t="s">
        <v>54</v>
      </c>
      <c r="V1620" s="38" t="s">
        <v>55</v>
      </c>
      <c r="Y1620" s="38">
        <v>100.7</v>
      </c>
      <c r="Z1620" s="38">
        <v>1</v>
      </c>
      <c r="AF1620" s="38">
        <v>100.7</v>
      </c>
      <c r="AK1620" s="14" t="e">
        <f t="shared" si="7"/>
        <v>#DIV/0!</v>
      </c>
      <c r="AL1620" s="53">
        <v>1000024702</v>
      </c>
      <c r="AM1620" s="38" t="s">
        <v>561</v>
      </c>
      <c r="AO1620" s="28"/>
    </row>
    <row r="1621" spans="1:41" ht="14">
      <c r="A1621" s="28" t="s">
        <v>5876</v>
      </c>
      <c r="B1621" s="37">
        <v>45874</v>
      </c>
      <c r="C1621" s="29">
        <v>45877</v>
      </c>
      <c r="D1621" s="38" t="s">
        <v>41</v>
      </c>
      <c r="E1621" s="38" t="s">
        <v>5877</v>
      </c>
      <c r="G1621" s="38" t="s">
        <v>43</v>
      </c>
      <c r="H1621" s="38">
        <v>24.05</v>
      </c>
      <c r="I1621" s="38" t="s">
        <v>44</v>
      </c>
      <c r="J1621" s="38" t="s">
        <v>45</v>
      </c>
      <c r="K1621" s="38" t="s">
        <v>5878</v>
      </c>
      <c r="L1621" s="30" t="s">
        <v>47</v>
      </c>
      <c r="M1621" s="38" t="s">
        <v>48</v>
      </c>
      <c r="N1621" s="38" t="s">
        <v>48</v>
      </c>
      <c r="O1621" s="31" t="s">
        <v>566</v>
      </c>
      <c r="P1621" s="28" t="s">
        <v>567</v>
      </c>
      <c r="Q1621" s="38" t="s">
        <v>568</v>
      </c>
      <c r="R1621" s="38">
        <v>1</v>
      </c>
      <c r="S1621" s="38" t="s">
        <v>92</v>
      </c>
      <c r="T1621" s="38" t="s">
        <v>53</v>
      </c>
      <c r="U1621" s="38" t="s">
        <v>60</v>
      </c>
      <c r="V1621" s="38" t="s">
        <v>61</v>
      </c>
      <c r="Y1621" s="38">
        <v>131.53</v>
      </c>
      <c r="Z1621" s="38">
        <v>1</v>
      </c>
      <c r="AF1621" s="38"/>
      <c r="AK1621" s="14" t="e">
        <f t="shared" si="7"/>
        <v>#DIV/0!</v>
      </c>
      <c r="AL1621" s="53">
        <v>1000026172</v>
      </c>
      <c r="AM1621" s="38" t="s">
        <v>561</v>
      </c>
      <c r="AO1621" s="28" t="s">
        <v>5534</v>
      </c>
    </row>
    <row r="1622" spans="1:41" ht="12.5">
      <c r="A1622" s="28" t="s">
        <v>5879</v>
      </c>
      <c r="B1622" s="37">
        <v>45871</v>
      </c>
      <c r="C1622" s="29">
        <v>45874</v>
      </c>
      <c r="D1622" s="38" t="s">
        <v>41</v>
      </c>
      <c r="E1622" s="38" t="s">
        <v>5880</v>
      </c>
      <c r="G1622" s="38" t="s">
        <v>43</v>
      </c>
      <c r="H1622" s="38">
        <v>11.98</v>
      </c>
      <c r="I1622" s="38" t="s">
        <v>44</v>
      </c>
      <c r="J1622" s="38" t="s">
        <v>45</v>
      </c>
      <c r="K1622" s="38" t="s">
        <v>5881</v>
      </c>
      <c r="L1622" s="30" t="s">
        <v>58</v>
      </c>
      <c r="M1622" s="38" t="s">
        <v>48</v>
      </c>
      <c r="N1622" s="38" t="s">
        <v>48</v>
      </c>
      <c r="O1622" s="31" t="s">
        <v>566</v>
      </c>
      <c r="P1622" s="28" t="s">
        <v>567</v>
      </c>
      <c r="Q1622" s="38" t="s">
        <v>568</v>
      </c>
      <c r="R1622" s="38">
        <v>1</v>
      </c>
      <c r="S1622" s="38" t="s">
        <v>3884</v>
      </c>
      <c r="T1622" s="38" t="s">
        <v>53</v>
      </c>
      <c r="U1622" s="38" t="s">
        <v>54</v>
      </c>
      <c r="V1622" s="38" t="s">
        <v>61</v>
      </c>
      <c r="Y1622" s="38">
        <v>123.9</v>
      </c>
      <c r="Z1622" s="38"/>
      <c r="AF1622" s="38">
        <v>108.95</v>
      </c>
      <c r="AK1622" s="14" t="e">
        <f t="shared" si="7"/>
        <v>#DIV/0!</v>
      </c>
      <c r="AM1622" s="38" t="s">
        <v>561</v>
      </c>
      <c r="AO1622" s="28"/>
    </row>
    <row r="1623" spans="1:41" ht="12.5">
      <c r="A1623" s="28" t="s">
        <v>5882</v>
      </c>
      <c r="B1623" s="37">
        <v>45811</v>
      </c>
      <c r="C1623" s="29">
        <v>45887</v>
      </c>
      <c r="D1623" s="38" t="s">
        <v>41</v>
      </c>
      <c r="E1623" s="38" t="s">
        <v>5883</v>
      </c>
      <c r="G1623" s="38" t="s">
        <v>137</v>
      </c>
      <c r="H1623" s="38">
        <v>0</v>
      </c>
      <c r="I1623" s="38"/>
      <c r="J1623" s="38"/>
      <c r="K1623" s="38"/>
      <c r="L1623" s="30" t="s">
        <v>58</v>
      </c>
      <c r="M1623" s="38" t="s">
        <v>48</v>
      </c>
      <c r="N1623" s="38" t="s">
        <v>48</v>
      </c>
      <c r="O1623" s="31" t="s">
        <v>437</v>
      </c>
      <c r="P1623" s="28" t="s">
        <v>438</v>
      </c>
      <c r="Q1623" s="38" t="s">
        <v>2246</v>
      </c>
      <c r="R1623" s="38">
        <v>1</v>
      </c>
      <c r="S1623" s="38" t="s">
        <v>59</v>
      </c>
      <c r="T1623" s="38" t="s">
        <v>48</v>
      </c>
      <c r="U1623" s="38" t="s">
        <v>60</v>
      </c>
      <c r="V1623" s="38" t="s">
        <v>61</v>
      </c>
      <c r="Y1623" s="38">
        <v>123.47</v>
      </c>
      <c r="Z1623" s="38">
        <v>1</v>
      </c>
      <c r="AF1623" s="38"/>
      <c r="AK1623" s="14" t="e">
        <f t="shared" si="7"/>
        <v>#DIV/0!</v>
      </c>
      <c r="AM1623" s="38" t="s">
        <v>561</v>
      </c>
      <c r="AO1623" s="28"/>
    </row>
    <row r="1624" spans="1:41" ht="12.5">
      <c r="A1624" s="28" t="s">
        <v>5884</v>
      </c>
      <c r="B1624" s="37">
        <v>45866</v>
      </c>
      <c r="C1624" s="29">
        <v>45872</v>
      </c>
      <c r="D1624" s="38" t="s">
        <v>41</v>
      </c>
      <c r="E1624" s="38" t="s">
        <v>5885</v>
      </c>
      <c r="G1624" s="38" t="s">
        <v>43</v>
      </c>
      <c r="H1624" s="38">
        <v>17.77</v>
      </c>
      <c r="I1624" s="38" t="s">
        <v>44</v>
      </c>
      <c r="J1624" s="38" t="s">
        <v>45</v>
      </c>
      <c r="K1624" s="38" t="s">
        <v>5886</v>
      </c>
      <c r="L1624" s="30" t="s">
        <v>58</v>
      </c>
      <c r="M1624" s="38" t="s">
        <v>48</v>
      </c>
      <c r="N1624" s="38" t="s">
        <v>48</v>
      </c>
      <c r="O1624" s="31" t="s">
        <v>437</v>
      </c>
      <c r="P1624" s="28" t="s">
        <v>438</v>
      </c>
      <c r="Q1624" s="38" t="s">
        <v>2246</v>
      </c>
      <c r="R1624" s="38">
        <v>1</v>
      </c>
      <c r="S1624" s="38" t="s">
        <v>3868</v>
      </c>
      <c r="T1624" s="38" t="s">
        <v>53</v>
      </c>
      <c r="U1624" s="38" t="s">
        <v>54</v>
      </c>
      <c r="V1624" s="38" t="s">
        <v>61</v>
      </c>
      <c r="Y1624" s="38">
        <v>122.97</v>
      </c>
      <c r="Z1624" s="38">
        <v>1</v>
      </c>
      <c r="AF1624" s="38">
        <v>108.02</v>
      </c>
      <c r="AK1624" s="14" t="e">
        <f t="shared" si="7"/>
        <v>#DIV/0!</v>
      </c>
      <c r="AM1624" s="38" t="s">
        <v>561</v>
      </c>
      <c r="AO1624" s="28"/>
    </row>
    <row r="1625" spans="1:41" ht="12.5">
      <c r="A1625" s="28" t="s">
        <v>5887</v>
      </c>
      <c r="B1625" s="37">
        <v>45867</v>
      </c>
      <c r="C1625" s="29">
        <v>45871</v>
      </c>
      <c r="D1625" s="38" t="s">
        <v>41</v>
      </c>
      <c r="E1625" s="38" t="s">
        <v>5888</v>
      </c>
      <c r="G1625" s="38" t="s">
        <v>43</v>
      </c>
      <c r="H1625" s="38">
        <v>15.23</v>
      </c>
      <c r="I1625" s="38" t="s">
        <v>44</v>
      </c>
      <c r="J1625" s="38" t="s">
        <v>45</v>
      </c>
      <c r="K1625" s="38" t="s">
        <v>5889</v>
      </c>
      <c r="L1625" s="30" t="s">
        <v>58</v>
      </c>
      <c r="M1625" s="38" t="s">
        <v>48</v>
      </c>
      <c r="N1625" s="38" t="s">
        <v>48</v>
      </c>
      <c r="O1625" s="31" t="s">
        <v>1891</v>
      </c>
      <c r="P1625" s="28" t="s">
        <v>1892</v>
      </c>
      <c r="Q1625" s="38" t="s">
        <v>1893</v>
      </c>
      <c r="R1625" s="38">
        <v>1</v>
      </c>
      <c r="S1625" s="38" t="s">
        <v>3868</v>
      </c>
      <c r="T1625" s="38" t="s">
        <v>53</v>
      </c>
      <c r="U1625" s="38" t="s">
        <v>54</v>
      </c>
      <c r="V1625" s="38" t="s">
        <v>55</v>
      </c>
      <c r="Y1625" s="38">
        <v>94.24</v>
      </c>
      <c r="Z1625" s="38">
        <v>1</v>
      </c>
      <c r="AF1625" s="38">
        <v>78.099999999999994</v>
      </c>
      <c r="AK1625" s="14" t="e">
        <f t="shared" si="7"/>
        <v>#DIV/0!</v>
      </c>
      <c r="AM1625" s="38" t="s">
        <v>561</v>
      </c>
      <c r="AO1625" s="28"/>
    </row>
    <row r="1626" spans="1:41" ht="14">
      <c r="A1626" s="28" t="s">
        <v>5890</v>
      </c>
      <c r="B1626" s="37">
        <v>45891</v>
      </c>
      <c r="C1626" s="29">
        <v>45892</v>
      </c>
      <c r="D1626" s="38" t="s">
        <v>41</v>
      </c>
      <c r="E1626" s="38" t="s">
        <v>5891</v>
      </c>
      <c r="G1626" s="38" t="s">
        <v>43</v>
      </c>
      <c r="H1626" s="38">
        <v>12.45</v>
      </c>
      <c r="I1626" s="38" t="s">
        <v>44</v>
      </c>
      <c r="J1626" s="38" t="s">
        <v>45</v>
      </c>
      <c r="K1626" s="38" t="s">
        <v>5892</v>
      </c>
      <c r="L1626" s="30" t="s">
        <v>58</v>
      </c>
      <c r="M1626" s="38" t="s">
        <v>48</v>
      </c>
      <c r="N1626" s="38" t="s">
        <v>48</v>
      </c>
      <c r="O1626" s="31" t="s">
        <v>1366</v>
      </c>
      <c r="P1626" s="28" t="s">
        <v>1367</v>
      </c>
      <c r="Q1626" s="38" t="s">
        <v>1368</v>
      </c>
      <c r="R1626" s="38">
        <v>1</v>
      </c>
      <c r="S1626" s="38" t="s">
        <v>3878</v>
      </c>
      <c r="T1626" s="38" t="s">
        <v>53</v>
      </c>
      <c r="U1626" s="38" t="s">
        <v>54</v>
      </c>
      <c r="V1626" s="38" t="s">
        <v>55</v>
      </c>
      <c r="Y1626" s="38">
        <v>102.64</v>
      </c>
      <c r="Z1626" s="38">
        <v>1</v>
      </c>
      <c r="AF1626" s="38">
        <v>90.19</v>
      </c>
      <c r="AK1626" s="14" t="e">
        <f t="shared" si="7"/>
        <v>#DIV/0!</v>
      </c>
      <c r="AL1626" s="53">
        <v>1000027160</v>
      </c>
      <c r="AM1626" s="38"/>
      <c r="AO1626" s="28" t="s">
        <v>5893</v>
      </c>
    </row>
    <row r="1627" spans="1:41" ht="14">
      <c r="A1627" s="28" t="s">
        <v>5894</v>
      </c>
      <c r="B1627" s="37">
        <v>45881</v>
      </c>
      <c r="C1627" s="29">
        <v>45890</v>
      </c>
      <c r="D1627" s="38" t="s">
        <v>41</v>
      </c>
      <c r="E1627" s="38" t="s">
        <v>5895</v>
      </c>
      <c r="G1627" s="38" t="s">
        <v>43</v>
      </c>
      <c r="H1627" s="38">
        <v>12.45</v>
      </c>
      <c r="I1627" s="38" t="s">
        <v>44</v>
      </c>
      <c r="J1627" s="38" t="s">
        <v>45</v>
      </c>
      <c r="K1627" s="38" t="s">
        <v>5896</v>
      </c>
      <c r="L1627" s="30" t="s">
        <v>58</v>
      </c>
      <c r="M1627" s="38" t="s">
        <v>48</v>
      </c>
      <c r="N1627" s="38" t="s">
        <v>48</v>
      </c>
      <c r="O1627" s="31" t="s">
        <v>1366</v>
      </c>
      <c r="P1627" s="28" t="s">
        <v>1367</v>
      </c>
      <c r="Q1627" s="38" t="s">
        <v>1368</v>
      </c>
      <c r="R1627" s="38">
        <v>1</v>
      </c>
      <c r="S1627" s="38" t="s">
        <v>3884</v>
      </c>
      <c r="T1627" s="38" t="s">
        <v>53</v>
      </c>
      <c r="U1627" s="38" t="s">
        <v>54</v>
      </c>
      <c r="V1627" s="38" t="s">
        <v>55</v>
      </c>
      <c r="X1627" s="61">
        <v>45897</v>
      </c>
      <c r="Y1627" s="38">
        <v>102.72</v>
      </c>
      <c r="Z1627" s="38">
        <v>1</v>
      </c>
      <c r="AF1627" s="38">
        <v>90.27</v>
      </c>
      <c r="AK1627" s="14" t="e">
        <f t="shared" si="7"/>
        <v>#DIV/0!</v>
      </c>
      <c r="AL1627" s="53">
        <v>1000026610</v>
      </c>
      <c r="AM1627" s="38"/>
      <c r="AO1627" s="28" t="s">
        <v>5897</v>
      </c>
    </row>
    <row r="1628" spans="1:41" ht="14">
      <c r="A1628" s="28" t="s">
        <v>5898</v>
      </c>
      <c r="B1628" s="37">
        <v>45860</v>
      </c>
      <c r="C1628" s="29">
        <v>45888</v>
      </c>
      <c r="D1628" s="38" t="s">
        <v>41</v>
      </c>
      <c r="E1628" s="38" t="s">
        <v>5899</v>
      </c>
      <c r="G1628" s="38" t="s">
        <v>43</v>
      </c>
      <c r="H1628" s="38">
        <v>12.45</v>
      </c>
      <c r="I1628" s="38" t="s">
        <v>44</v>
      </c>
      <c r="J1628" s="38" t="s">
        <v>45</v>
      </c>
      <c r="K1628" s="38" t="s">
        <v>5900</v>
      </c>
      <c r="L1628" s="30" t="s">
        <v>58</v>
      </c>
      <c r="M1628" s="38" t="s">
        <v>48</v>
      </c>
      <c r="N1628" s="38" t="s">
        <v>48</v>
      </c>
      <c r="O1628" s="31" t="s">
        <v>1366</v>
      </c>
      <c r="P1628" s="28" t="s">
        <v>1367</v>
      </c>
      <c r="Q1628" s="38" t="s">
        <v>1368</v>
      </c>
      <c r="R1628" s="38">
        <v>1</v>
      </c>
      <c r="S1628" s="38" t="s">
        <v>3868</v>
      </c>
      <c r="T1628" s="38" t="s">
        <v>53</v>
      </c>
      <c r="U1628" s="38" t="s">
        <v>54</v>
      </c>
      <c r="V1628" s="38" t="s">
        <v>55</v>
      </c>
      <c r="Y1628" s="38">
        <v>102.02</v>
      </c>
      <c r="Z1628" s="38">
        <v>1</v>
      </c>
      <c r="AF1628" s="38">
        <v>89.57</v>
      </c>
      <c r="AK1628" s="14" t="e">
        <f t="shared" si="7"/>
        <v>#DIV/0!</v>
      </c>
      <c r="AL1628" s="53">
        <v>1000025334</v>
      </c>
      <c r="AM1628" s="38"/>
      <c r="AO1628" s="28" t="s">
        <v>5901</v>
      </c>
    </row>
    <row r="1629" spans="1:41" ht="14">
      <c r="A1629" s="28" t="s">
        <v>5902</v>
      </c>
      <c r="B1629" s="37">
        <v>45883</v>
      </c>
      <c r="C1629" s="29">
        <v>45894</v>
      </c>
      <c r="D1629" s="38" t="s">
        <v>41</v>
      </c>
      <c r="E1629" s="38" t="s">
        <v>5903</v>
      </c>
      <c r="G1629" s="38" t="s">
        <v>43</v>
      </c>
      <c r="H1629" s="38">
        <v>17.43</v>
      </c>
      <c r="I1629" s="38" t="s">
        <v>44</v>
      </c>
      <c r="J1629" s="38" t="s">
        <v>45</v>
      </c>
      <c r="K1629" s="38" t="s">
        <v>5904</v>
      </c>
      <c r="L1629" s="30" t="s">
        <v>58</v>
      </c>
      <c r="M1629" s="38" t="s">
        <v>48</v>
      </c>
      <c r="N1629" s="38" t="s">
        <v>48</v>
      </c>
      <c r="O1629" s="63" t="s">
        <v>469</v>
      </c>
      <c r="P1629" s="28" t="s">
        <v>470</v>
      </c>
      <c r="Q1629" s="38" t="s">
        <v>471</v>
      </c>
      <c r="R1629" s="38">
        <v>1</v>
      </c>
      <c r="S1629" s="38" t="s">
        <v>68</v>
      </c>
      <c r="T1629" s="38" t="s">
        <v>53</v>
      </c>
      <c r="U1629" s="38" t="s">
        <v>54</v>
      </c>
      <c r="V1629" s="38" t="s">
        <v>61</v>
      </c>
      <c r="Y1629" s="38">
        <v>111.14</v>
      </c>
      <c r="Z1629" s="38">
        <v>1</v>
      </c>
      <c r="AF1629" s="38"/>
      <c r="AK1629" s="14" t="e">
        <f t="shared" si="7"/>
        <v>#DIV/0!</v>
      </c>
      <c r="AL1629" s="53">
        <v>1000026703</v>
      </c>
      <c r="AM1629" s="38"/>
      <c r="AO1629" s="28" t="s">
        <v>5905</v>
      </c>
    </row>
    <row r="1630" spans="1:41" ht="14">
      <c r="A1630" s="28" t="s">
        <v>5906</v>
      </c>
      <c r="B1630" s="37">
        <v>45887</v>
      </c>
      <c r="C1630" s="29">
        <v>45890</v>
      </c>
      <c r="D1630" s="38" t="s">
        <v>41</v>
      </c>
      <c r="E1630" s="38" t="s">
        <v>5907</v>
      </c>
      <c r="G1630" s="38" t="s">
        <v>43</v>
      </c>
      <c r="H1630" s="38">
        <v>17.43</v>
      </c>
      <c r="I1630" s="38" t="s">
        <v>44</v>
      </c>
      <c r="J1630" s="38" t="s">
        <v>45</v>
      </c>
      <c r="K1630" s="38" t="s">
        <v>5908</v>
      </c>
      <c r="L1630" s="30" t="s">
        <v>47</v>
      </c>
      <c r="M1630" s="38" t="s">
        <v>48</v>
      </c>
      <c r="N1630" s="38" t="s">
        <v>48</v>
      </c>
      <c r="O1630" s="63" t="s">
        <v>469</v>
      </c>
      <c r="P1630" s="28" t="s">
        <v>470</v>
      </c>
      <c r="Q1630" s="38" t="s">
        <v>471</v>
      </c>
      <c r="R1630" s="38">
        <v>1</v>
      </c>
      <c r="S1630" s="38" t="s">
        <v>52</v>
      </c>
      <c r="T1630" s="38" t="s">
        <v>53</v>
      </c>
      <c r="U1630" s="38" t="s">
        <v>54</v>
      </c>
      <c r="V1630" s="38" t="s">
        <v>55</v>
      </c>
      <c r="X1630" s="61">
        <v>45896</v>
      </c>
      <c r="Y1630" s="38">
        <v>111.14</v>
      </c>
      <c r="Z1630" s="38">
        <v>1</v>
      </c>
      <c r="AF1630" s="38">
        <v>111.14</v>
      </c>
      <c r="AK1630" s="14" t="e">
        <f t="shared" si="7"/>
        <v>#DIV/0!</v>
      </c>
      <c r="AL1630" s="53">
        <v>1000026898</v>
      </c>
      <c r="AM1630" s="38" t="s">
        <v>953</v>
      </c>
      <c r="AO1630" s="28" t="s">
        <v>5909</v>
      </c>
    </row>
    <row r="1631" spans="1:41" ht="14">
      <c r="A1631" s="28" t="s">
        <v>5910</v>
      </c>
      <c r="B1631" s="37">
        <v>45874</v>
      </c>
      <c r="C1631" s="29">
        <v>45881</v>
      </c>
      <c r="D1631" s="38" t="s">
        <v>41</v>
      </c>
      <c r="E1631" s="38" t="s">
        <v>5911</v>
      </c>
      <c r="G1631" s="38" t="s">
        <v>43</v>
      </c>
      <c r="H1631" s="38">
        <v>17.43</v>
      </c>
      <c r="I1631" s="38" t="s">
        <v>44</v>
      </c>
      <c r="J1631" s="38" t="s">
        <v>45</v>
      </c>
      <c r="K1631" s="38" t="s">
        <v>5912</v>
      </c>
      <c r="L1631" s="30" t="s">
        <v>58</v>
      </c>
      <c r="M1631" s="38" t="s">
        <v>48</v>
      </c>
      <c r="N1631" s="38" t="s">
        <v>48</v>
      </c>
      <c r="O1631" s="63" t="s">
        <v>469</v>
      </c>
      <c r="P1631" s="28" t="s">
        <v>470</v>
      </c>
      <c r="Q1631" s="38" t="s">
        <v>471</v>
      </c>
      <c r="R1631" s="38">
        <v>1</v>
      </c>
      <c r="S1631" s="38" t="s">
        <v>68</v>
      </c>
      <c r="T1631" s="38" t="s">
        <v>53</v>
      </c>
      <c r="U1631" s="38" t="s">
        <v>54</v>
      </c>
      <c r="V1631" s="38" t="s">
        <v>61</v>
      </c>
      <c r="Y1631" s="38">
        <v>102.9</v>
      </c>
      <c r="Z1631" s="38">
        <v>1</v>
      </c>
      <c r="AF1631" s="38"/>
      <c r="AK1631" s="14" t="e">
        <f t="shared" si="7"/>
        <v>#DIV/0!</v>
      </c>
      <c r="AL1631" s="53">
        <v>1000026203</v>
      </c>
      <c r="AM1631" s="38" t="s">
        <v>561</v>
      </c>
      <c r="AO1631" s="28" t="s">
        <v>5913</v>
      </c>
    </row>
    <row r="1632" spans="1:41" ht="12.5">
      <c r="A1632" s="28" t="s">
        <v>5914</v>
      </c>
      <c r="B1632" s="37">
        <v>45869</v>
      </c>
      <c r="C1632" s="29">
        <v>45874</v>
      </c>
      <c r="D1632" s="38" t="s">
        <v>41</v>
      </c>
      <c r="E1632" s="38" t="s">
        <v>5915</v>
      </c>
      <c r="G1632" s="38" t="s">
        <v>43</v>
      </c>
      <c r="H1632" s="38">
        <v>17.43</v>
      </c>
      <c r="I1632" s="38" t="s">
        <v>44</v>
      </c>
      <c r="J1632" s="38" t="s">
        <v>45</v>
      </c>
      <c r="K1632" s="38" t="s">
        <v>5916</v>
      </c>
      <c r="L1632" s="30" t="s">
        <v>47</v>
      </c>
      <c r="M1632" s="38" t="s">
        <v>48</v>
      </c>
      <c r="N1632" s="38" t="s">
        <v>48</v>
      </c>
      <c r="O1632" s="63" t="s">
        <v>469</v>
      </c>
      <c r="P1632" s="28" t="s">
        <v>470</v>
      </c>
      <c r="Q1632" s="38" t="s">
        <v>471</v>
      </c>
      <c r="R1632" s="38">
        <v>1</v>
      </c>
      <c r="S1632" s="38" t="s">
        <v>82</v>
      </c>
      <c r="T1632" s="38" t="s">
        <v>53</v>
      </c>
      <c r="U1632" s="38" t="s">
        <v>54</v>
      </c>
      <c r="V1632" s="38" t="s">
        <v>61</v>
      </c>
      <c r="Y1632" s="38">
        <v>109.06</v>
      </c>
      <c r="Z1632" s="38">
        <v>1</v>
      </c>
      <c r="AF1632" s="38"/>
      <c r="AK1632" s="14" t="e">
        <f t="shared" si="7"/>
        <v>#DIV/0!</v>
      </c>
      <c r="AM1632" s="38" t="s">
        <v>561</v>
      </c>
      <c r="AO1632" s="28" t="s">
        <v>5534</v>
      </c>
    </row>
    <row r="1633" spans="1:60" ht="14">
      <c r="A1633" s="28" t="s">
        <v>5917</v>
      </c>
      <c r="B1633" s="37">
        <v>45859</v>
      </c>
      <c r="C1633" s="29">
        <v>45874</v>
      </c>
      <c r="D1633" s="38" t="s">
        <v>41</v>
      </c>
      <c r="E1633" s="38" t="s">
        <v>5918</v>
      </c>
      <c r="G1633" s="38" t="s">
        <v>43</v>
      </c>
      <c r="H1633" s="38">
        <v>11.33</v>
      </c>
      <c r="I1633" s="38" t="s">
        <v>44</v>
      </c>
      <c r="J1633" s="38" t="s">
        <v>45</v>
      </c>
      <c r="K1633" s="38" t="s">
        <v>5919</v>
      </c>
      <c r="L1633" s="30" t="s">
        <v>47</v>
      </c>
      <c r="M1633" s="38" t="s">
        <v>48</v>
      </c>
      <c r="N1633" s="38" t="s">
        <v>48</v>
      </c>
      <c r="O1633" s="31" t="s">
        <v>1003</v>
      </c>
      <c r="P1633" s="28" t="s">
        <v>1004</v>
      </c>
      <c r="Q1633" s="38" t="s">
        <v>1005</v>
      </c>
      <c r="R1633" s="38">
        <v>1</v>
      </c>
      <c r="S1633" s="38" t="s">
        <v>99</v>
      </c>
      <c r="T1633" s="38" t="s">
        <v>53</v>
      </c>
      <c r="U1633" s="38" t="s">
        <v>54</v>
      </c>
      <c r="V1633" s="38" t="s">
        <v>55</v>
      </c>
      <c r="Y1633" s="38">
        <v>98.86</v>
      </c>
      <c r="Z1633" s="38">
        <v>1</v>
      </c>
      <c r="AF1633" s="38">
        <v>98.86</v>
      </c>
      <c r="AK1633" s="14" t="e">
        <f t="shared" si="7"/>
        <v>#DIV/0!</v>
      </c>
      <c r="AL1633" s="53">
        <v>1000025216</v>
      </c>
      <c r="AM1633" s="38"/>
      <c r="AO1633" s="28" t="s">
        <v>5920</v>
      </c>
    </row>
    <row r="1634" spans="1:60" ht="14">
      <c r="A1634" s="28" t="s">
        <v>5921</v>
      </c>
      <c r="B1634" s="37">
        <v>45862</v>
      </c>
      <c r="C1634" s="29">
        <v>45890</v>
      </c>
      <c r="D1634" s="38" t="s">
        <v>41</v>
      </c>
      <c r="E1634" s="38" t="s">
        <v>5922</v>
      </c>
      <c r="G1634" s="38" t="s">
        <v>43</v>
      </c>
      <c r="H1634" s="38">
        <v>12.45</v>
      </c>
      <c r="I1634" s="38" t="s">
        <v>44</v>
      </c>
      <c r="J1634" s="38" t="s">
        <v>45</v>
      </c>
      <c r="K1634" s="38" t="s">
        <v>5923</v>
      </c>
      <c r="L1634" s="30" t="s">
        <v>58</v>
      </c>
      <c r="M1634" s="38" t="s">
        <v>48</v>
      </c>
      <c r="N1634" s="38" t="s">
        <v>48</v>
      </c>
      <c r="O1634" s="31" t="s">
        <v>572</v>
      </c>
      <c r="P1634" s="28" t="s">
        <v>573</v>
      </c>
      <c r="Q1634" s="38" t="s">
        <v>574</v>
      </c>
      <c r="R1634" s="38">
        <v>1</v>
      </c>
      <c r="S1634" s="38" t="s">
        <v>306</v>
      </c>
      <c r="T1634" s="38" t="s">
        <v>53</v>
      </c>
      <c r="U1634" s="38" t="s">
        <v>54</v>
      </c>
      <c r="V1634" s="38" t="s">
        <v>61</v>
      </c>
      <c r="Y1634" s="38">
        <v>96.22</v>
      </c>
      <c r="Z1634" s="38">
        <v>1</v>
      </c>
      <c r="AF1634" s="38">
        <v>81.27</v>
      </c>
      <c r="AK1634" s="14" t="e">
        <f t="shared" si="7"/>
        <v>#DIV/0!</v>
      </c>
      <c r="AL1634" s="53">
        <v>1000025434</v>
      </c>
      <c r="AM1634" s="38"/>
      <c r="AO1634" s="28" t="s">
        <v>5924</v>
      </c>
    </row>
    <row r="1635" spans="1:60" ht="14">
      <c r="A1635" s="28" t="s">
        <v>5925</v>
      </c>
      <c r="B1635" s="37">
        <v>45879</v>
      </c>
      <c r="C1635" s="29">
        <v>45887</v>
      </c>
      <c r="D1635" s="38" t="s">
        <v>41</v>
      </c>
      <c r="E1635" s="38" t="s">
        <v>5926</v>
      </c>
      <c r="G1635" s="38" t="s">
        <v>43</v>
      </c>
      <c r="H1635" s="38">
        <v>17.43</v>
      </c>
      <c r="I1635" s="38" t="s">
        <v>44</v>
      </c>
      <c r="J1635" s="38" t="s">
        <v>45</v>
      </c>
      <c r="K1635" s="38" t="s">
        <v>5927</v>
      </c>
      <c r="L1635" s="30" t="s">
        <v>58</v>
      </c>
      <c r="M1635" s="38" t="s">
        <v>48</v>
      </c>
      <c r="N1635" s="38" t="s">
        <v>48</v>
      </c>
      <c r="O1635" s="31" t="s">
        <v>1378</v>
      </c>
      <c r="P1635" s="28" t="s">
        <v>1379</v>
      </c>
      <c r="Q1635" s="38" t="s">
        <v>1380</v>
      </c>
      <c r="R1635" s="38">
        <v>1</v>
      </c>
      <c r="S1635" s="38" t="s">
        <v>3878</v>
      </c>
      <c r="T1635" s="38" t="s">
        <v>53</v>
      </c>
      <c r="U1635" s="38" t="s">
        <v>54</v>
      </c>
      <c r="V1635" s="38" t="s">
        <v>55</v>
      </c>
      <c r="X1635" s="61">
        <v>45894</v>
      </c>
      <c r="Y1635" s="38">
        <v>114.9</v>
      </c>
      <c r="Z1635" s="38">
        <v>1</v>
      </c>
      <c r="AF1635" s="38">
        <v>97.47</v>
      </c>
      <c r="AK1635" s="14" t="e">
        <f t="shared" si="7"/>
        <v>#DIV/0!</v>
      </c>
      <c r="AL1635" s="53">
        <v>1000026456</v>
      </c>
      <c r="AM1635" s="38"/>
      <c r="AO1635" s="28" t="s">
        <v>5928</v>
      </c>
    </row>
    <row r="1636" spans="1:60" ht="14">
      <c r="A1636" s="28" t="s">
        <v>5929</v>
      </c>
      <c r="B1636" s="37">
        <v>45860</v>
      </c>
      <c r="C1636" s="29">
        <v>45879</v>
      </c>
      <c r="D1636" s="38" t="s">
        <v>41</v>
      </c>
      <c r="E1636" s="38" t="s">
        <v>5930</v>
      </c>
      <c r="G1636" s="38" t="s">
        <v>43</v>
      </c>
      <c r="H1636" s="38">
        <v>11.73</v>
      </c>
      <c r="I1636" s="38" t="s">
        <v>44</v>
      </c>
      <c r="J1636" s="38" t="s">
        <v>45</v>
      </c>
      <c r="K1636" s="38" t="s">
        <v>5931</v>
      </c>
      <c r="L1636" s="30" t="s">
        <v>58</v>
      </c>
      <c r="M1636" s="38" t="s">
        <v>48</v>
      </c>
      <c r="N1636" s="38" t="s">
        <v>48</v>
      </c>
      <c r="O1636" s="31" t="s">
        <v>443</v>
      </c>
      <c r="P1636" s="28" t="s">
        <v>444</v>
      </c>
      <c r="Q1636" s="38" t="s">
        <v>445</v>
      </c>
      <c r="R1636" s="38">
        <v>1</v>
      </c>
      <c r="S1636" s="38" t="s">
        <v>75</v>
      </c>
      <c r="T1636" s="38" t="s">
        <v>53</v>
      </c>
      <c r="U1636" s="38" t="s">
        <v>54</v>
      </c>
      <c r="V1636" s="38" t="s">
        <v>61</v>
      </c>
      <c r="Y1636" s="38">
        <v>124.38</v>
      </c>
      <c r="Z1636" s="38">
        <v>1</v>
      </c>
      <c r="AF1636" s="38"/>
      <c r="AK1636" s="14" t="e">
        <f t="shared" si="7"/>
        <v>#DIV/0!</v>
      </c>
      <c r="AL1636" s="53">
        <v>1000025373</v>
      </c>
      <c r="AM1636" s="38"/>
      <c r="AO1636" s="28" t="s">
        <v>5932</v>
      </c>
    </row>
    <row r="1637" spans="1:60" ht="14">
      <c r="A1637" s="28" t="s">
        <v>5933</v>
      </c>
      <c r="B1637" s="37">
        <v>45866</v>
      </c>
      <c r="C1637" s="29">
        <v>45873</v>
      </c>
      <c r="D1637" s="38" t="s">
        <v>41</v>
      </c>
      <c r="E1637" s="38" t="s">
        <v>5934</v>
      </c>
      <c r="G1637" s="38" t="s">
        <v>43</v>
      </c>
      <c r="H1637" s="38">
        <v>11.71</v>
      </c>
      <c r="I1637" s="38" t="s">
        <v>44</v>
      </c>
      <c r="J1637" s="38" t="s">
        <v>45</v>
      </c>
      <c r="K1637" s="38" t="s">
        <v>5935</v>
      </c>
      <c r="L1637" s="30" t="s">
        <v>58</v>
      </c>
      <c r="M1637" s="38" t="s">
        <v>48</v>
      </c>
      <c r="N1637" s="38" t="s">
        <v>48</v>
      </c>
      <c r="O1637" s="31" t="s">
        <v>443</v>
      </c>
      <c r="P1637" s="28" t="s">
        <v>444</v>
      </c>
      <c r="Q1637" s="38" t="s">
        <v>445</v>
      </c>
      <c r="R1637" s="38">
        <v>1</v>
      </c>
      <c r="S1637" s="38" t="s">
        <v>3868</v>
      </c>
      <c r="T1637" s="38" t="s">
        <v>53</v>
      </c>
      <c r="U1637" s="38" t="s">
        <v>54</v>
      </c>
      <c r="V1637" s="38" t="s">
        <v>55</v>
      </c>
      <c r="Y1637" s="38">
        <v>114.9</v>
      </c>
      <c r="Z1637" s="38">
        <v>1</v>
      </c>
      <c r="AF1637" s="38">
        <v>103.19</v>
      </c>
      <c r="AK1637" s="14" t="e">
        <f t="shared" si="7"/>
        <v>#DIV/0!</v>
      </c>
      <c r="AL1637" s="53">
        <v>1000025714</v>
      </c>
      <c r="AM1637" s="38"/>
      <c r="AO1637" s="28" t="s">
        <v>5936</v>
      </c>
    </row>
    <row r="1638" spans="1:60" ht="14">
      <c r="A1638" s="28" t="s">
        <v>5937</v>
      </c>
      <c r="B1638" s="37">
        <v>45862</v>
      </c>
      <c r="C1638" s="29">
        <v>45875</v>
      </c>
      <c r="D1638" s="38" t="s">
        <v>41</v>
      </c>
      <c r="E1638" s="38" t="s">
        <v>5938</v>
      </c>
      <c r="G1638" s="38" t="s">
        <v>43</v>
      </c>
      <c r="H1638" s="38">
        <v>14.32</v>
      </c>
      <c r="I1638" s="38" t="s">
        <v>44</v>
      </c>
      <c r="J1638" s="38" t="s">
        <v>45</v>
      </c>
      <c r="K1638" s="38" t="s">
        <v>5939</v>
      </c>
      <c r="L1638" s="30" t="s">
        <v>58</v>
      </c>
      <c r="M1638" s="38" t="s">
        <v>48</v>
      </c>
      <c r="N1638" s="38" t="s">
        <v>48</v>
      </c>
      <c r="O1638" s="31" t="s">
        <v>4936</v>
      </c>
      <c r="P1638" s="28" t="s">
        <v>4937</v>
      </c>
      <c r="Q1638" s="38" t="s">
        <v>4938</v>
      </c>
      <c r="R1638" s="38">
        <v>1</v>
      </c>
      <c r="S1638" s="38" t="s">
        <v>75</v>
      </c>
      <c r="T1638" s="38" t="s">
        <v>53</v>
      </c>
      <c r="U1638" s="38" t="s">
        <v>54</v>
      </c>
      <c r="V1638" s="38" t="s">
        <v>55</v>
      </c>
      <c r="Y1638" s="38">
        <v>111.42</v>
      </c>
      <c r="Z1638" s="38">
        <v>1</v>
      </c>
      <c r="AF1638" s="38">
        <v>97.1</v>
      </c>
      <c r="AK1638" s="14" t="e">
        <f t="shared" si="7"/>
        <v>#DIV/0!</v>
      </c>
      <c r="AL1638" s="53">
        <v>1000025455</v>
      </c>
      <c r="AM1638" s="38"/>
      <c r="AO1638" s="28" t="s">
        <v>5940</v>
      </c>
    </row>
    <row r="1639" spans="1:60" ht="14">
      <c r="A1639" s="28" t="s">
        <v>5941</v>
      </c>
      <c r="B1639" s="37">
        <v>45887</v>
      </c>
      <c r="C1639" s="29">
        <v>45894</v>
      </c>
      <c r="D1639" s="38" t="s">
        <v>41</v>
      </c>
      <c r="E1639" s="38" t="s">
        <v>5942</v>
      </c>
      <c r="G1639" s="38" t="s">
        <v>43</v>
      </c>
      <c r="H1639" s="38">
        <v>14.32</v>
      </c>
      <c r="I1639" s="38" t="s">
        <v>44</v>
      </c>
      <c r="J1639" s="38" t="s">
        <v>45</v>
      </c>
      <c r="K1639" s="38" t="s">
        <v>5943</v>
      </c>
      <c r="L1639" s="30" t="s">
        <v>58</v>
      </c>
      <c r="M1639" s="38" t="s">
        <v>48</v>
      </c>
      <c r="N1639" s="38" t="s">
        <v>48</v>
      </c>
      <c r="O1639" s="31" t="s">
        <v>4077</v>
      </c>
      <c r="P1639" s="28" t="s">
        <v>4078</v>
      </c>
      <c r="Q1639" s="38" t="s">
        <v>4079</v>
      </c>
      <c r="R1639" s="38">
        <v>1</v>
      </c>
      <c r="S1639" s="38" t="s">
        <v>3868</v>
      </c>
      <c r="T1639" s="38" t="s">
        <v>53</v>
      </c>
      <c r="U1639" s="38" t="s">
        <v>54</v>
      </c>
      <c r="V1639" s="38" t="s">
        <v>61</v>
      </c>
      <c r="Y1639" s="38">
        <v>106.96</v>
      </c>
      <c r="Z1639" s="38">
        <v>1</v>
      </c>
      <c r="AF1639" s="38"/>
      <c r="AK1639" s="14" t="e">
        <f t="shared" si="7"/>
        <v>#DIV/0!</v>
      </c>
      <c r="AL1639" s="53">
        <v>1000026946</v>
      </c>
      <c r="AM1639" s="38"/>
      <c r="AO1639" s="28" t="s">
        <v>5944</v>
      </c>
    </row>
    <row r="1640" spans="1:60" ht="14">
      <c r="A1640" s="28" t="s">
        <v>5945</v>
      </c>
      <c r="B1640" s="37">
        <v>45870</v>
      </c>
      <c r="C1640" s="29">
        <v>45877</v>
      </c>
      <c r="D1640" s="38" t="s">
        <v>41</v>
      </c>
      <c r="E1640" s="38" t="s">
        <v>5946</v>
      </c>
      <c r="G1640" s="38" t="s">
        <v>43</v>
      </c>
      <c r="H1640" s="38">
        <v>10.59</v>
      </c>
      <c r="I1640" s="38" t="s">
        <v>44</v>
      </c>
      <c r="J1640" s="38" t="s">
        <v>45</v>
      </c>
      <c r="K1640" s="38" t="s">
        <v>5947</v>
      </c>
      <c r="L1640" s="30" t="s">
        <v>58</v>
      </c>
      <c r="M1640" s="38" t="s">
        <v>48</v>
      </c>
      <c r="N1640" s="38" t="s">
        <v>48</v>
      </c>
      <c r="O1640" s="31" t="s">
        <v>5948</v>
      </c>
      <c r="P1640" s="28" t="s">
        <v>5949</v>
      </c>
      <c r="Q1640" s="38" t="s">
        <v>5950</v>
      </c>
      <c r="R1640" s="38">
        <v>1</v>
      </c>
      <c r="S1640" s="38" t="s">
        <v>3884</v>
      </c>
      <c r="T1640" s="38" t="s">
        <v>53</v>
      </c>
      <c r="U1640" s="38" t="s">
        <v>54</v>
      </c>
      <c r="V1640" s="38" t="s">
        <v>61</v>
      </c>
      <c r="Y1640" s="38">
        <v>96.02</v>
      </c>
      <c r="Z1640" s="38">
        <v>1</v>
      </c>
      <c r="AF1640" s="38"/>
      <c r="AK1640" s="14" t="e">
        <f t="shared" si="7"/>
        <v>#DIV/0!</v>
      </c>
      <c r="AL1640" s="53">
        <v>1000025924</v>
      </c>
      <c r="AM1640" s="38"/>
      <c r="AO1640" s="28" t="s">
        <v>5951</v>
      </c>
    </row>
    <row r="1641" spans="1:60" ht="14">
      <c r="A1641" s="28" t="s">
        <v>5952</v>
      </c>
      <c r="B1641" s="37">
        <v>45859</v>
      </c>
      <c r="C1641" s="29">
        <v>45891</v>
      </c>
      <c r="D1641" s="38" t="s">
        <v>41</v>
      </c>
      <c r="E1641" s="38" t="s">
        <v>5953</v>
      </c>
      <c r="G1641" s="38" t="s">
        <v>43</v>
      </c>
      <c r="H1641" s="38">
        <v>10.220000000000001</v>
      </c>
      <c r="I1641" s="38" t="s">
        <v>44</v>
      </c>
      <c r="J1641" s="38" t="s">
        <v>45</v>
      </c>
      <c r="K1641" s="38" t="s">
        <v>5954</v>
      </c>
      <c r="L1641" s="30" t="s">
        <v>47</v>
      </c>
      <c r="M1641" s="38" t="s">
        <v>48</v>
      </c>
      <c r="N1641" s="38" t="s">
        <v>48</v>
      </c>
      <c r="O1641" s="31" t="s">
        <v>1965</v>
      </c>
      <c r="P1641" s="28" t="s">
        <v>1966</v>
      </c>
      <c r="Q1641" s="38" t="s">
        <v>1967</v>
      </c>
      <c r="R1641" s="38">
        <v>1</v>
      </c>
      <c r="S1641" s="38" t="s">
        <v>99</v>
      </c>
      <c r="T1641" s="38" t="s">
        <v>53</v>
      </c>
      <c r="U1641" s="38" t="s">
        <v>54</v>
      </c>
      <c r="V1641" s="38" t="s">
        <v>61</v>
      </c>
      <c r="Y1641" s="38">
        <v>121.22</v>
      </c>
      <c r="Z1641" s="38">
        <v>1</v>
      </c>
      <c r="AF1641" s="38">
        <v>105.45</v>
      </c>
      <c r="AK1641" s="14" t="e">
        <f t="shared" si="7"/>
        <v>#DIV/0!</v>
      </c>
      <c r="AL1641" s="53">
        <v>1000025924</v>
      </c>
      <c r="AM1641" s="38"/>
      <c r="AO1641" s="28" t="s">
        <v>5955</v>
      </c>
    </row>
    <row r="1642" spans="1:60" ht="14">
      <c r="A1642" s="28" t="s">
        <v>5956</v>
      </c>
      <c r="B1642" s="37">
        <v>45885</v>
      </c>
      <c r="C1642" s="29">
        <v>45890</v>
      </c>
      <c r="D1642" s="38" t="s">
        <v>41</v>
      </c>
      <c r="E1642" s="38" t="s">
        <v>5957</v>
      </c>
      <c r="G1642" s="38" t="s">
        <v>43</v>
      </c>
      <c r="H1642" s="38">
        <v>10.220000000000001</v>
      </c>
      <c r="I1642" s="38" t="s">
        <v>44</v>
      </c>
      <c r="J1642" s="38" t="s">
        <v>45</v>
      </c>
      <c r="K1642" s="38" t="s">
        <v>5958</v>
      </c>
      <c r="L1642" s="30" t="s">
        <v>58</v>
      </c>
      <c r="M1642" s="38" t="s">
        <v>48</v>
      </c>
      <c r="N1642" s="38" t="s">
        <v>48</v>
      </c>
      <c r="O1642" s="31" t="s">
        <v>1965</v>
      </c>
      <c r="P1642" s="28" t="s">
        <v>1966</v>
      </c>
      <c r="Q1642" s="38" t="s">
        <v>1967</v>
      </c>
      <c r="R1642" s="38">
        <v>1</v>
      </c>
      <c r="S1642" s="38" t="s">
        <v>3884</v>
      </c>
      <c r="T1642" s="38" t="s">
        <v>53</v>
      </c>
      <c r="U1642" s="38" t="s">
        <v>54</v>
      </c>
      <c r="V1642" s="38" t="s">
        <v>55</v>
      </c>
      <c r="X1642" s="61">
        <v>45896</v>
      </c>
      <c r="Y1642" s="38">
        <v>125.14</v>
      </c>
      <c r="Z1642" s="38">
        <v>1</v>
      </c>
      <c r="AF1642" s="38">
        <v>114.92</v>
      </c>
      <c r="AK1642" s="14" t="e">
        <f t="shared" si="7"/>
        <v>#DIV/0!</v>
      </c>
      <c r="AL1642" s="53">
        <v>1000026831</v>
      </c>
      <c r="AM1642" s="38"/>
      <c r="AO1642" s="28" t="s">
        <v>5959</v>
      </c>
    </row>
    <row r="1643" spans="1:60" ht="14">
      <c r="A1643" s="28" t="s">
        <v>5960</v>
      </c>
      <c r="B1643" s="37">
        <v>45888</v>
      </c>
      <c r="C1643" s="29">
        <v>45894</v>
      </c>
      <c r="D1643" s="38" t="s">
        <v>41</v>
      </c>
      <c r="E1643" s="38" t="s">
        <v>5961</v>
      </c>
      <c r="G1643" s="38" t="s">
        <v>43</v>
      </c>
      <c r="H1643" s="38">
        <v>11.73</v>
      </c>
      <c r="I1643" s="38" t="s">
        <v>44</v>
      </c>
      <c r="J1643" s="38" t="s">
        <v>45</v>
      </c>
      <c r="K1643" s="38" t="s">
        <v>5962</v>
      </c>
      <c r="L1643" s="30" t="s">
        <v>47</v>
      </c>
      <c r="M1643" s="38" t="s">
        <v>48</v>
      </c>
      <c r="N1643" s="38" t="s">
        <v>48</v>
      </c>
      <c r="O1643" s="31" t="s">
        <v>331</v>
      </c>
      <c r="P1643" s="28" t="s">
        <v>5963</v>
      </c>
      <c r="Q1643" s="38" t="s">
        <v>333</v>
      </c>
      <c r="R1643" s="38">
        <v>1</v>
      </c>
      <c r="S1643" s="38" t="s">
        <v>856</v>
      </c>
      <c r="T1643" s="38" t="s">
        <v>53</v>
      </c>
      <c r="U1643" s="38" t="s">
        <v>54</v>
      </c>
      <c r="V1643" s="38" t="s">
        <v>61</v>
      </c>
      <c r="Y1643" s="38">
        <v>78.84</v>
      </c>
      <c r="Z1643" s="38">
        <v>1</v>
      </c>
      <c r="AF1643" s="38"/>
      <c r="AK1643" s="14" t="e">
        <f t="shared" si="7"/>
        <v>#DIV/0!</v>
      </c>
      <c r="AL1643" s="53">
        <v>1000026997</v>
      </c>
      <c r="AM1643" s="38" t="s">
        <v>953</v>
      </c>
      <c r="AO1643" s="28" t="s">
        <v>5964</v>
      </c>
      <c r="AP1643" s="38" t="s">
        <v>5560</v>
      </c>
    </row>
    <row r="1644" spans="1:60" ht="14">
      <c r="A1644" s="28" t="s">
        <v>5965</v>
      </c>
      <c r="B1644" s="37">
        <v>45881</v>
      </c>
      <c r="C1644" s="29">
        <v>45891</v>
      </c>
      <c r="D1644" s="38" t="s">
        <v>41</v>
      </c>
      <c r="E1644" s="38" t="s">
        <v>5966</v>
      </c>
      <c r="G1644" s="38" t="s">
        <v>43</v>
      </c>
      <c r="H1644" s="38">
        <v>5.76</v>
      </c>
      <c r="I1644" s="38" t="s">
        <v>44</v>
      </c>
      <c r="J1644" s="38" t="s">
        <v>45</v>
      </c>
      <c r="K1644" s="38" t="s">
        <v>5967</v>
      </c>
      <c r="L1644" s="30" t="s">
        <v>58</v>
      </c>
      <c r="M1644" s="38" t="s">
        <v>48</v>
      </c>
      <c r="N1644" s="38" t="s">
        <v>48</v>
      </c>
      <c r="O1644" s="31" t="s">
        <v>219</v>
      </c>
      <c r="P1644" s="28" t="s">
        <v>5968</v>
      </c>
      <c r="Q1644" s="38" t="s">
        <v>221</v>
      </c>
      <c r="R1644" s="38">
        <v>1</v>
      </c>
      <c r="S1644" s="38" t="s">
        <v>3868</v>
      </c>
      <c r="T1644" s="38" t="s">
        <v>53</v>
      </c>
      <c r="U1644" s="38" t="s">
        <v>54</v>
      </c>
      <c r="V1644" s="38" t="s">
        <v>55</v>
      </c>
      <c r="Y1644" s="38">
        <v>80.33</v>
      </c>
      <c r="Z1644" s="38">
        <v>1</v>
      </c>
      <c r="AF1644" s="38">
        <v>74.569999999999993</v>
      </c>
      <c r="AK1644" s="14" t="e">
        <f t="shared" ref="AK1644:AK1825" si="8">AI1644/AJ1644*1</f>
        <v>#DIV/0!</v>
      </c>
      <c r="AL1644" s="53">
        <v>1000026617</v>
      </c>
      <c r="AM1644" s="38"/>
      <c r="AO1644" s="28" t="s">
        <v>5969</v>
      </c>
    </row>
    <row r="1645" spans="1:60" ht="14">
      <c r="A1645" s="28" t="s">
        <v>5970</v>
      </c>
      <c r="B1645" s="37">
        <v>45873</v>
      </c>
      <c r="C1645" s="29">
        <v>45882</v>
      </c>
      <c r="D1645" s="38" t="s">
        <v>41</v>
      </c>
      <c r="E1645" s="38" t="s">
        <v>5971</v>
      </c>
      <c r="G1645" s="38" t="s">
        <v>43</v>
      </c>
      <c r="H1645" s="38">
        <v>17.8</v>
      </c>
      <c r="I1645" s="38" t="s">
        <v>44</v>
      </c>
      <c r="J1645" s="38" t="s">
        <v>45</v>
      </c>
      <c r="K1645" s="38" t="s">
        <v>5972</v>
      </c>
      <c r="L1645" s="30" t="s">
        <v>58</v>
      </c>
      <c r="M1645" s="38" t="s">
        <v>48</v>
      </c>
      <c r="N1645" s="38" t="s">
        <v>48</v>
      </c>
      <c r="O1645" s="31" t="s">
        <v>437</v>
      </c>
      <c r="P1645" s="28" t="s">
        <v>5973</v>
      </c>
      <c r="Q1645" s="38" t="s">
        <v>2246</v>
      </c>
      <c r="R1645" s="38">
        <v>1</v>
      </c>
      <c r="S1645" s="38" t="s">
        <v>68</v>
      </c>
      <c r="T1645" s="38" t="s">
        <v>53</v>
      </c>
      <c r="U1645" s="38" t="s">
        <v>54</v>
      </c>
      <c r="V1645" s="38" t="s">
        <v>55</v>
      </c>
      <c r="X1645" s="61">
        <v>45894</v>
      </c>
      <c r="Y1645" s="38">
        <v>122.31</v>
      </c>
      <c r="Z1645" s="38">
        <v>1</v>
      </c>
      <c r="AF1645" s="38">
        <v>104.51</v>
      </c>
      <c r="AK1645" s="14" t="e">
        <f t="shared" si="8"/>
        <v>#DIV/0!</v>
      </c>
      <c r="AL1645" s="53">
        <v>1000026105</v>
      </c>
      <c r="AM1645" s="38"/>
      <c r="AO1645" s="28" t="s">
        <v>5974</v>
      </c>
    </row>
    <row r="1646" spans="1:60" ht="12.5">
      <c r="A1646" s="32"/>
      <c r="B1646" s="48"/>
      <c r="C1646" s="34"/>
      <c r="D1646" s="33"/>
      <c r="E1646" s="33"/>
      <c r="F1646" s="33"/>
      <c r="G1646" s="33"/>
      <c r="H1646" s="33"/>
      <c r="I1646" s="33"/>
      <c r="J1646" s="33"/>
      <c r="K1646" s="33"/>
      <c r="L1646" s="35"/>
      <c r="M1646" s="33"/>
      <c r="N1646" s="33"/>
      <c r="O1646" s="35"/>
      <c r="P1646" s="32"/>
      <c r="Q1646" s="33"/>
      <c r="R1646" s="33"/>
      <c r="S1646" s="33"/>
      <c r="T1646" s="33"/>
      <c r="U1646" s="33"/>
      <c r="V1646" s="33"/>
      <c r="W1646" s="33"/>
      <c r="X1646" s="33"/>
      <c r="Y1646" s="33"/>
      <c r="Z1646" s="33"/>
      <c r="AA1646" s="33"/>
      <c r="AB1646" s="33"/>
      <c r="AC1646" s="33"/>
      <c r="AD1646" s="33"/>
      <c r="AE1646" s="33"/>
      <c r="AF1646" s="33"/>
      <c r="AG1646" s="33"/>
      <c r="AH1646" s="33"/>
      <c r="AI1646" s="33"/>
      <c r="AJ1646" s="33"/>
      <c r="AK1646" s="36" t="e">
        <f t="shared" si="8"/>
        <v>#DIV/0!</v>
      </c>
      <c r="AL1646" s="33"/>
      <c r="AM1646" s="33"/>
      <c r="AN1646" s="33"/>
      <c r="AO1646" s="32"/>
      <c r="AP1646" s="33"/>
      <c r="AQ1646" s="33"/>
      <c r="AR1646" s="33"/>
      <c r="AS1646" s="33"/>
      <c r="AT1646" s="33"/>
      <c r="AU1646" s="33"/>
      <c r="AV1646" s="33"/>
      <c r="AW1646" s="33"/>
      <c r="AX1646" s="33"/>
      <c r="AY1646" s="33"/>
      <c r="AZ1646" s="33"/>
      <c r="BA1646" s="33"/>
      <c r="BB1646" s="33"/>
      <c r="BC1646" s="33"/>
      <c r="BD1646" s="33"/>
      <c r="BE1646" s="33"/>
      <c r="BF1646" s="33"/>
      <c r="BG1646" s="33"/>
      <c r="BH1646" s="33"/>
    </row>
    <row r="1647" spans="1:60" ht="14.5">
      <c r="A1647" s="70" t="s">
        <v>5975</v>
      </c>
      <c r="B1647" s="71">
        <v>45870</v>
      </c>
      <c r="C1647" s="72">
        <v>45901</v>
      </c>
      <c r="D1647" s="70" t="s">
        <v>41</v>
      </c>
      <c r="E1647" s="70" t="s">
        <v>5976</v>
      </c>
      <c r="F1647" s="70"/>
      <c r="G1647" s="70" t="s">
        <v>43</v>
      </c>
      <c r="H1647" s="73">
        <v>11.33</v>
      </c>
      <c r="I1647" s="70" t="s">
        <v>44</v>
      </c>
      <c r="J1647" s="70" t="s">
        <v>45</v>
      </c>
      <c r="K1647" s="70" t="s">
        <v>5977</v>
      </c>
      <c r="L1647" s="70" t="s">
        <v>58</v>
      </c>
      <c r="M1647" s="70" t="s">
        <v>48</v>
      </c>
      <c r="N1647" s="70" t="s">
        <v>48</v>
      </c>
      <c r="O1647" s="70" t="s">
        <v>79</v>
      </c>
      <c r="P1647" s="70" t="s">
        <v>80</v>
      </c>
      <c r="Q1647" s="70" t="s">
        <v>4631</v>
      </c>
      <c r="R1647" s="73">
        <v>1</v>
      </c>
      <c r="S1647" s="70" t="s">
        <v>3868</v>
      </c>
      <c r="T1647" s="70" t="s">
        <v>53</v>
      </c>
      <c r="U1647" s="70" t="s">
        <v>54</v>
      </c>
      <c r="V1647" s="70" t="s">
        <v>240</v>
      </c>
      <c r="W1647" s="70"/>
      <c r="X1647" s="74">
        <v>45911</v>
      </c>
      <c r="Y1647" s="73">
        <v>53.42</v>
      </c>
      <c r="Z1647" s="73">
        <v>1</v>
      </c>
      <c r="AA1647" s="70"/>
      <c r="AB1647" s="70"/>
      <c r="AC1647" s="70"/>
      <c r="AD1647" s="70"/>
      <c r="AE1647" s="70"/>
      <c r="AF1647" s="73">
        <v>27.14</v>
      </c>
      <c r="AG1647" s="75">
        <v>136000000000000</v>
      </c>
      <c r="AK1647" s="76" t="e">
        <f t="shared" si="8"/>
        <v>#DIV/0!</v>
      </c>
      <c r="AM1647" s="38"/>
      <c r="AO1647" s="28"/>
    </row>
    <row r="1648" spans="1:60" ht="70">
      <c r="A1648" s="70" t="s">
        <v>5978</v>
      </c>
      <c r="B1648" s="71">
        <v>45896</v>
      </c>
      <c r="C1648" s="72">
        <v>45901</v>
      </c>
      <c r="D1648" s="70" t="s">
        <v>41</v>
      </c>
      <c r="E1648" s="70" t="s">
        <v>5979</v>
      </c>
      <c r="F1648" s="70"/>
      <c r="G1648" s="70" t="s">
        <v>43</v>
      </c>
      <c r="H1648" s="73">
        <v>12.9</v>
      </c>
      <c r="I1648" s="70" t="s">
        <v>44</v>
      </c>
      <c r="J1648" s="70" t="s">
        <v>45</v>
      </c>
      <c r="K1648" s="70" t="s">
        <v>5980</v>
      </c>
      <c r="L1648" s="70" t="s">
        <v>47</v>
      </c>
      <c r="M1648" s="70" t="s">
        <v>48</v>
      </c>
      <c r="N1648" s="70" t="s">
        <v>48</v>
      </c>
      <c r="O1648" s="70" t="s">
        <v>4692</v>
      </c>
      <c r="P1648" s="70" t="s">
        <v>4693</v>
      </c>
      <c r="Q1648" s="70" t="s">
        <v>4694</v>
      </c>
      <c r="R1648" s="73">
        <v>1</v>
      </c>
      <c r="S1648" s="70" t="s">
        <v>92</v>
      </c>
      <c r="T1648" s="70" t="s">
        <v>53</v>
      </c>
      <c r="U1648" s="70" t="s">
        <v>54</v>
      </c>
      <c r="V1648" s="70" t="s">
        <v>560</v>
      </c>
      <c r="W1648" s="70"/>
      <c r="X1648" s="74">
        <v>45910</v>
      </c>
      <c r="Y1648" s="73">
        <v>76.17</v>
      </c>
      <c r="Z1648" s="73">
        <v>1</v>
      </c>
      <c r="AA1648" s="70"/>
      <c r="AB1648" s="70"/>
      <c r="AC1648" s="70"/>
      <c r="AD1648" s="70"/>
      <c r="AE1648" s="70"/>
      <c r="AF1648" s="70"/>
      <c r="AG1648" s="75">
        <v>138000000000000</v>
      </c>
      <c r="AK1648" s="76" t="e">
        <f t="shared" si="8"/>
        <v>#DIV/0!</v>
      </c>
      <c r="AL1648" s="67" t="s">
        <v>5981</v>
      </c>
      <c r="AM1648" s="38" t="s">
        <v>1168</v>
      </c>
      <c r="AO1648" s="77" t="s">
        <v>5982</v>
      </c>
    </row>
    <row r="1649" spans="1:41" ht="14.5">
      <c r="A1649" s="70" t="s">
        <v>5983</v>
      </c>
      <c r="B1649" s="71">
        <v>45896</v>
      </c>
      <c r="C1649" s="72">
        <v>45901</v>
      </c>
      <c r="D1649" s="70" t="s">
        <v>41</v>
      </c>
      <c r="E1649" s="70" t="s">
        <v>5984</v>
      </c>
      <c r="F1649" s="70"/>
      <c r="G1649" s="70" t="s">
        <v>43</v>
      </c>
      <c r="H1649" s="73">
        <v>7.22</v>
      </c>
      <c r="I1649" s="70" t="s">
        <v>44</v>
      </c>
      <c r="J1649" s="70" t="s">
        <v>45</v>
      </c>
      <c r="K1649" s="70" t="s">
        <v>5985</v>
      </c>
      <c r="L1649" s="70" t="s">
        <v>58</v>
      </c>
      <c r="M1649" s="70" t="s">
        <v>48</v>
      </c>
      <c r="N1649" s="70" t="s">
        <v>48</v>
      </c>
      <c r="O1649" s="70" t="s">
        <v>263</v>
      </c>
      <c r="P1649" s="70" t="s">
        <v>264</v>
      </c>
      <c r="Q1649" s="70" t="s">
        <v>265</v>
      </c>
      <c r="R1649" s="73">
        <v>1</v>
      </c>
      <c r="S1649" s="70" t="s">
        <v>3868</v>
      </c>
      <c r="T1649" s="70" t="s">
        <v>53</v>
      </c>
      <c r="U1649" s="70" t="s">
        <v>54</v>
      </c>
      <c r="V1649" s="70" t="s">
        <v>240</v>
      </c>
      <c r="W1649" s="70"/>
      <c r="X1649" s="74">
        <v>45911</v>
      </c>
      <c r="Y1649" s="73">
        <v>132.69</v>
      </c>
      <c r="Z1649" s="73">
        <v>1</v>
      </c>
      <c r="AA1649" s="70"/>
      <c r="AB1649" s="70"/>
      <c r="AC1649" s="70"/>
      <c r="AD1649" s="70"/>
      <c r="AE1649" s="70"/>
      <c r="AF1649" s="73">
        <v>125.47</v>
      </c>
      <c r="AG1649" s="75">
        <v>138000000000000</v>
      </c>
      <c r="AK1649" s="76" t="e">
        <f t="shared" si="8"/>
        <v>#DIV/0!</v>
      </c>
      <c r="AM1649" s="38"/>
      <c r="AO1649" s="28"/>
    </row>
    <row r="1650" spans="1:41" ht="14.5">
      <c r="A1650" s="70" t="s">
        <v>5986</v>
      </c>
      <c r="B1650" s="71">
        <v>45894</v>
      </c>
      <c r="C1650" s="72">
        <v>45901</v>
      </c>
      <c r="D1650" s="70" t="s">
        <v>41</v>
      </c>
      <c r="E1650" s="70" t="s">
        <v>5987</v>
      </c>
      <c r="F1650" s="70"/>
      <c r="G1650" s="70" t="s">
        <v>43</v>
      </c>
      <c r="H1650" s="73">
        <v>16.34</v>
      </c>
      <c r="I1650" s="70" t="s">
        <v>44</v>
      </c>
      <c r="J1650" s="70" t="s">
        <v>45</v>
      </c>
      <c r="K1650" s="70" t="s">
        <v>5988</v>
      </c>
      <c r="L1650" s="70" t="s">
        <v>47</v>
      </c>
      <c r="M1650" s="70" t="s">
        <v>48</v>
      </c>
      <c r="N1650" s="70" t="s">
        <v>48</v>
      </c>
      <c r="O1650" s="70" t="s">
        <v>1584</v>
      </c>
      <c r="P1650" s="70" t="s">
        <v>1585</v>
      </c>
      <c r="Q1650" s="70" t="s">
        <v>1586</v>
      </c>
      <c r="R1650" s="73">
        <v>1</v>
      </c>
      <c r="S1650" s="70" t="s">
        <v>82</v>
      </c>
      <c r="T1650" s="70" t="s">
        <v>53</v>
      </c>
      <c r="U1650" s="70" t="s">
        <v>54</v>
      </c>
      <c r="V1650" s="70" t="s">
        <v>560</v>
      </c>
      <c r="W1650" s="70"/>
      <c r="X1650" s="70"/>
      <c r="Y1650" s="73">
        <v>118.92</v>
      </c>
      <c r="Z1650" s="73">
        <v>1</v>
      </c>
      <c r="AA1650" s="70"/>
      <c r="AB1650" s="70"/>
      <c r="AC1650" s="70"/>
      <c r="AD1650" s="70"/>
      <c r="AE1650" s="70"/>
      <c r="AF1650" s="70"/>
      <c r="AG1650" s="75">
        <v>137000000000000</v>
      </c>
      <c r="AK1650" s="76" t="e">
        <f t="shared" si="8"/>
        <v>#DIV/0!</v>
      </c>
      <c r="AL1650" s="38" t="s">
        <v>5989</v>
      </c>
      <c r="AM1650" s="38" t="s">
        <v>1168</v>
      </c>
      <c r="AO1650" s="51" t="s">
        <v>5990</v>
      </c>
    </row>
    <row r="1651" spans="1:41" ht="14.5">
      <c r="A1651" s="70" t="s">
        <v>5991</v>
      </c>
      <c r="B1651" s="71">
        <v>45885</v>
      </c>
      <c r="C1651" s="72">
        <v>45901</v>
      </c>
      <c r="D1651" s="70" t="s">
        <v>41</v>
      </c>
      <c r="E1651" s="70" t="s">
        <v>5992</v>
      </c>
      <c r="F1651" s="70"/>
      <c r="G1651" s="70" t="s">
        <v>43</v>
      </c>
      <c r="H1651" s="73">
        <v>13.84</v>
      </c>
      <c r="I1651" s="70" t="s">
        <v>44</v>
      </c>
      <c r="J1651" s="70" t="s">
        <v>45</v>
      </c>
      <c r="K1651" s="70" t="s">
        <v>5993</v>
      </c>
      <c r="L1651" s="70" t="s">
        <v>58</v>
      </c>
      <c r="M1651" s="70" t="s">
        <v>48</v>
      </c>
      <c r="N1651" s="70" t="s">
        <v>48</v>
      </c>
      <c r="O1651" s="70" t="s">
        <v>3992</v>
      </c>
      <c r="P1651" s="70" t="s">
        <v>3993</v>
      </c>
      <c r="Q1651" s="70" t="s">
        <v>3994</v>
      </c>
      <c r="R1651" s="73">
        <v>1</v>
      </c>
      <c r="S1651" s="70" t="s">
        <v>3868</v>
      </c>
      <c r="T1651" s="70" t="s">
        <v>53</v>
      </c>
      <c r="U1651" s="70" t="s">
        <v>54</v>
      </c>
      <c r="V1651" s="70" t="s">
        <v>55</v>
      </c>
      <c r="W1651" s="70"/>
      <c r="X1651" s="74">
        <v>45908</v>
      </c>
      <c r="Y1651" s="73">
        <v>112.65</v>
      </c>
      <c r="Z1651" s="73">
        <v>1</v>
      </c>
      <c r="AA1651" s="70"/>
      <c r="AB1651" s="70"/>
      <c r="AC1651" s="70"/>
      <c r="AD1651" s="70"/>
      <c r="AE1651" s="70"/>
      <c r="AF1651" s="73">
        <v>98.81</v>
      </c>
      <c r="AG1651" s="75">
        <v>137000000000000</v>
      </c>
      <c r="AK1651" s="76" t="e">
        <f t="shared" si="8"/>
        <v>#DIV/0!</v>
      </c>
      <c r="AM1651" s="38"/>
      <c r="AO1651" s="28"/>
    </row>
    <row r="1652" spans="1:41" ht="14.5">
      <c r="A1652" s="70" t="s">
        <v>5994</v>
      </c>
      <c r="B1652" s="71">
        <v>45888</v>
      </c>
      <c r="C1652" s="72">
        <v>45902</v>
      </c>
      <c r="D1652" s="70" t="s">
        <v>41</v>
      </c>
      <c r="E1652" s="70" t="s">
        <v>5995</v>
      </c>
      <c r="F1652" s="70"/>
      <c r="G1652" s="70" t="s">
        <v>43</v>
      </c>
      <c r="H1652" s="73">
        <v>15.32</v>
      </c>
      <c r="I1652" s="70" t="s">
        <v>44</v>
      </c>
      <c r="J1652" s="70" t="s">
        <v>45</v>
      </c>
      <c r="K1652" s="70" t="s">
        <v>5996</v>
      </c>
      <c r="L1652" s="70" t="s">
        <v>58</v>
      </c>
      <c r="M1652" s="70" t="s">
        <v>48</v>
      </c>
      <c r="N1652" s="70" t="s">
        <v>48</v>
      </c>
      <c r="O1652" s="70" t="s">
        <v>5030</v>
      </c>
      <c r="P1652" s="70" t="s">
        <v>5031</v>
      </c>
      <c r="Q1652" s="70" t="s">
        <v>5032</v>
      </c>
      <c r="R1652" s="73">
        <v>1</v>
      </c>
      <c r="S1652" s="70" t="s">
        <v>3878</v>
      </c>
      <c r="T1652" s="70" t="s">
        <v>53</v>
      </c>
      <c r="U1652" s="70" t="s">
        <v>54</v>
      </c>
      <c r="V1652" s="70" t="s">
        <v>61</v>
      </c>
      <c r="W1652" s="70"/>
      <c r="X1652" s="70"/>
      <c r="Y1652" s="73">
        <v>99.86</v>
      </c>
      <c r="Z1652" s="73">
        <v>1</v>
      </c>
      <c r="AA1652" s="70"/>
      <c r="AB1652" s="70"/>
      <c r="AC1652" s="70"/>
      <c r="AD1652" s="70"/>
      <c r="AE1652" s="70"/>
      <c r="AF1652" s="70"/>
      <c r="AG1652" s="75">
        <v>137000000000000</v>
      </c>
      <c r="AK1652" s="76" t="e">
        <f t="shared" si="8"/>
        <v>#DIV/0!</v>
      </c>
      <c r="AM1652" s="38"/>
      <c r="AO1652" s="28"/>
    </row>
    <row r="1653" spans="1:41" ht="14.5">
      <c r="A1653" s="70" t="s">
        <v>5997</v>
      </c>
      <c r="B1653" s="71">
        <v>45893</v>
      </c>
      <c r="C1653" s="72">
        <v>45902</v>
      </c>
      <c r="D1653" s="70" t="s">
        <v>41</v>
      </c>
      <c r="E1653" s="70" t="s">
        <v>5998</v>
      </c>
      <c r="F1653" s="70"/>
      <c r="G1653" s="70" t="s">
        <v>43</v>
      </c>
      <c r="H1653" s="73">
        <v>6.4</v>
      </c>
      <c r="I1653" s="70" t="s">
        <v>44</v>
      </c>
      <c r="J1653" s="70" t="s">
        <v>45</v>
      </c>
      <c r="K1653" s="70" t="s">
        <v>5999</v>
      </c>
      <c r="L1653" s="70" t="s">
        <v>58</v>
      </c>
      <c r="M1653" s="70" t="s">
        <v>48</v>
      </c>
      <c r="N1653" s="70" t="s">
        <v>48</v>
      </c>
      <c r="O1653" s="70" t="s">
        <v>6000</v>
      </c>
      <c r="P1653" s="70" t="s">
        <v>6001</v>
      </c>
      <c r="Q1653" s="70" t="s">
        <v>6002</v>
      </c>
      <c r="R1653" s="73">
        <v>1</v>
      </c>
      <c r="S1653" s="70" t="s">
        <v>68</v>
      </c>
      <c r="T1653" s="70" t="s">
        <v>53</v>
      </c>
      <c r="U1653" s="70" t="s">
        <v>54</v>
      </c>
      <c r="V1653" s="70" t="s">
        <v>61</v>
      </c>
      <c r="W1653" s="70"/>
      <c r="X1653" s="70"/>
      <c r="Y1653" s="73">
        <v>110.48</v>
      </c>
      <c r="Z1653" s="73">
        <v>1</v>
      </c>
      <c r="AA1653" s="70"/>
      <c r="AB1653" s="70"/>
      <c r="AC1653" s="70"/>
      <c r="AD1653" s="70"/>
      <c r="AE1653" s="70"/>
      <c r="AF1653" s="70"/>
      <c r="AG1653" s="75">
        <v>137000000000000</v>
      </c>
      <c r="AK1653" s="76" t="e">
        <f t="shared" si="8"/>
        <v>#DIV/0!</v>
      </c>
      <c r="AM1653" s="38"/>
      <c r="AO1653" s="28"/>
    </row>
    <row r="1654" spans="1:41" ht="14.5">
      <c r="A1654" s="70" t="s">
        <v>6003</v>
      </c>
      <c r="B1654" s="71">
        <v>45894</v>
      </c>
      <c r="C1654" s="72">
        <v>45902</v>
      </c>
      <c r="D1654" s="70" t="s">
        <v>41</v>
      </c>
      <c r="E1654" s="70" t="s">
        <v>6004</v>
      </c>
      <c r="F1654" s="70"/>
      <c r="G1654" s="70" t="s">
        <v>43</v>
      </c>
      <c r="H1654" s="73">
        <v>14.32</v>
      </c>
      <c r="I1654" s="70" t="s">
        <v>44</v>
      </c>
      <c r="J1654" s="70" t="s">
        <v>45</v>
      </c>
      <c r="K1654" s="70" t="s">
        <v>6005</v>
      </c>
      <c r="L1654" s="70" t="s">
        <v>58</v>
      </c>
      <c r="M1654" s="70" t="s">
        <v>48</v>
      </c>
      <c r="N1654" s="70" t="s">
        <v>48</v>
      </c>
      <c r="O1654" s="70" t="s">
        <v>425</v>
      </c>
      <c r="P1654" s="70" t="s">
        <v>426</v>
      </c>
      <c r="Q1654" s="70" t="s">
        <v>427</v>
      </c>
      <c r="R1654" s="73">
        <v>1</v>
      </c>
      <c r="S1654" s="70" t="s">
        <v>3884</v>
      </c>
      <c r="T1654" s="70" t="s">
        <v>53</v>
      </c>
      <c r="U1654" s="70" t="s">
        <v>54</v>
      </c>
      <c r="V1654" s="70" t="s">
        <v>240</v>
      </c>
      <c r="W1654" s="70"/>
      <c r="X1654" s="74">
        <v>45905</v>
      </c>
      <c r="Y1654" s="73">
        <v>150.46</v>
      </c>
      <c r="Z1654" s="73">
        <v>1</v>
      </c>
      <c r="AA1654" s="70"/>
      <c r="AB1654" s="70"/>
      <c r="AC1654" s="70"/>
      <c r="AD1654" s="70"/>
      <c r="AE1654" s="70"/>
      <c r="AF1654" s="73">
        <v>121.19</v>
      </c>
      <c r="AG1654" s="75">
        <v>137000000000000</v>
      </c>
      <c r="AK1654" s="76" t="e">
        <f t="shared" si="8"/>
        <v>#DIV/0!</v>
      </c>
      <c r="AM1654" s="38"/>
      <c r="AO1654" s="28"/>
    </row>
    <row r="1655" spans="1:41" ht="14.5">
      <c r="A1655" s="70" t="s">
        <v>6006</v>
      </c>
      <c r="B1655" s="71">
        <v>45896</v>
      </c>
      <c r="C1655" s="72">
        <v>45902</v>
      </c>
      <c r="D1655" s="70" t="s">
        <v>41</v>
      </c>
      <c r="E1655" s="70" t="s">
        <v>6007</v>
      </c>
      <c r="F1655" s="70"/>
      <c r="G1655" s="70" t="s">
        <v>43</v>
      </c>
      <c r="H1655" s="73">
        <v>11.73</v>
      </c>
      <c r="I1655" s="70" t="s">
        <v>44</v>
      </c>
      <c r="J1655" s="70" t="s">
        <v>45</v>
      </c>
      <c r="K1655" s="70" t="s">
        <v>6008</v>
      </c>
      <c r="L1655" s="70" t="s">
        <v>58</v>
      </c>
      <c r="M1655" s="70" t="s">
        <v>48</v>
      </c>
      <c r="N1655" s="70" t="s">
        <v>48</v>
      </c>
      <c r="O1655" s="70" t="s">
        <v>455</v>
      </c>
      <c r="P1655" s="70" t="s">
        <v>456</v>
      </c>
      <c r="Q1655" s="70" t="s">
        <v>4530</v>
      </c>
      <c r="R1655" s="73">
        <v>1</v>
      </c>
      <c r="S1655" s="70" t="s">
        <v>3878</v>
      </c>
      <c r="T1655" s="70" t="s">
        <v>53</v>
      </c>
      <c r="U1655" s="70" t="s">
        <v>54</v>
      </c>
      <c r="V1655" s="70" t="s">
        <v>55</v>
      </c>
      <c r="W1655" s="70"/>
      <c r="X1655" s="74">
        <v>45924</v>
      </c>
      <c r="Y1655" s="73">
        <v>73.67</v>
      </c>
      <c r="Z1655" s="73">
        <v>1</v>
      </c>
      <c r="AA1655" s="70"/>
      <c r="AB1655" s="70"/>
      <c r="AC1655" s="70"/>
      <c r="AD1655" s="70"/>
      <c r="AE1655" s="70"/>
      <c r="AF1655" s="73">
        <v>61.94</v>
      </c>
      <c r="AG1655" s="75">
        <v>138000000000000</v>
      </c>
      <c r="AK1655" s="76" t="e">
        <f t="shared" si="8"/>
        <v>#DIV/0!</v>
      </c>
      <c r="AM1655" s="38"/>
      <c r="AO1655" s="28"/>
    </row>
    <row r="1656" spans="1:41" ht="24">
      <c r="A1656" s="70" t="s">
        <v>6009</v>
      </c>
      <c r="B1656" s="71">
        <v>45890</v>
      </c>
      <c r="C1656" s="72">
        <v>45902</v>
      </c>
      <c r="D1656" s="70" t="s">
        <v>41</v>
      </c>
      <c r="E1656" s="70" t="s">
        <v>6010</v>
      </c>
      <c r="F1656" s="70"/>
      <c r="G1656" s="70" t="s">
        <v>43</v>
      </c>
      <c r="H1656" s="73">
        <v>11.73</v>
      </c>
      <c r="I1656" s="70" t="s">
        <v>44</v>
      </c>
      <c r="J1656" s="70" t="s">
        <v>45</v>
      </c>
      <c r="K1656" s="70" t="s">
        <v>6011</v>
      </c>
      <c r="L1656" s="70" t="s">
        <v>47</v>
      </c>
      <c r="M1656" s="70" t="s">
        <v>48</v>
      </c>
      <c r="N1656" s="70" t="s">
        <v>48</v>
      </c>
      <c r="O1656" s="70" t="s">
        <v>443</v>
      </c>
      <c r="P1656" s="70" t="s">
        <v>444</v>
      </c>
      <c r="Q1656" s="70" t="s">
        <v>445</v>
      </c>
      <c r="R1656" s="73">
        <v>1</v>
      </c>
      <c r="S1656" s="70" t="s">
        <v>82</v>
      </c>
      <c r="T1656" s="70" t="s">
        <v>53</v>
      </c>
      <c r="U1656" s="70" t="s">
        <v>54</v>
      </c>
      <c r="V1656" s="70" t="s">
        <v>55</v>
      </c>
      <c r="W1656" s="70"/>
      <c r="X1656" s="74">
        <v>45909</v>
      </c>
      <c r="Y1656" s="73">
        <v>113.9</v>
      </c>
      <c r="Z1656" s="73">
        <v>1</v>
      </c>
      <c r="AA1656" s="70"/>
      <c r="AB1656" s="70"/>
      <c r="AC1656" s="70"/>
      <c r="AD1656" s="70"/>
      <c r="AE1656" s="70"/>
      <c r="AF1656" s="73">
        <v>113.9</v>
      </c>
      <c r="AG1656" s="75">
        <v>137000000000000</v>
      </c>
      <c r="AK1656" s="76" t="e">
        <f t="shared" si="8"/>
        <v>#DIV/0!</v>
      </c>
      <c r="AM1656" s="38" t="s">
        <v>1168</v>
      </c>
      <c r="AO1656" s="78" t="s">
        <v>6012</v>
      </c>
    </row>
    <row r="1657" spans="1:41" ht="14.5">
      <c r="A1657" s="70" t="s">
        <v>6013</v>
      </c>
      <c r="B1657" s="71">
        <v>45883</v>
      </c>
      <c r="C1657" s="72">
        <v>45903</v>
      </c>
      <c r="D1657" s="70" t="s">
        <v>41</v>
      </c>
      <c r="E1657" s="70" t="s">
        <v>6014</v>
      </c>
      <c r="F1657" s="70"/>
      <c r="G1657" s="70" t="s">
        <v>43</v>
      </c>
      <c r="H1657" s="73">
        <v>57.08</v>
      </c>
      <c r="I1657" s="70" t="s">
        <v>44</v>
      </c>
      <c r="J1657" s="70" t="s">
        <v>45</v>
      </c>
      <c r="K1657" s="70" t="s">
        <v>6015</v>
      </c>
      <c r="L1657" s="70" t="s">
        <v>47</v>
      </c>
      <c r="M1657" s="70" t="s">
        <v>48</v>
      </c>
      <c r="N1657" s="70" t="s">
        <v>48</v>
      </c>
      <c r="O1657" s="70" t="s">
        <v>3574</v>
      </c>
      <c r="P1657" s="70" t="s">
        <v>3575</v>
      </c>
      <c r="Q1657" s="70" t="s">
        <v>3576</v>
      </c>
      <c r="R1657" s="73">
        <v>1</v>
      </c>
      <c r="S1657" s="70" t="s">
        <v>99</v>
      </c>
      <c r="T1657" s="70" t="s">
        <v>53</v>
      </c>
      <c r="U1657" s="70" t="s">
        <v>54</v>
      </c>
      <c r="V1657" s="70" t="s">
        <v>240</v>
      </c>
      <c r="W1657" s="70"/>
      <c r="X1657" s="74">
        <v>45918</v>
      </c>
      <c r="Y1657" s="73">
        <v>157.22999999999999</v>
      </c>
      <c r="Z1657" s="73">
        <v>1</v>
      </c>
      <c r="AA1657" s="70"/>
      <c r="AB1657" s="70"/>
      <c r="AC1657" s="70"/>
      <c r="AD1657" s="70"/>
      <c r="AE1657" s="70"/>
      <c r="AF1657" s="73">
        <v>157.22999999999999</v>
      </c>
      <c r="AG1657" s="75">
        <v>136000000000000</v>
      </c>
      <c r="AK1657" s="76" t="e">
        <f t="shared" si="8"/>
        <v>#DIV/0!</v>
      </c>
      <c r="AM1657" s="38"/>
      <c r="AO1657" s="28" t="s">
        <v>6016</v>
      </c>
    </row>
    <row r="1658" spans="1:41" ht="14.5">
      <c r="A1658" s="70" t="s">
        <v>6017</v>
      </c>
      <c r="B1658" s="71">
        <v>45893</v>
      </c>
      <c r="C1658" s="72">
        <v>45903</v>
      </c>
      <c r="D1658" s="70" t="s">
        <v>41</v>
      </c>
      <c r="E1658" s="70" t="s">
        <v>6018</v>
      </c>
      <c r="F1658" s="70"/>
      <c r="G1658" s="70" t="s">
        <v>43</v>
      </c>
      <c r="H1658" s="73">
        <v>11.78</v>
      </c>
      <c r="I1658" s="70" t="s">
        <v>44</v>
      </c>
      <c r="J1658" s="70" t="s">
        <v>45</v>
      </c>
      <c r="K1658" s="70" t="s">
        <v>6019</v>
      </c>
      <c r="L1658" s="70" t="s">
        <v>58</v>
      </c>
      <c r="M1658" s="70" t="s">
        <v>48</v>
      </c>
      <c r="N1658" s="70" t="s">
        <v>48</v>
      </c>
      <c r="O1658" s="70" t="s">
        <v>6020</v>
      </c>
      <c r="P1658" s="70" t="s">
        <v>6021</v>
      </c>
      <c r="Q1658" s="70" t="s">
        <v>6022</v>
      </c>
      <c r="R1658" s="73">
        <v>1</v>
      </c>
      <c r="S1658" s="70" t="s">
        <v>68</v>
      </c>
      <c r="T1658" s="70" t="s">
        <v>53</v>
      </c>
      <c r="U1658" s="70" t="s">
        <v>54</v>
      </c>
      <c r="V1658" s="70" t="s">
        <v>61</v>
      </c>
      <c r="W1658" s="70"/>
      <c r="X1658" s="70"/>
      <c r="Y1658" s="73">
        <v>110.7</v>
      </c>
      <c r="Z1658" s="73">
        <v>1</v>
      </c>
      <c r="AA1658" s="70"/>
      <c r="AB1658" s="70"/>
      <c r="AC1658" s="70"/>
      <c r="AD1658" s="70"/>
      <c r="AE1658" s="70"/>
      <c r="AF1658" s="70"/>
      <c r="AG1658" s="75">
        <v>137000000000000</v>
      </c>
      <c r="AK1658" s="76" t="e">
        <f t="shared" si="8"/>
        <v>#DIV/0!</v>
      </c>
      <c r="AM1658" s="38"/>
      <c r="AO1658" s="28"/>
    </row>
    <row r="1659" spans="1:41" ht="14.5">
      <c r="A1659" s="70" t="s">
        <v>6023</v>
      </c>
      <c r="B1659" s="71">
        <v>45896</v>
      </c>
      <c r="C1659" s="72">
        <v>45903</v>
      </c>
      <c r="D1659" s="70" t="s">
        <v>41</v>
      </c>
      <c r="E1659" s="70" t="s">
        <v>6024</v>
      </c>
      <c r="F1659" s="70"/>
      <c r="G1659" s="70" t="s">
        <v>43</v>
      </c>
      <c r="H1659" s="73">
        <v>12.95</v>
      </c>
      <c r="I1659" s="70" t="s">
        <v>44</v>
      </c>
      <c r="J1659" s="70" t="s">
        <v>45</v>
      </c>
      <c r="K1659" s="70" t="s">
        <v>6025</v>
      </c>
      <c r="L1659" s="70" t="s">
        <v>58</v>
      </c>
      <c r="M1659" s="70" t="s">
        <v>48</v>
      </c>
      <c r="N1659" s="70" t="s">
        <v>48</v>
      </c>
      <c r="O1659" s="70" t="s">
        <v>6026</v>
      </c>
      <c r="P1659" s="70" t="s">
        <v>6027</v>
      </c>
      <c r="Q1659" s="70" t="s">
        <v>6028</v>
      </c>
      <c r="R1659" s="73">
        <v>1</v>
      </c>
      <c r="S1659" s="70" t="s">
        <v>59</v>
      </c>
      <c r="T1659" s="70" t="s">
        <v>53</v>
      </c>
      <c r="U1659" s="70" t="s">
        <v>54</v>
      </c>
      <c r="V1659" s="70" t="s">
        <v>61</v>
      </c>
      <c r="W1659" s="70"/>
      <c r="X1659" s="70"/>
      <c r="Y1659" s="73">
        <v>126.93</v>
      </c>
      <c r="Z1659" s="73">
        <v>1</v>
      </c>
      <c r="AA1659" s="70"/>
      <c r="AB1659" s="70"/>
      <c r="AC1659" s="70"/>
      <c r="AD1659" s="70"/>
      <c r="AE1659" s="70"/>
      <c r="AF1659" s="70"/>
      <c r="AG1659" s="75">
        <v>138000000000000</v>
      </c>
      <c r="AK1659" s="76" t="e">
        <f t="shared" si="8"/>
        <v>#DIV/0!</v>
      </c>
      <c r="AM1659" s="38"/>
      <c r="AO1659" s="28"/>
    </row>
    <row r="1660" spans="1:41" ht="21.5">
      <c r="A1660" s="70" t="s">
        <v>6029</v>
      </c>
      <c r="B1660" s="71">
        <v>45897</v>
      </c>
      <c r="C1660" s="72">
        <v>45903</v>
      </c>
      <c r="D1660" s="70" t="s">
        <v>41</v>
      </c>
      <c r="E1660" s="70" t="s">
        <v>6030</v>
      </c>
      <c r="F1660" s="70"/>
      <c r="G1660" s="70" t="s">
        <v>43</v>
      </c>
      <c r="H1660" s="73">
        <v>15.32</v>
      </c>
      <c r="I1660" s="70" t="s">
        <v>44</v>
      </c>
      <c r="J1660" s="70" t="s">
        <v>45</v>
      </c>
      <c r="K1660" s="70" t="s">
        <v>6031</v>
      </c>
      <c r="L1660" s="70" t="s">
        <v>47</v>
      </c>
      <c r="M1660" s="70" t="s">
        <v>48</v>
      </c>
      <c r="N1660" s="70" t="s">
        <v>48</v>
      </c>
      <c r="O1660" s="70" t="s">
        <v>5030</v>
      </c>
      <c r="P1660" s="70" t="s">
        <v>5031</v>
      </c>
      <c r="Q1660" s="70" t="s">
        <v>5032</v>
      </c>
      <c r="R1660" s="73">
        <v>1</v>
      </c>
      <c r="S1660" s="70" t="s">
        <v>82</v>
      </c>
      <c r="T1660" s="70" t="s">
        <v>53</v>
      </c>
      <c r="U1660" s="70" t="s">
        <v>54</v>
      </c>
      <c r="V1660" s="70" t="s">
        <v>560</v>
      </c>
      <c r="W1660" s="70"/>
      <c r="X1660" s="70"/>
      <c r="Y1660" s="73">
        <v>100.94</v>
      </c>
      <c r="Z1660" s="73">
        <v>1</v>
      </c>
      <c r="AA1660" s="70"/>
      <c r="AB1660" s="70"/>
      <c r="AC1660" s="70"/>
      <c r="AD1660" s="70"/>
      <c r="AE1660" s="70"/>
      <c r="AF1660" s="70"/>
      <c r="AG1660" s="75">
        <v>138000000000000</v>
      </c>
      <c r="AK1660" s="76" t="e">
        <f t="shared" si="8"/>
        <v>#DIV/0!</v>
      </c>
      <c r="AL1660" s="38" t="s">
        <v>6032</v>
      </c>
      <c r="AM1660" s="38" t="s">
        <v>1168</v>
      </c>
      <c r="AO1660" s="79" t="s">
        <v>6033</v>
      </c>
    </row>
    <row r="1661" spans="1:41" ht="14.5">
      <c r="A1661" s="70" t="s">
        <v>6034</v>
      </c>
      <c r="B1661" s="71">
        <v>45897</v>
      </c>
      <c r="C1661" s="72">
        <v>45903</v>
      </c>
      <c r="D1661" s="70" t="s">
        <v>41</v>
      </c>
      <c r="E1661" s="70" t="s">
        <v>6035</v>
      </c>
      <c r="F1661" s="70"/>
      <c r="G1661" s="70" t="s">
        <v>43</v>
      </c>
      <c r="H1661" s="73">
        <v>13.9</v>
      </c>
      <c r="I1661" s="70" t="s">
        <v>44</v>
      </c>
      <c r="J1661" s="70" t="s">
        <v>45</v>
      </c>
      <c r="K1661" s="70" t="s">
        <v>6036</v>
      </c>
      <c r="L1661" s="70" t="s">
        <v>47</v>
      </c>
      <c r="M1661" s="70" t="s">
        <v>48</v>
      </c>
      <c r="N1661" s="70" t="s">
        <v>48</v>
      </c>
      <c r="O1661" s="70" t="s">
        <v>632</v>
      </c>
      <c r="P1661" s="70" t="s">
        <v>633</v>
      </c>
      <c r="Q1661" s="70" t="s">
        <v>5533</v>
      </c>
      <c r="R1661" s="73">
        <v>1</v>
      </c>
      <c r="S1661" s="70" t="s">
        <v>99</v>
      </c>
      <c r="T1661" s="70" t="s">
        <v>53</v>
      </c>
      <c r="U1661" s="70" t="s">
        <v>60</v>
      </c>
      <c r="V1661" s="70" t="s">
        <v>55</v>
      </c>
      <c r="W1661" s="70"/>
      <c r="X1661" s="74">
        <v>45909</v>
      </c>
      <c r="Y1661" s="73">
        <v>77.099999999999994</v>
      </c>
      <c r="Z1661" s="73">
        <v>1</v>
      </c>
      <c r="AA1661" s="70"/>
      <c r="AB1661" s="70"/>
      <c r="AC1661" s="70"/>
      <c r="AD1661" s="70"/>
      <c r="AE1661" s="70"/>
      <c r="AF1661" s="73">
        <v>77.099999999999994</v>
      </c>
      <c r="AG1661" s="75">
        <v>138000000000000</v>
      </c>
      <c r="AK1661" s="76" t="e">
        <f t="shared" si="8"/>
        <v>#DIV/0!</v>
      </c>
      <c r="AM1661" s="38"/>
      <c r="AO1661" s="28"/>
    </row>
    <row r="1662" spans="1:41" ht="14.5">
      <c r="A1662" s="70" t="s">
        <v>6037</v>
      </c>
      <c r="B1662" s="71">
        <v>45897</v>
      </c>
      <c r="C1662" s="72">
        <v>45903</v>
      </c>
      <c r="D1662" s="70" t="s">
        <v>41</v>
      </c>
      <c r="E1662" s="70" t="s">
        <v>6038</v>
      </c>
      <c r="F1662" s="70"/>
      <c r="G1662" s="70" t="s">
        <v>43</v>
      </c>
      <c r="H1662" s="73">
        <v>14.79</v>
      </c>
      <c r="I1662" s="70" t="s">
        <v>44</v>
      </c>
      <c r="J1662" s="70" t="s">
        <v>45</v>
      </c>
      <c r="K1662" s="70" t="s">
        <v>6039</v>
      </c>
      <c r="L1662" s="70" t="s">
        <v>58</v>
      </c>
      <c r="M1662" s="70" t="s">
        <v>48</v>
      </c>
      <c r="N1662" s="70" t="s">
        <v>48</v>
      </c>
      <c r="O1662" s="70" t="s">
        <v>6040</v>
      </c>
      <c r="P1662" s="70" t="s">
        <v>6041</v>
      </c>
      <c r="Q1662" s="70" t="s">
        <v>6042</v>
      </c>
      <c r="R1662" s="73">
        <v>1</v>
      </c>
      <c r="S1662" s="70" t="s">
        <v>3868</v>
      </c>
      <c r="T1662" s="70" t="s">
        <v>53</v>
      </c>
      <c r="U1662" s="70" t="s">
        <v>54</v>
      </c>
      <c r="V1662" s="70" t="s">
        <v>55</v>
      </c>
      <c r="W1662" s="70"/>
      <c r="X1662" s="74">
        <v>45909</v>
      </c>
      <c r="Y1662" s="73">
        <v>66.959999999999994</v>
      </c>
      <c r="Z1662" s="73">
        <v>1</v>
      </c>
      <c r="AA1662" s="70"/>
      <c r="AB1662" s="70"/>
      <c r="AC1662" s="70"/>
      <c r="AD1662" s="70"/>
      <c r="AE1662" s="70"/>
      <c r="AF1662" s="73">
        <v>52.17</v>
      </c>
      <c r="AG1662" s="75">
        <v>138000000000000</v>
      </c>
      <c r="AK1662" s="76" t="e">
        <f t="shared" si="8"/>
        <v>#DIV/0!</v>
      </c>
      <c r="AM1662" s="38"/>
      <c r="AO1662" s="28"/>
    </row>
    <row r="1663" spans="1:41" ht="14.5">
      <c r="A1663" s="70" t="s">
        <v>6043</v>
      </c>
      <c r="B1663" s="71">
        <v>45898</v>
      </c>
      <c r="C1663" s="72">
        <v>45903</v>
      </c>
      <c r="D1663" s="70" t="s">
        <v>41</v>
      </c>
      <c r="E1663" s="70" t="s">
        <v>6044</v>
      </c>
      <c r="F1663" s="70"/>
      <c r="G1663" s="70" t="s">
        <v>43</v>
      </c>
      <c r="H1663" s="73">
        <v>4.8</v>
      </c>
      <c r="I1663" s="70" t="s">
        <v>44</v>
      </c>
      <c r="J1663" s="70" t="s">
        <v>249</v>
      </c>
      <c r="K1663" s="75">
        <v>9.3E+21</v>
      </c>
      <c r="L1663" s="70" t="s">
        <v>58</v>
      </c>
      <c r="M1663" s="70" t="s">
        <v>48</v>
      </c>
      <c r="N1663" s="70" t="s">
        <v>48</v>
      </c>
      <c r="O1663" s="70" t="s">
        <v>251</v>
      </c>
      <c r="P1663" s="70" t="s">
        <v>5140</v>
      </c>
      <c r="Q1663" s="70" t="s">
        <v>253</v>
      </c>
      <c r="R1663" s="73">
        <v>1</v>
      </c>
      <c r="S1663" s="70" t="s">
        <v>68</v>
      </c>
      <c r="T1663" s="70" t="s">
        <v>53</v>
      </c>
      <c r="U1663" s="70" t="s">
        <v>54</v>
      </c>
      <c r="V1663" s="70" t="s">
        <v>240</v>
      </c>
      <c r="W1663" s="70"/>
      <c r="X1663" s="74">
        <v>45908</v>
      </c>
      <c r="Y1663" s="73">
        <v>121.62</v>
      </c>
      <c r="Z1663" s="73">
        <v>1</v>
      </c>
      <c r="AA1663" s="70"/>
      <c r="AB1663" s="70"/>
      <c r="AC1663" s="70"/>
      <c r="AD1663" s="70"/>
      <c r="AE1663" s="70"/>
      <c r="AF1663" s="73">
        <v>106.2</v>
      </c>
      <c r="AG1663" s="75">
        <v>138000000000000</v>
      </c>
      <c r="AK1663" s="76" t="e">
        <f t="shared" si="8"/>
        <v>#DIV/0!</v>
      </c>
      <c r="AM1663" s="38"/>
      <c r="AO1663" s="28"/>
    </row>
    <row r="1664" spans="1:41" ht="14.5">
      <c r="A1664" s="70" t="s">
        <v>6045</v>
      </c>
      <c r="B1664" s="71">
        <v>45884</v>
      </c>
      <c r="C1664" s="72">
        <v>45903</v>
      </c>
      <c r="D1664" s="70" t="s">
        <v>41</v>
      </c>
      <c r="E1664" s="70" t="s">
        <v>6046</v>
      </c>
      <c r="F1664" s="70"/>
      <c r="G1664" s="70" t="s">
        <v>43</v>
      </c>
      <c r="H1664" s="73">
        <v>5.78</v>
      </c>
      <c r="I1664" s="70" t="s">
        <v>44</v>
      </c>
      <c r="J1664" s="70" t="s">
        <v>45</v>
      </c>
      <c r="K1664" s="70" t="s">
        <v>6047</v>
      </c>
      <c r="L1664" s="70" t="s">
        <v>58</v>
      </c>
      <c r="M1664" s="70" t="s">
        <v>48</v>
      </c>
      <c r="N1664" s="70" t="s">
        <v>48</v>
      </c>
      <c r="O1664" s="70" t="s">
        <v>219</v>
      </c>
      <c r="P1664" s="70" t="s">
        <v>220</v>
      </c>
      <c r="Q1664" s="70" t="s">
        <v>221</v>
      </c>
      <c r="R1664" s="73">
        <v>1</v>
      </c>
      <c r="S1664" s="70" t="s">
        <v>3868</v>
      </c>
      <c r="T1664" s="70" t="s">
        <v>53</v>
      </c>
      <c r="U1664" s="70" t="s">
        <v>54</v>
      </c>
      <c r="V1664" s="70" t="s">
        <v>55</v>
      </c>
      <c r="W1664" s="70"/>
      <c r="X1664" s="74">
        <v>45910</v>
      </c>
      <c r="Y1664" s="73">
        <v>83.53</v>
      </c>
      <c r="Z1664" s="73">
        <v>1</v>
      </c>
      <c r="AA1664" s="70"/>
      <c r="AB1664" s="70"/>
      <c r="AC1664" s="70"/>
      <c r="AD1664" s="70"/>
      <c r="AE1664" s="70"/>
      <c r="AF1664" s="73">
        <v>77.75</v>
      </c>
      <c r="AG1664" s="75">
        <v>137000000000000</v>
      </c>
      <c r="AK1664" s="76" t="e">
        <f t="shared" si="8"/>
        <v>#DIV/0!</v>
      </c>
      <c r="AM1664" s="38"/>
      <c r="AO1664" s="28"/>
    </row>
    <row r="1665" spans="1:41" ht="14.5">
      <c r="A1665" s="70" t="s">
        <v>6048</v>
      </c>
      <c r="B1665" s="71">
        <v>45901</v>
      </c>
      <c r="C1665" s="72">
        <v>45903</v>
      </c>
      <c r="D1665" s="70" t="s">
        <v>41</v>
      </c>
      <c r="E1665" s="70" t="s">
        <v>6049</v>
      </c>
      <c r="F1665" s="70"/>
      <c r="G1665" s="70" t="s">
        <v>43</v>
      </c>
      <c r="H1665" s="73">
        <v>7.49</v>
      </c>
      <c r="I1665" s="70" t="s">
        <v>44</v>
      </c>
      <c r="J1665" s="70" t="s">
        <v>45</v>
      </c>
      <c r="K1665" s="70" t="s">
        <v>6050</v>
      </c>
      <c r="L1665" s="70" t="s">
        <v>58</v>
      </c>
      <c r="M1665" s="70" t="s">
        <v>48</v>
      </c>
      <c r="N1665" s="70" t="s">
        <v>48</v>
      </c>
      <c r="O1665" s="70" t="s">
        <v>526</v>
      </c>
      <c r="P1665" s="70" t="s">
        <v>527</v>
      </c>
      <c r="Q1665" s="70" t="s">
        <v>4556</v>
      </c>
      <c r="R1665" s="73">
        <v>1</v>
      </c>
      <c r="S1665" s="70" t="s">
        <v>75</v>
      </c>
      <c r="T1665" s="70" t="s">
        <v>53</v>
      </c>
      <c r="U1665" s="70" t="s">
        <v>54</v>
      </c>
      <c r="V1665" s="70" t="s">
        <v>61</v>
      </c>
      <c r="W1665" s="70"/>
      <c r="X1665" s="70"/>
      <c r="Y1665" s="73">
        <v>63.66</v>
      </c>
      <c r="Z1665" s="73">
        <v>1</v>
      </c>
      <c r="AA1665" s="70"/>
      <c r="AB1665" s="70"/>
      <c r="AC1665" s="70"/>
      <c r="AD1665" s="70"/>
      <c r="AE1665" s="70"/>
      <c r="AF1665" s="70"/>
      <c r="AG1665" s="75">
        <v>138000000000000</v>
      </c>
      <c r="AK1665" s="76" t="e">
        <f t="shared" si="8"/>
        <v>#DIV/0!</v>
      </c>
      <c r="AM1665" s="38"/>
      <c r="AO1665" s="28"/>
    </row>
    <row r="1666" spans="1:41" ht="14.5">
      <c r="A1666" s="70" t="s">
        <v>6051</v>
      </c>
      <c r="B1666" s="71">
        <v>45889</v>
      </c>
      <c r="C1666" s="72">
        <v>45903</v>
      </c>
      <c r="D1666" s="70" t="s">
        <v>41</v>
      </c>
      <c r="E1666" s="70" t="s">
        <v>6052</v>
      </c>
      <c r="F1666" s="70"/>
      <c r="G1666" s="70" t="s">
        <v>43</v>
      </c>
      <c r="H1666" s="73">
        <v>15.71</v>
      </c>
      <c r="I1666" s="70" t="s">
        <v>44</v>
      </c>
      <c r="J1666" s="70" t="s">
        <v>45</v>
      </c>
      <c r="K1666" s="70" t="s">
        <v>6053</v>
      </c>
      <c r="L1666" s="70" t="s">
        <v>58</v>
      </c>
      <c r="M1666" s="70" t="s">
        <v>48</v>
      </c>
      <c r="N1666" s="70" t="s">
        <v>48</v>
      </c>
      <c r="O1666" s="70" t="s">
        <v>6054</v>
      </c>
      <c r="P1666" s="70" t="s">
        <v>6055</v>
      </c>
      <c r="Q1666" s="70" t="s">
        <v>6056</v>
      </c>
      <c r="R1666" s="73">
        <v>1</v>
      </c>
      <c r="S1666" s="70" t="s">
        <v>68</v>
      </c>
      <c r="T1666" s="70" t="s">
        <v>53</v>
      </c>
      <c r="U1666" s="70" t="s">
        <v>54</v>
      </c>
      <c r="V1666" s="70" t="s">
        <v>240</v>
      </c>
      <c r="W1666" s="70"/>
      <c r="X1666" s="74">
        <v>45909</v>
      </c>
      <c r="Y1666" s="73">
        <v>121.96</v>
      </c>
      <c r="Z1666" s="73">
        <v>1</v>
      </c>
      <c r="AA1666" s="70"/>
      <c r="AB1666" s="70"/>
      <c r="AC1666" s="70"/>
      <c r="AD1666" s="70"/>
      <c r="AE1666" s="70"/>
      <c r="AF1666" s="73">
        <v>91.3</v>
      </c>
      <c r="AG1666" s="75">
        <v>137000000000000</v>
      </c>
      <c r="AK1666" s="76" t="e">
        <f t="shared" si="8"/>
        <v>#DIV/0!</v>
      </c>
      <c r="AM1666" s="38"/>
      <c r="AO1666" s="28"/>
    </row>
    <row r="1667" spans="1:41" ht="14.5">
      <c r="A1667" s="70" t="s">
        <v>6057</v>
      </c>
      <c r="B1667" s="71">
        <v>45894</v>
      </c>
      <c r="C1667" s="72">
        <v>45904</v>
      </c>
      <c r="D1667" s="70" t="s">
        <v>41</v>
      </c>
      <c r="E1667" s="70" t="s">
        <v>6058</v>
      </c>
      <c r="F1667" s="70"/>
      <c r="G1667" s="70" t="s">
        <v>43</v>
      </c>
      <c r="H1667" s="73">
        <v>15.71</v>
      </c>
      <c r="I1667" s="70" t="s">
        <v>44</v>
      </c>
      <c r="J1667" s="70" t="s">
        <v>45</v>
      </c>
      <c r="K1667" s="70" t="s">
        <v>6059</v>
      </c>
      <c r="L1667" s="70" t="s">
        <v>47</v>
      </c>
      <c r="M1667" s="70" t="s">
        <v>48</v>
      </c>
      <c r="N1667" s="70" t="s">
        <v>48</v>
      </c>
      <c r="O1667" s="70" t="s">
        <v>557</v>
      </c>
      <c r="P1667" s="70" t="s">
        <v>558</v>
      </c>
      <c r="Q1667" s="70" t="s">
        <v>559</v>
      </c>
      <c r="R1667" s="73">
        <v>1</v>
      </c>
      <c r="S1667" s="70" t="s">
        <v>99</v>
      </c>
      <c r="T1667" s="70" t="s">
        <v>53</v>
      </c>
      <c r="U1667" s="70" t="s">
        <v>60</v>
      </c>
      <c r="V1667" s="70" t="s">
        <v>61</v>
      </c>
      <c r="W1667" s="70"/>
      <c r="X1667" s="74">
        <v>45910</v>
      </c>
      <c r="Y1667" s="73">
        <v>100.1</v>
      </c>
      <c r="Z1667" s="73">
        <v>1</v>
      </c>
      <c r="AA1667" s="70"/>
      <c r="AB1667" s="70"/>
      <c r="AC1667" s="70"/>
      <c r="AD1667" s="70"/>
      <c r="AE1667" s="70"/>
      <c r="AF1667" s="73">
        <v>83.99</v>
      </c>
      <c r="AG1667" s="75">
        <v>137000000000000</v>
      </c>
      <c r="AK1667" s="76" t="e">
        <f t="shared" si="8"/>
        <v>#DIV/0!</v>
      </c>
      <c r="AM1667" s="38"/>
      <c r="AO1667" s="28"/>
    </row>
    <row r="1668" spans="1:41" ht="14.5">
      <c r="A1668" s="70" t="s">
        <v>6060</v>
      </c>
      <c r="B1668" s="71">
        <v>45899</v>
      </c>
      <c r="C1668" s="72">
        <v>45904</v>
      </c>
      <c r="D1668" s="70" t="s">
        <v>41</v>
      </c>
      <c r="E1668" s="70" t="s">
        <v>6061</v>
      </c>
      <c r="F1668" s="70"/>
      <c r="G1668" s="70" t="s">
        <v>43</v>
      </c>
      <c r="H1668" s="73">
        <v>13.9</v>
      </c>
      <c r="I1668" s="70" t="s">
        <v>44</v>
      </c>
      <c r="J1668" s="70" t="s">
        <v>45</v>
      </c>
      <c r="K1668" s="70" t="s">
        <v>6062</v>
      </c>
      <c r="L1668" s="70" t="s">
        <v>58</v>
      </c>
      <c r="M1668" s="70" t="s">
        <v>48</v>
      </c>
      <c r="N1668" s="70" t="s">
        <v>48</v>
      </c>
      <c r="O1668" s="70" t="s">
        <v>5394</v>
      </c>
      <c r="P1668" s="70" t="s">
        <v>5395</v>
      </c>
      <c r="Q1668" s="70" t="s">
        <v>5396</v>
      </c>
      <c r="R1668" s="73">
        <v>1</v>
      </c>
      <c r="S1668" s="70" t="s">
        <v>3878</v>
      </c>
      <c r="T1668" s="70" t="s">
        <v>53</v>
      </c>
      <c r="U1668" s="70" t="s">
        <v>54</v>
      </c>
      <c r="V1668" s="70" t="s">
        <v>55</v>
      </c>
      <c r="W1668" s="70"/>
      <c r="X1668" s="74">
        <v>45911</v>
      </c>
      <c r="Y1668" s="73">
        <v>105.83</v>
      </c>
      <c r="Z1668" s="73">
        <v>1</v>
      </c>
      <c r="AA1668" s="70"/>
      <c r="AB1668" s="70"/>
      <c r="AC1668" s="70"/>
      <c r="AD1668" s="70"/>
      <c r="AE1668" s="70"/>
      <c r="AF1668" s="73">
        <v>91.93</v>
      </c>
      <c r="AG1668" s="75">
        <v>138000000000000</v>
      </c>
      <c r="AK1668" s="76" t="e">
        <f t="shared" si="8"/>
        <v>#DIV/0!</v>
      </c>
      <c r="AM1668" s="38"/>
      <c r="AO1668" s="28"/>
    </row>
    <row r="1669" spans="1:41" ht="14.5">
      <c r="A1669" s="70" t="s">
        <v>6057</v>
      </c>
      <c r="B1669" s="71">
        <v>45894</v>
      </c>
      <c r="C1669" s="72">
        <v>45904</v>
      </c>
      <c r="D1669" s="70" t="s">
        <v>41</v>
      </c>
      <c r="E1669" s="70" t="s">
        <v>6063</v>
      </c>
      <c r="F1669" s="70"/>
      <c r="G1669" s="70" t="s">
        <v>43</v>
      </c>
      <c r="H1669" s="73">
        <v>15.71</v>
      </c>
      <c r="I1669" s="70" t="s">
        <v>44</v>
      </c>
      <c r="J1669" s="70" t="s">
        <v>45</v>
      </c>
      <c r="K1669" s="70" t="s">
        <v>6064</v>
      </c>
      <c r="L1669" s="70" t="s">
        <v>47</v>
      </c>
      <c r="M1669" s="70" t="s">
        <v>48</v>
      </c>
      <c r="N1669" s="70" t="s">
        <v>48</v>
      </c>
      <c r="O1669" s="70" t="s">
        <v>557</v>
      </c>
      <c r="P1669" s="70" t="s">
        <v>558</v>
      </c>
      <c r="Q1669" s="70" t="s">
        <v>559</v>
      </c>
      <c r="R1669" s="73">
        <v>1</v>
      </c>
      <c r="S1669" s="70" t="s">
        <v>52</v>
      </c>
      <c r="T1669" s="70" t="s">
        <v>53</v>
      </c>
      <c r="U1669" s="70" t="s">
        <v>54</v>
      </c>
      <c r="V1669" s="70" t="s">
        <v>61</v>
      </c>
      <c r="W1669" s="70"/>
      <c r="X1669" s="70"/>
      <c r="Y1669" s="73">
        <v>100.1</v>
      </c>
      <c r="Z1669" s="73">
        <v>1</v>
      </c>
      <c r="AA1669" s="70"/>
      <c r="AB1669" s="70"/>
      <c r="AC1669" s="70"/>
      <c r="AD1669" s="70"/>
      <c r="AE1669" s="70"/>
      <c r="AF1669" s="70"/>
      <c r="AG1669" s="75">
        <v>137000000000000</v>
      </c>
      <c r="AK1669" s="76" t="e">
        <f t="shared" si="8"/>
        <v>#DIV/0!</v>
      </c>
      <c r="AM1669" s="38"/>
      <c r="AO1669" s="57" t="s">
        <v>6065</v>
      </c>
    </row>
    <row r="1670" spans="1:41" ht="14.5">
      <c r="A1670" s="70" t="s">
        <v>6066</v>
      </c>
      <c r="B1670" s="71">
        <v>45885</v>
      </c>
      <c r="C1670" s="72">
        <v>45904</v>
      </c>
      <c r="D1670" s="70" t="s">
        <v>41</v>
      </c>
      <c r="E1670" s="70" t="s">
        <v>6067</v>
      </c>
      <c r="F1670" s="70"/>
      <c r="G1670" s="70" t="s">
        <v>43</v>
      </c>
      <c r="H1670" s="73">
        <v>16.399999999999999</v>
      </c>
      <c r="I1670" s="70" t="s">
        <v>44</v>
      </c>
      <c r="J1670" s="70" t="s">
        <v>45</v>
      </c>
      <c r="K1670" s="70" t="s">
        <v>6068</v>
      </c>
      <c r="L1670" s="70" t="s">
        <v>58</v>
      </c>
      <c r="M1670" s="70" t="s">
        <v>48</v>
      </c>
      <c r="N1670" s="70" t="s">
        <v>48</v>
      </c>
      <c r="O1670" s="70" t="s">
        <v>821</v>
      </c>
      <c r="P1670" s="70" t="s">
        <v>822</v>
      </c>
      <c r="Q1670" s="70" t="s">
        <v>823</v>
      </c>
      <c r="R1670" s="73">
        <v>1</v>
      </c>
      <c r="S1670" s="70" t="s">
        <v>75</v>
      </c>
      <c r="T1670" s="70" t="s">
        <v>53</v>
      </c>
      <c r="U1670" s="70" t="s">
        <v>54</v>
      </c>
      <c r="V1670" s="70" t="s">
        <v>240</v>
      </c>
      <c r="W1670" s="70"/>
      <c r="X1670" s="74">
        <v>45911</v>
      </c>
      <c r="Y1670" s="73">
        <v>131.51</v>
      </c>
      <c r="Z1670" s="73">
        <v>1</v>
      </c>
      <c r="AA1670" s="70"/>
      <c r="AB1670" s="70"/>
      <c r="AC1670" s="70"/>
      <c r="AD1670" s="70"/>
      <c r="AE1670" s="70"/>
      <c r="AF1670" s="73">
        <v>99.11</v>
      </c>
      <c r="AG1670" s="75">
        <v>137000000000000</v>
      </c>
      <c r="AK1670" s="76" t="e">
        <f t="shared" si="8"/>
        <v>#DIV/0!</v>
      </c>
      <c r="AM1670" s="38"/>
      <c r="AO1670" s="28"/>
    </row>
    <row r="1671" spans="1:41" ht="14.5">
      <c r="A1671" s="70" t="s">
        <v>6069</v>
      </c>
      <c r="B1671" s="71">
        <v>45872</v>
      </c>
      <c r="C1671" s="72">
        <v>45904</v>
      </c>
      <c r="D1671" s="70" t="s">
        <v>41</v>
      </c>
      <c r="E1671" s="70" t="s">
        <v>6070</v>
      </c>
      <c r="F1671" s="70"/>
      <c r="G1671" s="70" t="s">
        <v>43</v>
      </c>
      <c r="H1671" s="73">
        <v>18.45</v>
      </c>
      <c r="I1671" s="70" t="s">
        <v>44</v>
      </c>
      <c r="J1671" s="70" t="s">
        <v>45</v>
      </c>
      <c r="K1671" s="70" t="s">
        <v>6071</v>
      </c>
      <c r="L1671" s="70" t="s">
        <v>58</v>
      </c>
      <c r="M1671" s="70" t="s">
        <v>48</v>
      </c>
      <c r="N1671" s="70" t="s">
        <v>48</v>
      </c>
      <c r="O1671" s="70" t="s">
        <v>437</v>
      </c>
      <c r="P1671" s="70" t="s">
        <v>438</v>
      </c>
      <c r="Q1671" s="70" t="s">
        <v>2246</v>
      </c>
      <c r="R1671" s="73">
        <v>1</v>
      </c>
      <c r="S1671" s="70" t="s">
        <v>75</v>
      </c>
      <c r="T1671" s="70" t="s">
        <v>53</v>
      </c>
      <c r="U1671" s="70" t="s">
        <v>54</v>
      </c>
      <c r="V1671" s="70" t="s">
        <v>61</v>
      </c>
      <c r="W1671" s="70"/>
      <c r="X1671" s="70"/>
      <c r="Y1671" s="73">
        <v>123.14</v>
      </c>
      <c r="Z1671" s="73">
        <v>1</v>
      </c>
      <c r="AA1671" s="70"/>
      <c r="AB1671" s="70"/>
      <c r="AC1671" s="70"/>
      <c r="AD1671" s="70"/>
      <c r="AE1671" s="70"/>
      <c r="AF1671" s="70"/>
      <c r="AG1671" s="75">
        <v>136000000000000</v>
      </c>
      <c r="AK1671" s="76" t="e">
        <f t="shared" si="8"/>
        <v>#DIV/0!</v>
      </c>
      <c r="AM1671" s="38"/>
      <c r="AO1671" s="28"/>
    </row>
    <row r="1672" spans="1:41" ht="14.5">
      <c r="A1672" s="70" t="s">
        <v>6072</v>
      </c>
      <c r="B1672" s="71">
        <v>45873</v>
      </c>
      <c r="C1672" s="72">
        <v>45904</v>
      </c>
      <c r="D1672" s="70" t="s">
        <v>41</v>
      </c>
      <c r="E1672" s="70" t="s">
        <v>6073</v>
      </c>
      <c r="F1672" s="70"/>
      <c r="G1672" s="70" t="s">
        <v>137</v>
      </c>
      <c r="H1672" s="73">
        <v>0</v>
      </c>
      <c r="I1672" s="70"/>
      <c r="J1672" s="70"/>
      <c r="K1672" s="70"/>
      <c r="L1672" s="70" t="s">
        <v>58</v>
      </c>
      <c r="M1672" s="70" t="s">
        <v>48</v>
      </c>
      <c r="N1672" s="70" t="s">
        <v>48</v>
      </c>
      <c r="O1672" s="70" t="s">
        <v>5021</v>
      </c>
      <c r="P1672" s="70" t="s">
        <v>5022</v>
      </c>
      <c r="Q1672" s="70" t="s">
        <v>5023</v>
      </c>
      <c r="R1672" s="73">
        <v>1</v>
      </c>
      <c r="S1672" s="70" t="s">
        <v>75</v>
      </c>
      <c r="T1672" s="70" t="s">
        <v>53</v>
      </c>
      <c r="U1672" s="70" t="s">
        <v>54</v>
      </c>
      <c r="V1672" s="70" t="s">
        <v>61</v>
      </c>
      <c r="W1672" s="70"/>
      <c r="X1672" s="70"/>
      <c r="Y1672" s="73">
        <v>160.1</v>
      </c>
      <c r="Z1672" s="73">
        <v>1</v>
      </c>
      <c r="AA1672" s="70"/>
      <c r="AB1672" s="70"/>
      <c r="AC1672" s="70"/>
      <c r="AD1672" s="70"/>
      <c r="AE1672" s="70"/>
      <c r="AF1672" s="73">
        <v>143.91999999999999</v>
      </c>
      <c r="AG1672" s="75">
        <v>136000000000000</v>
      </c>
      <c r="AK1672" s="76" t="e">
        <f t="shared" si="8"/>
        <v>#DIV/0!</v>
      </c>
      <c r="AM1672" s="38"/>
      <c r="AO1672" s="28"/>
    </row>
    <row r="1673" spans="1:41" ht="14.5">
      <c r="A1673" s="70" t="s">
        <v>6074</v>
      </c>
      <c r="B1673" s="71">
        <v>45901</v>
      </c>
      <c r="C1673" s="72">
        <v>45905</v>
      </c>
      <c r="D1673" s="70" t="s">
        <v>41</v>
      </c>
      <c r="E1673" s="70" t="s">
        <v>6075</v>
      </c>
      <c r="F1673" s="70"/>
      <c r="G1673" s="70" t="s">
        <v>43</v>
      </c>
      <c r="H1673" s="73">
        <v>7.49</v>
      </c>
      <c r="I1673" s="70" t="s">
        <v>44</v>
      </c>
      <c r="J1673" s="70" t="s">
        <v>45</v>
      </c>
      <c r="K1673" s="70" t="s">
        <v>6076</v>
      </c>
      <c r="L1673" s="70" t="s">
        <v>58</v>
      </c>
      <c r="M1673" s="70" t="s">
        <v>48</v>
      </c>
      <c r="N1673" s="70" t="s">
        <v>48</v>
      </c>
      <c r="O1673" s="70" t="s">
        <v>1116</v>
      </c>
      <c r="P1673" s="70" t="s">
        <v>1117</v>
      </c>
      <c r="Q1673" s="70" t="s">
        <v>1833</v>
      </c>
      <c r="R1673" s="73">
        <v>1</v>
      </c>
      <c r="S1673" s="70" t="s">
        <v>3878</v>
      </c>
      <c r="T1673" s="70" t="s">
        <v>53</v>
      </c>
      <c r="U1673" s="70" t="s">
        <v>54</v>
      </c>
      <c r="V1673" s="70" t="s">
        <v>61</v>
      </c>
      <c r="W1673" s="70"/>
      <c r="X1673" s="70"/>
      <c r="Y1673" s="73">
        <v>78.959999999999994</v>
      </c>
      <c r="Z1673" s="73">
        <v>1</v>
      </c>
      <c r="AA1673" s="70"/>
      <c r="AB1673" s="70"/>
      <c r="AC1673" s="70"/>
      <c r="AD1673" s="70"/>
      <c r="AE1673" s="70"/>
      <c r="AF1673" s="70"/>
      <c r="AG1673" s="75">
        <v>138000000000000</v>
      </c>
      <c r="AK1673" s="76" t="e">
        <f t="shared" si="8"/>
        <v>#DIV/0!</v>
      </c>
      <c r="AM1673" s="38"/>
      <c r="AO1673" s="28"/>
    </row>
    <row r="1674" spans="1:41" ht="14.5">
      <c r="A1674" s="70" t="s">
        <v>6077</v>
      </c>
      <c r="B1674" s="71">
        <v>45903</v>
      </c>
      <c r="C1674" s="72">
        <v>45905</v>
      </c>
      <c r="D1674" s="70" t="s">
        <v>41</v>
      </c>
      <c r="E1674" s="70" t="s">
        <v>6078</v>
      </c>
      <c r="F1674" s="70"/>
      <c r="G1674" s="70" t="s">
        <v>43</v>
      </c>
      <c r="H1674" s="73">
        <v>10.92</v>
      </c>
      <c r="I1674" s="70" t="s">
        <v>44</v>
      </c>
      <c r="J1674" s="70" t="s">
        <v>45</v>
      </c>
      <c r="K1674" s="70" t="s">
        <v>6079</v>
      </c>
      <c r="L1674" s="70" t="s">
        <v>58</v>
      </c>
      <c r="M1674" s="70" t="s">
        <v>48</v>
      </c>
      <c r="N1674" s="70" t="s">
        <v>48</v>
      </c>
      <c r="O1674" s="70" t="s">
        <v>6080</v>
      </c>
      <c r="P1674" s="70" t="s">
        <v>6081</v>
      </c>
      <c r="Q1674" s="70" t="s">
        <v>6082</v>
      </c>
      <c r="R1674" s="73">
        <v>1</v>
      </c>
      <c r="S1674" s="70" t="s">
        <v>3868</v>
      </c>
      <c r="T1674" s="70" t="s">
        <v>53</v>
      </c>
      <c r="U1674" s="70" t="s">
        <v>54</v>
      </c>
      <c r="V1674" s="70" t="s">
        <v>61</v>
      </c>
      <c r="W1674" s="70"/>
      <c r="X1674" s="70"/>
      <c r="Y1674" s="73">
        <v>105.45</v>
      </c>
      <c r="Z1674" s="73">
        <v>1</v>
      </c>
      <c r="AA1674" s="70"/>
      <c r="AB1674" s="70"/>
      <c r="AC1674" s="70"/>
      <c r="AD1674" s="70"/>
      <c r="AE1674" s="70"/>
      <c r="AF1674" s="70"/>
      <c r="AG1674" s="75">
        <v>138000000000000</v>
      </c>
      <c r="AK1674" s="76" t="e">
        <f t="shared" si="8"/>
        <v>#DIV/0!</v>
      </c>
      <c r="AM1674" s="38"/>
      <c r="AO1674" s="28"/>
    </row>
    <row r="1675" spans="1:41" ht="14.5">
      <c r="A1675" s="70" t="s">
        <v>6083</v>
      </c>
      <c r="B1675" s="71">
        <v>45853</v>
      </c>
      <c r="C1675" s="72">
        <v>45905</v>
      </c>
      <c r="D1675" s="70" t="s">
        <v>485</v>
      </c>
      <c r="E1675" s="70"/>
      <c r="F1675" s="70"/>
      <c r="G1675" s="70"/>
      <c r="H1675" s="70"/>
      <c r="I1675" s="70"/>
      <c r="J1675" s="70"/>
      <c r="K1675" s="70"/>
      <c r="L1675" s="70" t="s">
        <v>58</v>
      </c>
      <c r="M1675" s="70" t="s">
        <v>48</v>
      </c>
      <c r="N1675" s="70" t="s">
        <v>48</v>
      </c>
      <c r="O1675" s="70" t="s">
        <v>848</v>
      </c>
      <c r="P1675" s="70" t="s">
        <v>849</v>
      </c>
      <c r="Q1675" s="70" t="s">
        <v>850</v>
      </c>
      <c r="R1675" s="73">
        <v>1</v>
      </c>
      <c r="S1675" s="70" t="s">
        <v>59</v>
      </c>
      <c r="T1675" s="70" t="s">
        <v>48</v>
      </c>
      <c r="U1675" s="70" t="s">
        <v>60</v>
      </c>
      <c r="V1675" s="70" t="s">
        <v>61</v>
      </c>
      <c r="W1675" s="70"/>
      <c r="X1675" s="70"/>
      <c r="Y1675" s="73">
        <v>174.76</v>
      </c>
      <c r="Z1675" s="70"/>
      <c r="AA1675" s="70"/>
      <c r="AB1675" s="70"/>
      <c r="AC1675" s="70"/>
      <c r="AD1675" s="70"/>
      <c r="AE1675" s="70"/>
      <c r="AF1675" s="70"/>
      <c r="AG1675" s="75">
        <v>134000000000000</v>
      </c>
      <c r="AK1675" s="76" t="e">
        <f t="shared" si="8"/>
        <v>#DIV/0!</v>
      </c>
      <c r="AM1675" s="38"/>
      <c r="AO1675" s="28"/>
    </row>
    <row r="1676" spans="1:41" ht="14.5">
      <c r="A1676" s="70" t="s">
        <v>6084</v>
      </c>
      <c r="B1676" s="71">
        <v>45898</v>
      </c>
      <c r="C1676" s="72">
        <v>45906</v>
      </c>
      <c r="D1676" s="70" t="s">
        <v>41</v>
      </c>
      <c r="E1676" s="70" t="s">
        <v>6085</v>
      </c>
      <c r="F1676" s="70"/>
      <c r="G1676" s="70" t="s">
        <v>43</v>
      </c>
      <c r="H1676" s="73">
        <v>10.92</v>
      </c>
      <c r="I1676" s="70" t="s">
        <v>44</v>
      </c>
      <c r="J1676" s="70" t="s">
        <v>45</v>
      </c>
      <c r="K1676" s="70" t="s">
        <v>6086</v>
      </c>
      <c r="L1676" s="70" t="s">
        <v>58</v>
      </c>
      <c r="M1676" s="70" t="s">
        <v>48</v>
      </c>
      <c r="N1676" s="70" t="s">
        <v>48</v>
      </c>
      <c r="O1676" s="70" t="s">
        <v>1659</v>
      </c>
      <c r="P1676" s="70" t="s">
        <v>1660</v>
      </c>
      <c r="Q1676" s="70" t="s">
        <v>3533</v>
      </c>
      <c r="R1676" s="73">
        <v>1</v>
      </c>
      <c r="S1676" s="70" t="s">
        <v>3878</v>
      </c>
      <c r="T1676" s="70" t="s">
        <v>53</v>
      </c>
      <c r="U1676" s="70" t="s">
        <v>54</v>
      </c>
      <c r="V1676" s="70" t="s">
        <v>61</v>
      </c>
      <c r="W1676" s="70"/>
      <c r="X1676" s="70"/>
      <c r="Y1676" s="73">
        <v>67.900000000000006</v>
      </c>
      <c r="Z1676" s="73">
        <v>1</v>
      </c>
      <c r="AA1676" s="70"/>
      <c r="AB1676" s="70"/>
      <c r="AC1676" s="70"/>
      <c r="AD1676" s="70"/>
      <c r="AE1676" s="70"/>
      <c r="AF1676" s="70"/>
      <c r="AG1676" s="75">
        <v>138000000000000</v>
      </c>
      <c r="AK1676" s="76" t="e">
        <f t="shared" si="8"/>
        <v>#DIV/0!</v>
      </c>
      <c r="AM1676" s="38"/>
      <c r="AO1676" s="28"/>
    </row>
    <row r="1677" spans="1:41" ht="14.5">
      <c r="A1677" s="70" t="s">
        <v>6087</v>
      </c>
      <c r="B1677" s="71">
        <v>45903</v>
      </c>
      <c r="C1677" s="72">
        <v>45906</v>
      </c>
      <c r="D1677" s="70" t="s">
        <v>41</v>
      </c>
      <c r="E1677" s="70" t="s">
        <v>6088</v>
      </c>
      <c r="F1677" s="70"/>
      <c r="G1677" s="70" t="s">
        <v>43</v>
      </c>
      <c r="H1677" s="73">
        <v>12.03</v>
      </c>
      <c r="I1677" s="70" t="s">
        <v>44</v>
      </c>
      <c r="J1677" s="70" t="s">
        <v>45</v>
      </c>
      <c r="K1677" s="70" t="s">
        <v>6089</v>
      </c>
      <c r="L1677" s="70" t="s">
        <v>58</v>
      </c>
      <c r="M1677" s="70" t="s">
        <v>48</v>
      </c>
      <c r="N1677" s="70" t="s">
        <v>48</v>
      </c>
      <c r="O1677" s="70" t="s">
        <v>115</v>
      </c>
      <c r="P1677" s="70" t="s">
        <v>116</v>
      </c>
      <c r="Q1677" s="70" t="s">
        <v>6090</v>
      </c>
      <c r="R1677" s="73">
        <v>1</v>
      </c>
      <c r="S1677" s="70" t="s">
        <v>3878</v>
      </c>
      <c r="T1677" s="70" t="s">
        <v>53</v>
      </c>
      <c r="U1677" s="70" t="s">
        <v>54</v>
      </c>
      <c r="V1677" s="70" t="s">
        <v>55</v>
      </c>
      <c r="W1677" s="70"/>
      <c r="X1677" s="74">
        <v>45909</v>
      </c>
      <c r="Y1677" s="73">
        <v>54.34</v>
      </c>
      <c r="Z1677" s="73">
        <v>1</v>
      </c>
      <c r="AA1677" s="70"/>
      <c r="AB1677" s="70"/>
      <c r="AC1677" s="70"/>
      <c r="AD1677" s="70"/>
      <c r="AE1677" s="70"/>
      <c r="AF1677" s="73">
        <v>42.31</v>
      </c>
      <c r="AG1677" s="75">
        <v>138000000000000</v>
      </c>
      <c r="AK1677" s="76" t="e">
        <f t="shared" si="8"/>
        <v>#DIV/0!</v>
      </c>
      <c r="AM1677" s="38"/>
      <c r="AO1677" s="28"/>
    </row>
    <row r="1678" spans="1:41" ht="14.5">
      <c r="A1678" s="70" t="s">
        <v>6091</v>
      </c>
      <c r="B1678" s="71">
        <v>45903</v>
      </c>
      <c r="C1678" s="72">
        <v>45906</v>
      </c>
      <c r="D1678" s="70" t="s">
        <v>41</v>
      </c>
      <c r="E1678" s="70" t="s">
        <v>6092</v>
      </c>
      <c r="F1678" s="70"/>
      <c r="G1678" s="70" t="s">
        <v>43</v>
      </c>
      <c r="H1678" s="73">
        <v>16.850000000000001</v>
      </c>
      <c r="I1678" s="70" t="s">
        <v>44</v>
      </c>
      <c r="J1678" s="70" t="s">
        <v>45</v>
      </c>
      <c r="K1678" s="70" t="s">
        <v>6093</v>
      </c>
      <c r="L1678" s="70" t="s">
        <v>58</v>
      </c>
      <c r="M1678" s="70" t="s">
        <v>48</v>
      </c>
      <c r="N1678" s="70" t="s">
        <v>48</v>
      </c>
      <c r="O1678" s="70" t="s">
        <v>1650</v>
      </c>
      <c r="P1678" s="70" t="s">
        <v>1651</v>
      </c>
      <c r="Q1678" s="70" t="s">
        <v>1652</v>
      </c>
      <c r="R1678" s="73">
        <v>1</v>
      </c>
      <c r="S1678" s="70" t="s">
        <v>3878</v>
      </c>
      <c r="T1678" s="70" t="s">
        <v>53</v>
      </c>
      <c r="U1678" s="70" t="s">
        <v>54</v>
      </c>
      <c r="V1678" s="70" t="s">
        <v>55</v>
      </c>
      <c r="W1678" s="70"/>
      <c r="X1678" s="74">
        <v>45919</v>
      </c>
      <c r="Y1678" s="73">
        <v>100.6</v>
      </c>
      <c r="Z1678" s="73">
        <v>1</v>
      </c>
      <c r="AA1678" s="70"/>
      <c r="AB1678" s="70"/>
      <c r="AC1678" s="70"/>
      <c r="AD1678" s="70"/>
      <c r="AE1678" s="70"/>
      <c r="AF1678" s="73">
        <v>83.75</v>
      </c>
      <c r="AG1678" s="75">
        <v>138000000000000</v>
      </c>
      <c r="AK1678" s="76" t="e">
        <f t="shared" si="8"/>
        <v>#DIV/0!</v>
      </c>
      <c r="AM1678" s="38"/>
      <c r="AO1678" s="28"/>
    </row>
    <row r="1679" spans="1:41" ht="14.5">
      <c r="A1679" s="70" t="s">
        <v>6094</v>
      </c>
      <c r="B1679" s="71">
        <v>45903</v>
      </c>
      <c r="C1679" s="72">
        <v>45906</v>
      </c>
      <c r="D1679" s="70" t="s">
        <v>41</v>
      </c>
      <c r="E1679" s="70" t="s">
        <v>6095</v>
      </c>
      <c r="F1679" s="70"/>
      <c r="G1679" s="70" t="s">
        <v>43</v>
      </c>
      <c r="H1679" s="73">
        <v>7.49</v>
      </c>
      <c r="I1679" s="70" t="s">
        <v>44</v>
      </c>
      <c r="J1679" s="70" t="s">
        <v>45</v>
      </c>
      <c r="K1679" s="70" t="s">
        <v>6096</v>
      </c>
      <c r="L1679" s="70" t="s">
        <v>58</v>
      </c>
      <c r="M1679" s="70" t="s">
        <v>48</v>
      </c>
      <c r="N1679" s="70" t="s">
        <v>48</v>
      </c>
      <c r="O1679" s="70" t="s">
        <v>390</v>
      </c>
      <c r="P1679" s="70" t="s">
        <v>391</v>
      </c>
      <c r="Q1679" s="70" t="s">
        <v>4234</v>
      </c>
      <c r="R1679" s="73">
        <v>1</v>
      </c>
      <c r="S1679" s="70" t="s">
        <v>3878</v>
      </c>
      <c r="T1679" s="70" t="s">
        <v>53</v>
      </c>
      <c r="U1679" s="70" t="s">
        <v>54</v>
      </c>
      <c r="V1679" s="70" t="s">
        <v>240</v>
      </c>
      <c r="W1679" s="70"/>
      <c r="X1679" s="74">
        <v>45912</v>
      </c>
      <c r="Y1679" s="73">
        <v>46.54</v>
      </c>
      <c r="Z1679" s="73">
        <v>1</v>
      </c>
      <c r="AA1679" s="70"/>
      <c r="AB1679" s="70"/>
      <c r="AC1679" s="70"/>
      <c r="AD1679" s="70"/>
      <c r="AE1679" s="70"/>
      <c r="AF1679" s="73">
        <v>22.75</v>
      </c>
      <c r="AG1679" s="75">
        <v>138000000000000</v>
      </c>
      <c r="AK1679" s="76" t="e">
        <f t="shared" si="8"/>
        <v>#DIV/0!</v>
      </c>
      <c r="AM1679" s="38"/>
      <c r="AO1679" s="28"/>
    </row>
    <row r="1680" spans="1:41" ht="14.5">
      <c r="A1680" s="70" t="s">
        <v>6097</v>
      </c>
      <c r="B1680" s="71">
        <v>45886</v>
      </c>
      <c r="C1680" s="72">
        <v>45906</v>
      </c>
      <c r="D1680" s="70" t="s">
        <v>41</v>
      </c>
      <c r="E1680" s="70" t="s">
        <v>6098</v>
      </c>
      <c r="F1680" s="70"/>
      <c r="G1680" s="70" t="s">
        <v>43</v>
      </c>
      <c r="H1680" s="73">
        <v>13.43</v>
      </c>
      <c r="I1680" s="70" t="s">
        <v>44</v>
      </c>
      <c r="J1680" s="70" t="s">
        <v>45</v>
      </c>
      <c r="K1680" s="70" t="s">
        <v>6099</v>
      </c>
      <c r="L1680" s="70" t="s">
        <v>58</v>
      </c>
      <c r="M1680" s="70" t="s">
        <v>48</v>
      </c>
      <c r="N1680" s="70" t="s">
        <v>48</v>
      </c>
      <c r="O1680" s="70" t="s">
        <v>5516</v>
      </c>
      <c r="P1680" s="70" t="s">
        <v>5517</v>
      </c>
      <c r="Q1680" s="70" t="s">
        <v>5518</v>
      </c>
      <c r="R1680" s="73">
        <v>1</v>
      </c>
      <c r="S1680" s="70" t="s">
        <v>59</v>
      </c>
      <c r="T1680" s="70" t="s">
        <v>53</v>
      </c>
      <c r="U1680" s="70" t="s">
        <v>54</v>
      </c>
      <c r="V1680" s="70" t="s">
        <v>55</v>
      </c>
      <c r="W1680" s="70"/>
      <c r="X1680" s="74">
        <v>45915</v>
      </c>
      <c r="Y1680" s="73">
        <v>103.05</v>
      </c>
      <c r="Z1680" s="73">
        <v>1</v>
      </c>
      <c r="AA1680" s="70"/>
      <c r="AB1680" s="70"/>
      <c r="AC1680" s="70"/>
      <c r="AD1680" s="70"/>
      <c r="AE1680" s="70"/>
      <c r="AF1680" s="73">
        <v>89.62</v>
      </c>
      <c r="AG1680" s="75">
        <v>137000000000000</v>
      </c>
      <c r="AK1680" s="76" t="e">
        <f t="shared" si="8"/>
        <v>#DIV/0!</v>
      </c>
      <c r="AM1680" s="38"/>
      <c r="AO1680" s="28"/>
    </row>
    <row r="1681" spans="1:41" ht="14.5">
      <c r="A1681" s="70" t="s">
        <v>6097</v>
      </c>
      <c r="B1681" s="71">
        <v>45886</v>
      </c>
      <c r="C1681" s="72">
        <v>45906</v>
      </c>
      <c r="D1681" s="70" t="s">
        <v>41</v>
      </c>
      <c r="E1681" s="70" t="s">
        <v>6100</v>
      </c>
      <c r="F1681" s="70"/>
      <c r="G1681" s="70" t="s">
        <v>43</v>
      </c>
      <c r="H1681" s="73">
        <v>13.43</v>
      </c>
      <c r="I1681" s="70" t="s">
        <v>44</v>
      </c>
      <c r="J1681" s="70" t="s">
        <v>45</v>
      </c>
      <c r="K1681" s="70" t="s">
        <v>6101</v>
      </c>
      <c r="L1681" s="70" t="s">
        <v>58</v>
      </c>
      <c r="M1681" s="70" t="s">
        <v>48</v>
      </c>
      <c r="N1681" s="70" t="s">
        <v>48</v>
      </c>
      <c r="O1681" s="70" t="s">
        <v>5516</v>
      </c>
      <c r="P1681" s="70" t="s">
        <v>5517</v>
      </c>
      <c r="Q1681" s="70" t="s">
        <v>5518</v>
      </c>
      <c r="R1681" s="73">
        <v>1</v>
      </c>
      <c r="S1681" s="70" t="s">
        <v>59</v>
      </c>
      <c r="T1681" s="70" t="s">
        <v>53</v>
      </c>
      <c r="U1681" s="70" t="s">
        <v>54</v>
      </c>
      <c r="V1681" s="70" t="s">
        <v>61</v>
      </c>
      <c r="W1681" s="70"/>
      <c r="X1681" s="70"/>
      <c r="Y1681" s="73">
        <v>103.05</v>
      </c>
      <c r="Z1681" s="73">
        <v>1</v>
      </c>
      <c r="AA1681" s="70"/>
      <c r="AB1681" s="70"/>
      <c r="AC1681" s="70"/>
      <c r="AD1681" s="70"/>
      <c r="AE1681" s="70"/>
      <c r="AF1681" s="70"/>
      <c r="AG1681" s="75">
        <v>137000000000000</v>
      </c>
      <c r="AK1681" s="76" t="e">
        <f t="shared" si="8"/>
        <v>#DIV/0!</v>
      </c>
      <c r="AM1681" s="38"/>
      <c r="AO1681" s="28"/>
    </row>
    <row r="1682" spans="1:41" ht="14.5">
      <c r="A1682" s="70" t="s">
        <v>6102</v>
      </c>
      <c r="B1682" s="71">
        <v>45899</v>
      </c>
      <c r="C1682" s="72">
        <v>45907</v>
      </c>
      <c r="D1682" s="70" t="s">
        <v>41</v>
      </c>
      <c r="E1682" s="70" t="s">
        <v>6103</v>
      </c>
      <c r="F1682" s="70"/>
      <c r="G1682" s="70" t="s">
        <v>43</v>
      </c>
      <c r="H1682" s="73">
        <v>10.92</v>
      </c>
      <c r="I1682" s="70" t="s">
        <v>44</v>
      </c>
      <c r="J1682" s="70" t="s">
        <v>45</v>
      </c>
      <c r="K1682" s="70" t="s">
        <v>6104</v>
      </c>
      <c r="L1682" s="70" t="s">
        <v>58</v>
      </c>
      <c r="M1682" s="70" t="s">
        <v>48</v>
      </c>
      <c r="N1682" s="70" t="s">
        <v>48</v>
      </c>
      <c r="O1682" s="70" t="s">
        <v>1659</v>
      </c>
      <c r="P1682" s="70" t="s">
        <v>1660</v>
      </c>
      <c r="Q1682" s="70" t="s">
        <v>3533</v>
      </c>
      <c r="R1682" s="73">
        <v>1</v>
      </c>
      <c r="S1682" s="70" t="s">
        <v>3868</v>
      </c>
      <c r="T1682" s="70" t="s">
        <v>53</v>
      </c>
      <c r="U1682" s="70" t="s">
        <v>54</v>
      </c>
      <c r="V1682" s="70" t="s">
        <v>61</v>
      </c>
      <c r="W1682" s="70"/>
      <c r="X1682" s="74">
        <v>45924</v>
      </c>
      <c r="Y1682" s="73">
        <v>71.23</v>
      </c>
      <c r="Z1682" s="73">
        <v>1</v>
      </c>
      <c r="AA1682" s="70"/>
      <c r="AB1682" s="70"/>
      <c r="AC1682" s="70"/>
      <c r="AD1682" s="70"/>
      <c r="AE1682" s="70"/>
      <c r="AF1682" s="73">
        <v>54.82</v>
      </c>
      <c r="AG1682" s="75">
        <v>138000000000000</v>
      </c>
      <c r="AK1682" s="76" t="e">
        <f t="shared" si="8"/>
        <v>#DIV/0!</v>
      </c>
      <c r="AM1682" s="38"/>
      <c r="AO1682" s="28"/>
    </row>
    <row r="1683" spans="1:41" ht="14.5">
      <c r="A1683" s="70" t="s">
        <v>6105</v>
      </c>
      <c r="B1683" s="71">
        <v>45896</v>
      </c>
      <c r="C1683" s="72">
        <v>45907</v>
      </c>
      <c r="D1683" s="70" t="s">
        <v>41</v>
      </c>
      <c r="E1683" s="70" t="s">
        <v>6106</v>
      </c>
      <c r="F1683" s="70"/>
      <c r="G1683" s="70" t="s">
        <v>43</v>
      </c>
      <c r="H1683" s="73">
        <v>12.95</v>
      </c>
      <c r="I1683" s="70" t="s">
        <v>44</v>
      </c>
      <c r="J1683" s="70" t="s">
        <v>45</v>
      </c>
      <c r="K1683" s="70" t="s">
        <v>6107</v>
      </c>
      <c r="L1683" s="70" t="s">
        <v>58</v>
      </c>
      <c r="M1683" s="70" t="s">
        <v>48</v>
      </c>
      <c r="N1683" s="70" t="s">
        <v>48</v>
      </c>
      <c r="O1683" s="70" t="s">
        <v>827</v>
      </c>
      <c r="P1683" s="70" t="s">
        <v>6108</v>
      </c>
      <c r="Q1683" s="70" t="s">
        <v>829</v>
      </c>
      <c r="R1683" s="73">
        <v>1</v>
      </c>
      <c r="S1683" s="70" t="s">
        <v>3884</v>
      </c>
      <c r="T1683" s="70" t="s">
        <v>53</v>
      </c>
      <c r="U1683" s="70" t="s">
        <v>54</v>
      </c>
      <c r="V1683" s="70" t="s">
        <v>240</v>
      </c>
      <c r="W1683" s="70"/>
      <c r="X1683" s="74">
        <v>45916</v>
      </c>
      <c r="Y1683" s="73">
        <v>97.65</v>
      </c>
      <c r="Z1683" s="73">
        <v>1</v>
      </c>
      <c r="AA1683" s="70"/>
      <c r="AB1683" s="70"/>
      <c r="AC1683" s="70"/>
      <c r="AD1683" s="70"/>
      <c r="AE1683" s="70"/>
      <c r="AF1683" s="73">
        <v>68.459999999999994</v>
      </c>
      <c r="AG1683" s="75">
        <v>138000000000000</v>
      </c>
      <c r="AK1683" s="76" t="e">
        <f t="shared" si="8"/>
        <v>#DIV/0!</v>
      </c>
      <c r="AM1683" s="38"/>
      <c r="AO1683" s="28"/>
    </row>
    <row r="1684" spans="1:41" ht="14.5">
      <c r="A1684" s="70" t="s">
        <v>6109</v>
      </c>
      <c r="B1684" s="71">
        <v>45899</v>
      </c>
      <c r="C1684" s="72">
        <v>45907</v>
      </c>
      <c r="D1684" s="70" t="s">
        <v>41</v>
      </c>
      <c r="E1684" s="70" t="s">
        <v>6110</v>
      </c>
      <c r="F1684" s="70"/>
      <c r="G1684" s="70" t="s">
        <v>43</v>
      </c>
      <c r="H1684" s="73">
        <v>12.03</v>
      </c>
      <c r="I1684" s="70" t="s">
        <v>44</v>
      </c>
      <c r="J1684" s="70" t="s">
        <v>45</v>
      </c>
      <c r="K1684" s="70" t="s">
        <v>6111</v>
      </c>
      <c r="L1684" s="70" t="s">
        <v>58</v>
      </c>
      <c r="M1684" s="70" t="s">
        <v>48</v>
      </c>
      <c r="N1684" s="70" t="s">
        <v>48</v>
      </c>
      <c r="O1684" s="70" t="s">
        <v>698</v>
      </c>
      <c r="P1684" s="70" t="s">
        <v>699</v>
      </c>
      <c r="Q1684" s="70" t="s">
        <v>5345</v>
      </c>
      <c r="R1684" s="73">
        <v>1</v>
      </c>
      <c r="S1684" s="70" t="s">
        <v>3868</v>
      </c>
      <c r="T1684" s="70" t="s">
        <v>53</v>
      </c>
      <c r="U1684" s="70" t="s">
        <v>54</v>
      </c>
      <c r="V1684" s="70" t="s">
        <v>55</v>
      </c>
      <c r="W1684" s="70"/>
      <c r="X1684" s="74">
        <v>45917</v>
      </c>
      <c r="Y1684" s="73">
        <v>57.64</v>
      </c>
      <c r="Z1684" s="73">
        <v>1</v>
      </c>
      <c r="AA1684" s="70"/>
      <c r="AB1684" s="70"/>
      <c r="AC1684" s="70"/>
      <c r="AD1684" s="70"/>
      <c r="AE1684" s="70"/>
      <c r="AF1684" s="73">
        <v>45.61</v>
      </c>
      <c r="AG1684" s="75">
        <v>138000000000000</v>
      </c>
      <c r="AK1684" s="76" t="e">
        <f t="shared" si="8"/>
        <v>#DIV/0!</v>
      </c>
      <c r="AM1684" s="38"/>
      <c r="AO1684" s="28"/>
    </row>
    <row r="1685" spans="1:41" ht="14.5">
      <c r="A1685" s="70" t="s">
        <v>6112</v>
      </c>
      <c r="B1685" s="71">
        <v>45898</v>
      </c>
      <c r="C1685" s="72">
        <v>45907</v>
      </c>
      <c r="D1685" s="70" t="s">
        <v>41</v>
      </c>
      <c r="E1685" s="70" t="s">
        <v>6113</v>
      </c>
      <c r="F1685" s="70"/>
      <c r="G1685" s="70" t="s">
        <v>43</v>
      </c>
      <c r="H1685" s="73">
        <v>14.37</v>
      </c>
      <c r="I1685" s="70" t="s">
        <v>44</v>
      </c>
      <c r="J1685" s="70" t="s">
        <v>45</v>
      </c>
      <c r="K1685" s="70" t="s">
        <v>6114</v>
      </c>
      <c r="L1685" s="70" t="s">
        <v>47</v>
      </c>
      <c r="M1685" s="70" t="s">
        <v>48</v>
      </c>
      <c r="N1685" s="70" t="s">
        <v>48</v>
      </c>
      <c r="O1685" s="70" t="s">
        <v>425</v>
      </c>
      <c r="P1685" s="70" t="s">
        <v>426</v>
      </c>
      <c r="Q1685" s="70" t="s">
        <v>427</v>
      </c>
      <c r="R1685" s="73">
        <v>1</v>
      </c>
      <c r="S1685" s="70" t="s">
        <v>421</v>
      </c>
      <c r="T1685" s="70" t="s">
        <v>53</v>
      </c>
      <c r="U1685" s="70" t="s">
        <v>54</v>
      </c>
      <c r="V1685" s="70" t="s">
        <v>240</v>
      </c>
      <c r="W1685" s="70"/>
      <c r="X1685" s="74">
        <v>45915</v>
      </c>
      <c r="Y1685" s="73">
        <v>141.66999999999999</v>
      </c>
      <c r="Z1685" s="73">
        <v>1</v>
      </c>
      <c r="AA1685" s="70"/>
      <c r="AB1685" s="70"/>
      <c r="AC1685" s="70"/>
      <c r="AD1685" s="70"/>
      <c r="AE1685" s="70"/>
      <c r="AF1685" s="73">
        <v>141.66999999999999</v>
      </c>
      <c r="AG1685" s="75">
        <v>138000000000000</v>
      </c>
      <c r="AK1685" s="76" t="e">
        <f t="shared" si="8"/>
        <v>#DIV/0!</v>
      </c>
      <c r="AM1685" s="38"/>
      <c r="AO1685" s="57" t="s">
        <v>6115</v>
      </c>
    </row>
    <row r="1686" spans="1:41" ht="21.5">
      <c r="A1686" s="70" t="s">
        <v>6116</v>
      </c>
      <c r="B1686" s="71">
        <v>45902</v>
      </c>
      <c r="C1686" s="72">
        <v>45907</v>
      </c>
      <c r="D1686" s="70" t="s">
        <v>41</v>
      </c>
      <c r="E1686" s="70" t="s">
        <v>6117</v>
      </c>
      <c r="F1686" s="70"/>
      <c r="G1686" s="70" t="s">
        <v>43</v>
      </c>
      <c r="H1686" s="73">
        <v>11.37</v>
      </c>
      <c r="I1686" s="70" t="s">
        <v>44</v>
      </c>
      <c r="J1686" s="70" t="s">
        <v>45</v>
      </c>
      <c r="K1686" s="70" t="s">
        <v>6118</v>
      </c>
      <c r="L1686" s="70" t="s">
        <v>47</v>
      </c>
      <c r="M1686" s="70" t="s">
        <v>48</v>
      </c>
      <c r="N1686" s="70" t="s">
        <v>48</v>
      </c>
      <c r="O1686" s="70" t="s">
        <v>160</v>
      </c>
      <c r="P1686" s="70" t="s">
        <v>161</v>
      </c>
      <c r="Q1686" s="70" t="s">
        <v>4426</v>
      </c>
      <c r="R1686" s="73">
        <v>1</v>
      </c>
      <c r="S1686" s="70" t="s">
        <v>92</v>
      </c>
      <c r="T1686" s="70" t="s">
        <v>53</v>
      </c>
      <c r="U1686" s="70" t="s">
        <v>54</v>
      </c>
      <c r="V1686" s="70" t="s">
        <v>560</v>
      </c>
      <c r="W1686" s="70"/>
      <c r="X1686" s="74">
        <v>45911</v>
      </c>
      <c r="Y1686" s="73">
        <v>49.28</v>
      </c>
      <c r="Z1686" s="73">
        <v>1</v>
      </c>
      <c r="AA1686" s="70"/>
      <c r="AB1686" s="70"/>
      <c r="AC1686" s="70"/>
      <c r="AD1686" s="70"/>
      <c r="AE1686" s="70"/>
      <c r="AF1686" s="70"/>
      <c r="AG1686" s="75">
        <v>138000000000000</v>
      </c>
      <c r="AK1686" s="76" t="e">
        <f t="shared" si="8"/>
        <v>#DIV/0!</v>
      </c>
      <c r="AL1686" s="38" t="s">
        <v>6119</v>
      </c>
      <c r="AM1686" s="38" t="s">
        <v>561</v>
      </c>
      <c r="AO1686" s="79" t="s">
        <v>6120</v>
      </c>
    </row>
    <row r="1687" spans="1:41" ht="14.5">
      <c r="A1687" s="70" t="s">
        <v>6121</v>
      </c>
      <c r="B1687" s="71">
        <v>45904</v>
      </c>
      <c r="C1687" s="72">
        <v>45908</v>
      </c>
      <c r="D1687" s="70" t="s">
        <v>41</v>
      </c>
      <c r="E1687" s="70" t="s">
        <v>6122</v>
      </c>
      <c r="F1687" s="70"/>
      <c r="G1687" s="70" t="s">
        <v>43</v>
      </c>
      <c r="H1687" s="73">
        <v>5.78</v>
      </c>
      <c r="I1687" s="70" t="s">
        <v>44</v>
      </c>
      <c r="J1687" s="70" t="s">
        <v>45</v>
      </c>
      <c r="K1687" s="70" t="s">
        <v>6123</v>
      </c>
      <c r="L1687" s="70" t="s">
        <v>47</v>
      </c>
      <c r="M1687" s="70" t="s">
        <v>48</v>
      </c>
      <c r="N1687" s="70" t="s">
        <v>48</v>
      </c>
      <c r="O1687" s="70" t="s">
        <v>219</v>
      </c>
      <c r="P1687" s="70" t="s">
        <v>220</v>
      </c>
      <c r="Q1687" s="70" t="s">
        <v>221</v>
      </c>
      <c r="R1687" s="73">
        <v>1</v>
      </c>
      <c r="S1687" s="70" t="s">
        <v>52</v>
      </c>
      <c r="T1687" s="70" t="s">
        <v>53</v>
      </c>
      <c r="U1687" s="70" t="s">
        <v>54</v>
      </c>
      <c r="V1687" s="70" t="s">
        <v>55</v>
      </c>
      <c r="W1687" s="70"/>
      <c r="X1687" s="74">
        <v>45916</v>
      </c>
      <c r="Y1687" s="73">
        <v>82.47</v>
      </c>
      <c r="Z1687" s="73">
        <v>1</v>
      </c>
      <c r="AA1687" s="70"/>
      <c r="AB1687" s="70"/>
      <c r="AC1687" s="70"/>
      <c r="AD1687" s="70"/>
      <c r="AE1687" s="70"/>
      <c r="AF1687" s="73">
        <v>82.47</v>
      </c>
      <c r="AG1687" s="75">
        <v>138000000000000</v>
      </c>
      <c r="AK1687" s="76" t="e">
        <f t="shared" si="8"/>
        <v>#DIV/0!</v>
      </c>
      <c r="AM1687" s="38"/>
      <c r="AO1687" s="57" t="s">
        <v>6124</v>
      </c>
    </row>
    <row r="1688" spans="1:41" ht="14.5">
      <c r="A1688" s="70" t="s">
        <v>6125</v>
      </c>
      <c r="B1688" s="71">
        <v>45901</v>
      </c>
      <c r="C1688" s="72">
        <v>45908</v>
      </c>
      <c r="D1688" s="70" t="s">
        <v>41</v>
      </c>
      <c r="E1688" s="70" t="s">
        <v>6126</v>
      </c>
      <c r="F1688" s="70"/>
      <c r="G1688" s="70" t="s">
        <v>43</v>
      </c>
      <c r="H1688" s="73">
        <v>16.850000000000001</v>
      </c>
      <c r="I1688" s="70" t="s">
        <v>44</v>
      </c>
      <c r="J1688" s="70" t="s">
        <v>45</v>
      </c>
      <c r="K1688" s="70" t="s">
        <v>6127</v>
      </c>
      <c r="L1688" s="70" t="s">
        <v>58</v>
      </c>
      <c r="M1688" s="70" t="s">
        <v>48</v>
      </c>
      <c r="N1688" s="70" t="s">
        <v>48</v>
      </c>
      <c r="O1688" s="70" t="s">
        <v>3552</v>
      </c>
      <c r="P1688" s="70" t="s">
        <v>3553</v>
      </c>
      <c r="Q1688" s="70" t="s">
        <v>3554</v>
      </c>
      <c r="R1688" s="73">
        <v>1</v>
      </c>
      <c r="S1688" s="70" t="s">
        <v>68</v>
      </c>
      <c r="T1688" s="70" t="s">
        <v>53</v>
      </c>
      <c r="U1688" s="70" t="s">
        <v>54</v>
      </c>
      <c r="V1688" s="70" t="s">
        <v>240</v>
      </c>
      <c r="W1688" s="70"/>
      <c r="X1688" s="74">
        <v>45915</v>
      </c>
      <c r="Y1688" s="73">
        <v>150.53</v>
      </c>
      <c r="Z1688" s="73">
        <v>1</v>
      </c>
      <c r="AA1688" s="70"/>
      <c r="AB1688" s="70"/>
      <c r="AC1688" s="70"/>
      <c r="AD1688" s="70"/>
      <c r="AE1688" s="70"/>
      <c r="AF1688" s="73">
        <v>101.23</v>
      </c>
      <c r="AG1688" s="75">
        <v>138000000000000</v>
      </c>
      <c r="AK1688" s="76" t="e">
        <f t="shared" si="8"/>
        <v>#DIV/0!</v>
      </c>
      <c r="AM1688" s="38"/>
      <c r="AO1688" s="28"/>
    </row>
    <row r="1689" spans="1:41" ht="14.5">
      <c r="A1689" s="70" t="s">
        <v>6128</v>
      </c>
      <c r="B1689" s="71">
        <v>45896</v>
      </c>
      <c r="C1689" s="72">
        <v>45908</v>
      </c>
      <c r="D1689" s="70" t="s">
        <v>41</v>
      </c>
      <c r="E1689" s="70" t="s">
        <v>6129</v>
      </c>
      <c r="F1689" s="70"/>
      <c r="G1689" s="70" t="s">
        <v>43</v>
      </c>
      <c r="H1689" s="73">
        <v>10.63</v>
      </c>
      <c r="I1689" s="70" t="s">
        <v>44</v>
      </c>
      <c r="J1689" s="70" t="s">
        <v>45</v>
      </c>
      <c r="K1689" s="70" t="s">
        <v>6130</v>
      </c>
      <c r="L1689" s="70" t="s">
        <v>47</v>
      </c>
      <c r="M1689" s="70" t="s">
        <v>48</v>
      </c>
      <c r="N1689" s="70" t="s">
        <v>48</v>
      </c>
      <c r="O1689" s="70" t="s">
        <v>1965</v>
      </c>
      <c r="P1689" s="70" t="s">
        <v>1966</v>
      </c>
      <c r="Q1689" s="70" t="s">
        <v>1967</v>
      </c>
      <c r="R1689" s="73">
        <v>1</v>
      </c>
      <c r="S1689" s="70" t="s">
        <v>156</v>
      </c>
      <c r="T1689" s="70" t="s">
        <v>53</v>
      </c>
      <c r="U1689" s="70" t="s">
        <v>54</v>
      </c>
      <c r="V1689" s="70" t="s">
        <v>55</v>
      </c>
      <c r="W1689" s="70"/>
      <c r="X1689" s="74">
        <v>45910</v>
      </c>
      <c r="Y1689" s="73">
        <v>120.99</v>
      </c>
      <c r="Z1689" s="73">
        <v>1</v>
      </c>
      <c r="AA1689" s="70"/>
      <c r="AB1689" s="70"/>
      <c r="AC1689" s="70"/>
      <c r="AD1689" s="70"/>
      <c r="AE1689" s="70"/>
      <c r="AF1689" s="73">
        <v>120.99</v>
      </c>
      <c r="AG1689" s="75">
        <v>138000000000000</v>
      </c>
      <c r="AK1689" s="76" t="e">
        <f t="shared" si="8"/>
        <v>#DIV/0!</v>
      </c>
      <c r="AM1689" s="38"/>
      <c r="AO1689" s="28"/>
    </row>
    <row r="1690" spans="1:41" ht="14.5">
      <c r="A1690" s="70" t="s">
        <v>6131</v>
      </c>
      <c r="B1690" s="71">
        <v>45898</v>
      </c>
      <c r="C1690" s="72">
        <v>45908</v>
      </c>
      <c r="D1690" s="70" t="s">
        <v>41</v>
      </c>
      <c r="E1690" s="70" t="s">
        <v>6132</v>
      </c>
      <c r="F1690" s="70"/>
      <c r="G1690" s="70" t="s">
        <v>43</v>
      </c>
      <c r="H1690" s="73">
        <v>11.37</v>
      </c>
      <c r="I1690" s="70" t="s">
        <v>44</v>
      </c>
      <c r="J1690" s="70" t="s">
        <v>45</v>
      </c>
      <c r="K1690" s="70" t="s">
        <v>6133</v>
      </c>
      <c r="L1690" s="70" t="s">
        <v>58</v>
      </c>
      <c r="M1690" s="70" t="s">
        <v>48</v>
      </c>
      <c r="N1690" s="70" t="s">
        <v>48</v>
      </c>
      <c r="O1690" s="70" t="s">
        <v>79</v>
      </c>
      <c r="P1690" s="70" t="s">
        <v>80</v>
      </c>
      <c r="Q1690" s="70" t="s">
        <v>4631</v>
      </c>
      <c r="R1690" s="73">
        <v>1</v>
      </c>
      <c r="S1690" s="70" t="s">
        <v>68</v>
      </c>
      <c r="T1690" s="70" t="s">
        <v>53</v>
      </c>
      <c r="U1690" s="70" t="s">
        <v>54</v>
      </c>
      <c r="V1690" s="70" t="s">
        <v>55</v>
      </c>
      <c r="W1690" s="70"/>
      <c r="X1690" s="74">
        <v>45911</v>
      </c>
      <c r="Y1690" s="73">
        <v>53.7</v>
      </c>
      <c r="Z1690" s="73">
        <v>1</v>
      </c>
      <c r="AA1690" s="70"/>
      <c r="AB1690" s="70"/>
      <c r="AC1690" s="70"/>
      <c r="AD1690" s="70"/>
      <c r="AE1690" s="70"/>
      <c r="AF1690" s="73">
        <v>42.33</v>
      </c>
      <c r="AG1690" s="75">
        <v>138000000000000</v>
      </c>
      <c r="AK1690" s="76" t="e">
        <f t="shared" si="8"/>
        <v>#DIV/0!</v>
      </c>
      <c r="AM1690" s="38"/>
      <c r="AO1690" s="28"/>
    </row>
    <row r="1691" spans="1:41" ht="14.5">
      <c r="A1691" s="70" t="s">
        <v>6134</v>
      </c>
      <c r="B1691" s="71">
        <v>45897</v>
      </c>
      <c r="C1691" s="72">
        <v>45908</v>
      </c>
      <c r="D1691" s="70" t="s">
        <v>41</v>
      </c>
      <c r="E1691" s="70" t="s">
        <v>6135</v>
      </c>
      <c r="F1691" s="70"/>
      <c r="G1691" s="70" t="s">
        <v>43</v>
      </c>
      <c r="H1691" s="73">
        <v>9.86</v>
      </c>
      <c r="I1691" s="70" t="s">
        <v>44</v>
      </c>
      <c r="J1691" s="70" t="s">
        <v>45</v>
      </c>
      <c r="K1691" s="70" t="s">
        <v>6136</v>
      </c>
      <c r="L1691" s="70" t="s">
        <v>58</v>
      </c>
      <c r="M1691" s="70" t="s">
        <v>48</v>
      </c>
      <c r="N1691" s="70" t="s">
        <v>48</v>
      </c>
      <c r="O1691" s="70" t="s">
        <v>2635</v>
      </c>
      <c r="P1691" s="70" t="s">
        <v>2636</v>
      </c>
      <c r="Q1691" s="70" t="s">
        <v>2637</v>
      </c>
      <c r="R1691" s="73">
        <v>1</v>
      </c>
      <c r="S1691" s="70" t="s">
        <v>3878</v>
      </c>
      <c r="T1691" s="70" t="s">
        <v>53</v>
      </c>
      <c r="U1691" s="70" t="s">
        <v>54</v>
      </c>
      <c r="V1691" s="70" t="s">
        <v>240</v>
      </c>
      <c r="W1691" s="70"/>
      <c r="X1691" s="74">
        <v>45915</v>
      </c>
      <c r="Y1691" s="73">
        <v>149.69999999999999</v>
      </c>
      <c r="Z1691" s="73">
        <v>1</v>
      </c>
      <c r="AA1691" s="70"/>
      <c r="AB1691" s="70"/>
      <c r="AC1691" s="70"/>
      <c r="AD1691" s="70"/>
      <c r="AE1691" s="70"/>
      <c r="AF1691" s="73">
        <v>118.34</v>
      </c>
      <c r="AG1691" s="75">
        <v>138000000000000</v>
      </c>
      <c r="AK1691" s="76" t="e">
        <f t="shared" si="8"/>
        <v>#DIV/0!</v>
      </c>
      <c r="AM1691" s="38"/>
      <c r="AO1691" s="28"/>
    </row>
    <row r="1692" spans="1:41" ht="14.5">
      <c r="A1692" s="70" t="s">
        <v>6137</v>
      </c>
      <c r="B1692" s="71">
        <v>45898</v>
      </c>
      <c r="C1692" s="72">
        <v>45908</v>
      </c>
      <c r="D1692" s="70" t="s">
        <v>41</v>
      </c>
      <c r="E1692" s="70" t="s">
        <v>6138</v>
      </c>
      <c r="F1692" s="70"/>
      <c r="G1692" s="70" t="s">
        <v>43</v>
      </c>
      <c r="H1692" s="73">
        <v>7.49</v>
      </c>
      <c r="I1692" s="70" t="s">
        <v>44</v>
      </c>
      <c r="J1692" s="70" t="s">
        <v>45</v>
      </c>
      <c r="K1692" s="70" t="s">
        <v>6139</v>
      </c>
      <c r="L1692" s="70" t="s">
        <v>47</v>
      </c>
      <c r="M1692" s="70" t="s">
        <v>48</v>
      </c>
      <c r="N1692" s="70" t="s">
        <v>48</v>
      </c>
      <c r="O1692" s="70" t="s">
        <v>3244</v>
      </c>
      <c r="P1692" s="70" t="s">
        <v>3245</v>
      </c>
      <c r="Q1692" s="70" t="s">
        <v>3246</v>
      </c>
      <c r="R1692" s="73">
        <v>1</v>
      </c>
      <c r="S1692" s="70" t="s">
        <v>92</v>
      </c>
      <c r="T1692" s="70" t="s">
        <v>53</v>
      </c>
      <c r="U1692" s="70" t="s">
        <v>54</v>
      </c>
      <c r="V1692" s="70" t="s">
        <v>61</v>
      </c>
      <c r="W1692" s="70"/>
      <c r="X1692" s="74">
        <v>45930</v>
      </c>
      <c r="Y1692" s="73">
        <v>40.83</v>
      </c>
      <c r="Z1692" s="73">
        <v>1</v>
      </c>
      <c r="AA1692" s="70"/>
      <c r="AB1692" s="70"/>
      <c r="AC1692" s="70"/>
      <c r="AD1692" s="70"/>
      <c r="AE1692" s="70"/>
      <c r="AF1692" s="73">
        <v>40.83</v>
      </c>
      <c r="AG1692" s="75">
        <v>138000000000000</v>
      </c>
      <c r="AK1692" s="76" t="e">
        <f t="shared" si="8"/>
        <v>#DIV/0!</v>
      </c>
      <c r="AM1692" s="38"/>
      <c r="AO1692" s="57" t="s">
        <v>6140</v>
      </c>
    </row>
    <row r="1693" spans="1:41" ht="14.5">
      <c r="A1693" s="70" t="s">
        <v>6141</v>
      </c>
      <c r="B1693" s="71">
        <v>45902</v>
      </c>
      <c r="C1693" s="72">
        <v>45908</v>
      </c>
      <c r="D1693" s="70" t="s">
        <v>41</v>
      </c>
      <c r="E1693" s="70" t="s">
        <v>6142</v>
      </c>
      <c r="F1693" s="70"/>
      <c r="G1693" s="70" t="s">
        <v>43</v>
      </c>
      <c r="H1693" s="73">
        <v>10.92</v>
      </c>
      <c r="I1693" s="70" t="s">
        <v>44</v>
      </c>
      <c r="J1693" s="70" t="s">
        <v>45</v>
      </c>
      <c r="K1693" s="70" t="s">
        <v>6143</v>
      </c>
      <c r="L1693" s="70" t="s">
        <v>47</v>
      </c>
      <c r="M1693" s="70" t="s">
        <v>48</v>
      </c>
      <c r="N1693" s="70" t="s">
        <v>48</v>
      </c>
      <c r="O1693" s="70" t="s">
        <v>49</v>
      </c>
      <c r="P1693" s="70" t="s">
        <v>50</v>
      </c>
      <c r="Q1693" s="70" t="s">
        <v>51</v>
      </c>
      <c r="R1693" s="73">
        <v>1</v>
      </c>
      <c r="S1693" s="70" t="s">
        <v>1927</v>
      </c>
      <c r="T1693" s="70" t="s">
        <v>53</v>
      </c>
      <c r="U1693" s="70" t="s">
        <v>54</v>
      </c>
      <c r="V1693" s="70" t="s">
        <v>1928</v>
      </c>
      <c r="W1693" s="70"/>
      <c r="X1693" s="74">
        <v>45910</v>
      </c>
      <c r="Y1693" s="73">
        <v>95.41</v>
      </c>
      <c r="Z1693" s="70"/>
      <c r="AA1693" s="70"/>
      <c r="AB1693" s="70"/>
      <c r="AC1693" s="70"/>
      <c r="AD1693" s="70"/>
      <c r="AE1693" s="70"/>
      <c r="AF1693" s="70"/>
      <c r="AG1693" s="75">
        <v>138000000000000</v>
      </c>
      <c r="AK1693" s="76" t="e">
        <f t="shared" si="8"/>
        <v>#DIV/0!</v>
      </c>
      <c r="AM1693" s="38"/>
      <c r="AO1693" s="28"/>
    </row>
    <row r="1694" spans="1:41" ht="14.5">
      <c r="A1694" s="70" t="s">
        <v>6144</v>
      </c>
      <c r="B1694" s="71">
        <v>45902</v>
      </c>
      <c r="C1694" s="72">
        <v>45908</v>
      </c>
      <c r="D1694" s="70" t="s">
        <v>41</v>
      </c>
      <c r="E1694" s="70" t="s">
        <v>6145</v>
      </c>
      <c r="F1694" s="70"/>
      <c r="G1694" s="70" t="s">
        <v>43</v>
      </c>
      <c r="H1694" s="73">
        <v>5.78</v>
      </c>
      <c r="I1694" s="70" t="s">
        <v>44</v>
      </c>
      <c r="J1694" s="70" t="s">
        <v>45</v>
      </c>
      <c r="K1694" s="70" t="s">
        <v>6146</v>
      </c>
      <c r="L1694" s="70" t="s">
        <v>58</v>
      </c>
      <c r="M1694" s="70" t="s">
        <v>48</v>
      </c>
      <c r="N1694" s="70" t="s">
        <v>48</v>
      </c>
      <c r="O1694" s="70" t="s">
        <v>219</v>
      </c>
      <c r="P1694" s="70" t="s">
        <v>220</v>
      </c>
      <c r="Q1694" s="70" t="s">
        <v>221</v>
      </c>
      <c r="R1694" s="73">
        <v>1</v>
      </c>
      <c r="S1694" s="70" t="s">
        <v>68</v>
      </c>
      <c r="T1694" s="70" t="s">
        <v>53</v>
      </c>
      <c r="U1694" s="70" t="s">
        <v>54</v>
      </c>
      <c r="V1694" s="70" t="s">
        <v>55</v>
      </c>
      <c r="W1694" s="70"/>
      <c r="X1694" s="74">
        <v>45911</v>
      </c>
      <c r="Y1694" s="73">
        <v>81.99</v>
      </c>
      <c r="Z1694" s="73">
        <v>1</v>
      </c>
      <c r="AA1694" s="70"/>
      <c r="AB1694" s="70"/>
      <c r="AC1694" s="70"/>
      <c r="AD1694" s="70"/>
      <c r="AE1694" s="70"/>
      <c r="AF1694" s="73">
        <v>76.209999999999994</v>
      </c>
      <c r="AG1694" s="75">
        <v>138000000000000</v>
      </c>
      <c r="AK1694" s="76" t="e">
        <f t="shared" si="8"/>
        <v>#DIV/0!</v>
      </c>
      <c r="AM1694" s="38"/>
      <c r="AO1694" s="28"/>
    </row>
    <row r="1695" spans="1:41" ht="14.5">
      <c r="A1695" s="70" t="s">
        <v>6147</v>
      </c>
      <c r="B1695" s="71">
        <v>45902</v>
      </c>
      <c r="C1695" s="72">
        <v>45908</v>
      </c>
      <c r="D1695" s="70" t="s">
        <v>41</v>
      </c>
      <c r="E1695" s="70" t="s">
        <v>6148</v>
      </c>
      <c r="F1695" s="70"/>
      <c r="G1695" s="70" t="s">
        <v>43</v>
      </c>
      <c r="H1695" s="73">
        <v>11.37</v>
      </c>
      <c r="I1695" s="70" t="s">
        <v>44</v>
      </c>
      <c r="J1695" s="70" t="s">
        <v>45</v>
      </c>
      <c r="K1695" s="70" t="s">
        <v>6149</v>
      </c>
      <c r="L1695" s="70" t="s">
        <v>58</v>
      </c>
      <c r="M1695" s="70" t="s">
        <v>48</v>
      </c>
      <c r="N1695" s="70" t="s">
        <v>48</v>
      </c>
      <c r="O1695" s="70" t="s">
        <v>2230</v>
      </c>
      <c r="P1695" s="70" t="s">
        <v>2231</v>
      </c>
      <c r="Q1695" s="70" t="s">
        <v>4732</v>
      </c>
      <c r="R1695" s="73">
        <v>1</v>
      </c>
      <c r="S1695" s="70" t="s">
        <v>3878</v>
      </c>
      <c r="T1695" s="70" t="s">
        <v>53</v>
      </c>
      <c r="U1695" s="70" t="s">
        <v>54</v>
      </c>
      <c r="V1695" s="70" t="s">
        <v>55</v>
      </c>
      <c r="W1695" s="70"/>
      <c r="X1695" s="74">
        <v>45917</v>
      </c>
      <c r="Y1695" s="73">
        <v>84.62</v>
      </c>
      <c r="Z1695" s="73">
        <v>1</v>
      </c>
      <c r="AA1695" s="70"/>
      <c r="AB1695" s="70"/>
      <c r="AC1695" s="70"/>
      <c r="AD1695" s="70"/>
      <c r="AE1695" s="70"/>
      <c r="AF1695" s="73">
        <v>73.25</v>
      </c>
      <c r="AG1695" s="75">
        <v>138000000000000</v>
      </c>
      <c r="AK1695" s="76" t="e">
        <f t="shared" si="8"/>
        <v>#DIV/0!</v>
      </c>
      <c r="AM1695" s="38"/>
      <c r="AO1695" s="28"/>
    </row>
    <row r="1696" spans="1:41" ht="14.5">
      <c r="A1696" s="70" t="s">
        <v>6150</v>
      </c>
      <c r="B1696" s="71">
        <v>45890</v>
      </c>
      <c r="C1696" s="72">
        <v>45909</v>
      </c>
      <c r="D1696" s="70" t="s">
        <v>41</v>
      </c>
      <c r="E1696" s="70" t="s">
        <v>6151</v>
      </c>
      <c r="F1696" s="70"/>
      <c r="G1696" s="70" t="s">
        <v>43</v>
      </c>
      <c r="H1696" s="73">
        <v>7.67</v>
      </c>
      <c r="I1696" s="70" t="s">
        <v>44</v>
      </c>
      <c r="J1696" s="70" t="s">
        <v>45</v>
      </c>
      <c r="K1696" s="70" t="s">
        <v>6152</v>
      </c>
      <c r="L1696" s="70" t="s">
        <v>47</v>
      </c>
      <c r="M1696" s="70" t="s">
        <v>48</v>
      </c>
      <c r="N1696" s="70" t="s">
        <v>48</v>
      </c>
      <c r="O1696" s="70" t="s">
        <v>5154</v>
      </c>
      <c r="P1696" s="70" t="s">
        <v>5155</v>
      </c>
      <c r="Q1696" s="70" t="s">
        <v>5156</v>
      </c>
      <c r="R1696" s="73">
        <v>1</v>
      </c>
      <c r="S1696" s="70" t="s">
        <v>52</v>
      </c>
      <c r="T1696" s="70" t="s">
        <v>53</v>
      </c>
      <c r="U1696" s="70" t="s">
        <v>54</v>
      </c>
      <c r="V1696" s="70" t="s">
        <v>55</v>
      </c>
      <c r="W1696" s="70"/>
      <c r="X1696" s="74">
        <v>45932</v>
      </c>
      <c r="Y1696" s="73">
        <v>70.42</v>
      </c>
      <c r="Z1696" s="73">
        <v>1</v>
      </c>
      <c r="AA1696" s="70"/>
      <c r="AB1696" s="70"/>
      <c r="AC1696" s="70"/>
      <c r="AD1696" s="70"/>
      <c r="AE1696" s="70"/>
      <c r="AF1696" s="73">
        <v>70.42</v>
      </c>
      <c r="AG1696" s="75">
        <v>137000000000000</v>
      </c>
      <c r="AK1696" s="76" t="e">
        <f t="shared" si="8"/>
        <v>#DIV/0!</v>
      </c>
      <c r="AM1696" s="38"/>
      <c r="AO1696" s="57" t="s">
        <v>6153</v>
      </c>
    </row>
    <row r="1697" spans="1:43" ht="14.5">
      <c r="A1697" s="70" t="s">
        <v>6154</v>
      </c>
      <c r="B1697" s="71">
        <v>45898</v>
      </c>
      <c r="C1697" s="72">
        <v>45909</v>
      </c>
      <c r="D1697" s="70" t="s">
        <v>41</v>
      </c>
      <c r="E1697" s="70" t="s">
        <v>6155</v>
      </c>
      <c r="F1697" s="70"/>
      <c r="G1697" s="70" t="s">
        <v>43</v>
      </c>
      <c r="H1697" s="73">
        <v>11.78</v>
      </c>
      <c r="I1697" s="70" t="s">
        <v>44</v>
      </c>
      <c r="J1697" s="70" t="s">
        <v>45</v>
      </c>
      <c r="K1697" s="70" t="s">
        <v>6156</v>
      </c>
      <c r="L1697" s="70" t="s">
        <v>58</v>
      </c>
      <c r="M1697" s="70" t="s">
        <v>48</v>
      </c>
      <c r="N1697" s="70" t="s">
        <v>48</v>
      </c>
      <c r="O1697" s="70" t="s">
        <v>680</v>
      </c>
      <c r="P1697" s="70" t="s">
        <v>681</v>
      </c>
      <c r="Q1697" s="70" t="s">
        <v>5012</v>
      </c>
      <c r="R1697" s="73">
        <v>1</v>
      </c>
      <c r="S1697" s="70" t="s">
        <v>3868</v>
      </c>
      <c r="T1697" s="70" t="s">
        <v>53</v>
      </c>
      <c r="U1697" s="70" t="s">
        <v>54</v>
      </c>
      <c r="V1697" s="70" t="s">
        <v>55</v>
      </c>
      <c r="W1697" s="70"/>
      <c r="X1697" s="74">
        <v>45918</v>
      </c>
      <c r="Y1697" s="73">
        <v>69.86</v>
      </c>
      <c r="Z1697" s="73">
        <v>1</v>
      </c>
      <c r="AA1697" s="70"/>
      <c r="AB1697" s="70"/>
      <c r="AC1697" s="70"/>
      <c r="AD1697" s="70"/>
      <c r="AE1697" s="70"/>
      <c r="AF1697" s="73">
        <v>58.08</v>
      </c>
      <c r="AG1697" s="75">
        <v>138000000000000</v>
      </c>
      <c r="AK1697" s="76" t="e">
        <f t="shared" si="8"/>
        <v>#DIV/0!</v>
      </c>
      <c r="AM1697" s="38"/>
      <c r="AO1697" s="28"/>
    </row>
    <row r="1698" spans="1:43" ht="14.5">
      <c r="A1698" s="70" t="s">
        <v>6157</v>
      </c>
      <c r="B1698" s="71">
        <v>45904</v>
      </c>
      <c r="C1698" s="72">
        <v>45909</v>
      </c>
      <c r="D1698" s="70" t="s">
        <v>41</v>
      </c>
      <c r="E1698" s="70" t="s">
        <v>6158</v>
      </c>
      <c r="F1698" s="70"/>
      <c r="G1698" s="70" t="s">
        <v>43</v>
      </c>
      <c r="H1698" s="73">
        <v>14.37</v>
      </c>
      <c r="I1698" s="70" t="s">
        <v>44</v>
      </c>
      <c r="J1698" s="70" t="s">
        <v>45</v>
      </c>
      <c r="K1698" s="70" t="s">
        <v>6159</v>
      </c>
      <c r="L1698" s="70" t="s">
        <v>47</v>
      </c>
      <c r="M1698" s="70" t="s">
        <v>48</v>
      </c>
      <c r="N1698" s="70" t="s">
        <v>48</v>
      </c>
      <c r="O1698" s="70" t="s">
        <v>1943</v>
      </c>
      <c r="P1698" s="70" t="s">
        <v>1944</v>
      </c>
      <c r="Q1698" s="70" t="s">
        <v>6160</v>
      </c>
      <c r="R1698" s="73">
        <v>1</v>
      </c>
      <c r="S1698" s="70" t="s">
        <v>421</v>
      </c>
      <c r="T1698" s="70" t="s">
        <v>53</v>
      </c>
      <c r="U1698" s="70" t="s">
        <v>54</v>
      </c>
      <c r="V1698" s="70" t="s">
        <v>560</v>
      </c>
      <c r="W1698" s="70"/>
      <c r="X1698" s="74">
        <v>45916</v>
      </c>
      <c r="Y1698" s="73">
        <v>85.02</v>
      </c>
      <c r="Z1698" s="73">
        <v>1</v>
      </c>
      <c r="AA1698" s="70"/>
      <c r="AB1698" s="70"/>
      <c r="AC1698" s="70"/>
      <c r="AD1698" s="70"/>
      <c r="AE1698" s="70"/>
      <c r="AF1698" s="70"/>
      <c r="AG1698" s="75">
        <v>138000000000000</v>
      </c>
      <c r="AK1698" s="76" t="e">
        <f t="shared" si="8"/>
        <v>#DIV/0!</v>
      </c>
      <c r="AL1698" s="38" t="s">
        <v>6161</v>
      </c>
      <c r="AM1698" s="38" t="s">
        <v>1168</v>
      </c>
      <c r="AO1698" s="57" t="s">
        <v>6162</v>
      </c>
    </row>
    <row r="1699" spans="1:43" ht="14.5">
      <c r="A1699" s="70" t="s">
        <v>6163</v>
      </c>
      <c r="B1699" s="71">
        <v>45900</v>
      </c>
      <c r="C1699" s="72">
        <v>45909</v>
      </c>
      <c r="D1699" s="70" t="s">
        <v>41</v>
      </c>
      <c r="E1699" s="70" t="s">
        <v>6164</v>
      </c>
      <c r="F1699" s="70"/>
      <c r="G1699" s="70" t="s">
        <v>43</v>
      </c>
      <c r="H1699" s="73">
        <v>10.92</v>
      </c>
      <c r="I1699" s="70" t="s">
        <v>44</v>
      </c>
      <c r="J1699" s="70" t="s">
        <v>45</v>
      </c>
      <c r="K1699" s="70" t="s">
        <v>6165</v>
      </c>
      <c r="L1699" s="70" t="s">
        <v>58</v>
      </c>
      <c r="M1699" s="70" t="s">
        <v>48</v>
      </c>
      <c r="N1699" s="70" t="s">
        <v>48</v>
      </c>
      <c r="O1699" s="70" t="s">
        <v>1659</v>
      </c>
      <c r="P1699" s="70" t="s">
        <v>1660</v>
      </c>
      <c r="Q1699" s="70" t="s">
        <v>3533</v>
      </c>
      <c r="R1699" s="73">
        <v>1</v>
      </c>
      <c r="S1699" s="70" t="s">
        <v>3884</v>
      </c>
      <c r="T1699" s="70" t="s">
        <v>53</v>
      </c>
      <c r="U1699" s="70" t="s">
        <v>54</v>
      </c>
      <c r="V1699" s="70" t="s">
        <v>55</v>
      </c>
      <c r="W1699" s="70"/>
      <c r="X1699" s="74">
        <v>45915</v>
      </c>
      <c r="Y1699" s="73">
        <v>68.8</v>
      </c>
      <c r="Z1699" s="73">
        <v>1</v>
      </c>
      <c r="AA1699" s="70"/>
      <c r="AB1699" s="70"/>
      <c r="AC1699" s="70"/>
      <c r="AD1699" s="70"/>
      <c r="AE1699" s="70"/>
      <c r="AF1699" s="73">
        <v>57.88</v>
      </c>
      <c r="AG1699" s="75">
        <v>138000000000000</v>
      </c>
      <c r="AK1699" s="76" t="e">
        <f t="shared" si="8"/>
        <v>#DIV/0!</v>
      </c>
      <c r="AM1699" s="38"/>
      <c r="AO1699" s="28"/>
    </row>
    <row r="1700" spans="1:43" ht="14.5">
      <c r="A1700" s="70" t="s">
        <v>6166</v>
      </c>
      <c r="B1700" s="71">
        <v>45885</v>
      </c>
      <c r="C1700" s="72">
        <v>45909</v>
      </c>
      <c r="D1700" s="70" t="s">
        <v>41</v>
      </c>
      <c r="E1700" s="70" t="s">
        <v>6167</v>
      </c>
      <c r="F1700" s="70"/>
      <c r="G1700" s="70" t="s">
        <v>43</v>
      </c>
      <c r="H1700" s="73">
        <v>17.87</v>
      </c>
      <c r="I1700" s="70" t="s">
        <v>44</v>
      </c>
      <c r="J1700" s="70" t="s">
        <v>45</v>
      </c>
      <c r="K1700" s="70" t="s">
        <v>6168</v>
      </c>
      <c r="L1700" s="70" t="s">
        <v>58</v>
      </c>
      <c r="M1700" s="70" t="s">
        <v>48</v>
      </c>
      <c r="N1700" s="70" t="s">
        <v>48</v>
      </c>
      <c r="O1700" s="70" t="s">
        <v>2617</v>
      </c>
      <c r="P1700" s="70" t="s">
        <v>2618</v>
      </c>
      <c r="Q1700" s="70" t="s">
        <v>5852</v>
      </c>
      <c r="R1700" s="73">
        <v>1</v>
      </c>
      <c r="S1700" s="70" t="s">
        <v>3868</v>
      </c>
      <c r="T1700" s="70" t="s">
        <v>53</v>
      </c>
      <c r="U1700" s="70" t="s">
        <v>54</v>
      </c>
      <c r="V1700" s="70" t="s">
        <v>61</v>
      </c>
      <c r="W1700" s="70"/>
      <c r="X1700" s="70"/>
      <c r="Y1700" s="73">
        <v>102.44</v>
      </c>
      <c r="Z1700" s="73">
        <v>1</v>
      </c>
      <c r="AA1700" s="70"/>
      <c r="AB1700" s="70"/>
      <c r="AC1700" s="70"/>
      <c r="AD1700" s="70"/>
      <c r="AE1700" s="70"/>
      <c r="AF1700" s="70"/>
      <c r="AG1700" s="75">
        <v>137000000000000</v>
      </c>
      <c r="AK1700" s="76" t="e">
        <f t="shared" si="8"/>
        <v>#DIV/0!</v>
      </c>
      <c r="AM1700" s="38"/>
      <c r="AO1700" s="28"/>
    </row>
    <row r="1701" spans="1:43" ht="14.5">
      <c r="A1701" s="70" t="s">
        <v>6169</v>
      </c>
      <c r="B1701" s="71">
        <v>45890</v>
      </c>
      <c r="C1701" s="72">
        <v>45909</v>
      </c>
      <c r="D1701" s="70" t="s">
        <v>41</v>
      </c>
      <c r="E1701" s="70" t="s">
        <v>6170</v>
      </c>
      <c r="F1701" s="70"/>
      <c r="G1701" s="70" t="s">
        <v>43</v>
      </c>
      <c r="H1701" s="73">
        <v>17.87</v>
      </c>
      <c r="I1701" s="70" t="s">
        <v>44</v>
      </c>
      <c r="J1701" s="70" t="s">
        <v>45</v>
      </c>
      <c r="K1701" s="70" t="s">
        <v>6171</v>
      </c>
      <c r="L1701" s="70" t="s">
        <v>58</v>
      </c>
      <c r="M1701" s="70" t="s">
        <v>48</v>
      </c>
      <c r="N1701" s="70" t="s">
        <v>48</v>
      </c>
      <c r="O1701" s="70" t="s">
        <v>431</v>
      </c>
      <c r="P1701" s="70" t="s">
        <v>6172</v>
      </c>
      <c r="Q1701" s="70" t="s">
        <v>2242</v>
      </c>
      <c r="R1701" s="73">
        <v>1</v>
      </c>
      <c r="S1701" s="70" t="s">
        <v>3878</v>
      </c>
      <c r="T1701" s="70" t="s">
        <v>53</v>
      </c>
      <c r="U1701" s="70" t="s">
        <v>54</v>
      </c>
      <c r="V1701" s="70" t="s">
        <v>55</v>
      </c>
      <c r="W1701" s="70"/>
      <c r="X1701" s="74">
        <v>45933</v>
      </c>
      <c r="Y1701" s="73">
        <v>114.03</v>
      </c>
      <c r="Z1701" s="73">
        <v>1</v>
      </c>
      <c r="AA1701" s="70"/>
      <c r="AB1701" s="70"/>
      <c r="AC1701" s="70"/>
      <c r="AD1701" s="70"/>
      <c r="AE1701" s="70"/>
      <c r="AF1701" s="73">
        <v>106.16</v>
      </c>
      <c r="AG1701" s="75">
        <v>137000000000000</v>
      </c>
      <c r="AK1701" s="76" t="e">
        <f t="shared" si="8"/>
        <v>#DIV/0!</v>
      </c>
      <c r="AM1701" s="38"/>
      <c r="AO1701" s="28"/>
    </row>
    <row r="1702" spans="1:43" ht="35.5">
      <c r="A1702" s="70" t="s">
        <v>6173</v>
      </c>
      <c r="B1702" s="71">
        <v>45897</v>
      </c>
      <c r="C1702" s="72">
        <v>45909</v>
      </c>
      <c r="D1702" s="70" t="s">
        <v>41</v>
      </c>
      <c r="E1702" s="70" t="s">
        <v>6174</v>
      </c>
      <c r="F1702" s="70"/>
      <c r="G1702" s="70" t="s">
        <v>43</v>
      </c>
      <c r="H1702" s="73">
        <v>16.850000000000001</v>
      </c>
      <c r="I1702" s="70" t="s">
        <v>44</v>
      </c>
      <c r="J1702" s="70" t="s">
        <v>45</v>
      </c>
      <c r="K1702" s="70" t="s">
        <v>6175</v>
      </c>
      <c r="L1702" s="70" t="s">
        <v>47</v>
      </c>
      <c r="M1702" s="70" t="s">
        <v>48</v>
      </c>
      <c r="N1702" s="70" t="s">
        <v>48</v>
      </c>
      <c r="O1702" s="70" t="s">
        <v>3552</v>
      </c>
      <c r="P1702" s="70" t="s">
        <v>3553</v>
      </c>
      <c r="Q1702" s="70" t="s">
        <v>3554</v>
      </c>
      <c r="R1702" s="73">
        <v>1</v>
      </c>
      <c r="S1702" s="70" t="s">
        <v>52</v>
      </c>
      <c r="T1702" s="70" t="s">
        <v>53</v>
      </c>
      <c r="U1702" s="70" t="s">
        <v>54</v>
      </c>
      <c r="V1702" s="70" t="s">
        <v>61</v>
      </c>
      <c r="W1702" s="70"/>
      <c r="X1702" s="74">
        <v>45922</v>
      </c>
      <c r="Y1702" s="73">
        <v>148.66</v>
      </c>
      <c r="Z1702" s="73">
        <v>1</v>
      </c>
      <c r="AA1702" s="70"/>
      <c r="AB1702" s="70"/>
      <c r="AC1702" s="70"/>
      <c r="AD1702" s="70"/>
      <c r="AE1702" s="70"/>
      <c r="AF1702" s="73">
        <v>116.61</v>
      </c>
      <c r="AG1702" s="75">
        <v>138000000000000</v>
      </c>
      <c r="AK1702" s="76" t="e">
        <f t="shared" si="8"/>
        <v>#DIV/0!</v>
      </c>
      <c r="AM1702" s="38" t="s">
        <v>561</v>
      </c>
      <c r="AO1702" s="78" t="s">
        <v>6176</v>
      </c>
    </row>
    <row r="1703" spans="1:43" ht="81.5">
      <c r="A1703" s="70" t="s">
        <v>6177</v>
      </c>
      <c r="B1703" s="71">
        <v>45907</v>
      </c>
      <c r="C1703" s="72">
        <v>45910</v>
      </c>
      <c r="D1703" s="70" t="s">
        <v>41</v>
      </c>
      <c r="E1703" s="70" t="s">
        <v>6178</v>
      </c>
      <c r="F1703" s="70"/>
      <c r="G1703" s="70" t="s">
        <v>43</v>
      </c>
      <c r="H1703" s="73">
        <v>11.37</v>
      </c>
      <c r="I1703" s="70" t="s">
        <v>44</v>
      </c>
      <c r="J1703" s="70" t="s">
        <v>45</v>
      </c>
      <c r="K1703" s="70" t="s">
        <v>6179</v>
      </c>
      <c r="L1703" s="70" t="s">
        <v>47</v>
      </c>
      <c r="M1703" s="70" t="s">
        <v>48</v>
      </c>
      <c r="N1703" s="70" t="s">
        <v>48</v>
      </c>
      <c r="O1703" s="70" t="s">
        <v>160</v>
      </c>
      <c r="P1703" s="70" t="s">
        <v>161</v>
      </c>
      <c r="Q1703" s="70" t="s">
        <v>4426</v>
      </c>
      <c r="R1703" s="73">
        <v>1</v>
      </c>
      <c r="S1703" s="70" t="s">
        <v>92</v>
      </c>
      <c r="T1703" s="70" t="s">
        <v>53</v>
      </c>
      <c r="U1703" s="70" t="s">
        <v>54</v>
      </c>
      <c r="V1703" s="70" t="s">
        <v>61</v>
      </c>
      <c r="W1703" s="70"/>
      <c r="X1703" s="74">
        <v>45916</v>
      </c>
      <c r="Y1703" s="70"/>
      <c r="Z1703" s="73">
        <v>1</v>
      </c>
      <c r="AA1703" s="70"/>
      <c r="AB1703" s="70"/>
      <c r="AC1703" s="70"/>
      <c r="AD1703" s="70"/>
      <c r="AE1703" s="70"/>
      <c r="AF1703" s="70"/>
      <c r="AG1703" s="75">
        <v>139000000000000</v>
      </c>
      <c r="AK1703" s="76" t="e">
        <f t="shared" si="8"/>
        <v>#DIV/0!</v>
      </c>
      <c r="AM1703" s="38" t="s">
        <v>561</v>
      </c>
      <c r="AO1703" s="79" t="s">
        <v>6180</v>
      </c>
    </row>
    <row r="1704" spans="1:43" ht="14.5">
      <c r="A1704" s="80" t="s">
        <v>6181</v>
      </c>
      <c r="B1704" s="71">
        <v>45907</v>
      </c>
      <c r="C1704" s="72">
        <v>45910</v>
      </c>
      <c r="D1704" s="70" t="s">
        <v>41</v>
      </c>
      <c r="E1704" s="70" t="s">
        <v>6182</v>
      </c>
      <c r="F1704" s="70"/>
      <c r="G1704" s="70" t="s">
        <v>43</v>
      </c>
      <c r="H1704" s="81">
        <v>25.37</v>
      </c>
      <c r="I1704" s="70" t="s">
        <v>44</v>
      </c>
      <c r="J1704" s="70" t="s">
        <v>45</v>
      </c>
      <c r="K1704" s="70" t="s">
        <v>6183</v>
      </c>
      <c r="L1704" s="70" t="s">
        <v>58</v>
      </c>
      <c r="M1704" s="70" t="s">
        <v>48</v>
      </c>
      <c r="N1704" s="70" t="s">
        <v>48</v>
      </c>
      <c r="O1704" s="70" t="s">
        <v>5489</v>
      </c>
      <c r="P1704" s="70" t="s">
        <v>5490</v>
      </c>
      <c r="Q1704" s="70" t="s">
        <v>5491</v>
      </c>
      <c r="R1704" s="73">
        <v>1</v>
      </c>
      <c r="S1704" s="70" t="s">
        <v>3884</v>
      </c>
      <c r="T1704" s="70" t="s">
        <v>53</v>
      </c>
      <c r="U1704" s="70" t="s">
        <v>54</v>
      </c>
      <c r="V1704" s="70" t="s">
        <v>55</v>
      </c>
      <c r="W1704" s="70"/>
      <c r="X1704" s="74">
        <v>45916</v>
      </c>
      <c r="Y1704" s="73">
        <v>101.06</v>
      </c>
      <c r="Z1704" s="73">
        <v>1</v>
      </c>
      <c r="AA1704" s="70"/>
      <c r="AB1704" s="70"/>
      <c r="AC1704" s="70"/>
      <c r="AD1704" s="70"/>
      <c r="AE1704" s="70"/>
      <c r="AF1704" s="73">
        <v>75.69</v>
      </c>
      <c r="AG1704" s="75">
        <v>139000000000000</v>
      </c>
      <c r="AK1704" s="76" t="e">
        <f t="shared" si="8"/>
        <v>#DIV/0!</v>
      </c>
      <c r="AM1704" s="38" t="s">
        <v>561</v>
      </c>
      <c r="AO1704" s="28"/>
      <c r="AP1704" s="82" t="s">
        <v>6184</v>
      </c>
      <c r="AQ1704" s="38" t="s">
        <v>6185</v>
      </c>
    </row>
    <row r="1705" spans="1:43" ht="14.5">
      <c r="A1705" s="70" t="s">
        <v>6186</v>
      </c>
      <c r="B1705" s="71">
        <v>45904</v>
      </c>
      <c r="C1705" s="72">
        <v>45910</v>
      </c>
      <c r="D1705" s="70" t="s">
        <v>41</v>
      </c>
      <c r="E1705" s="70" t="s">
        <v>6187</v>
      </c>
      <c r="F1705" s="70"/>
      <c r="G1705" s="70" t="s">
        <v>137</v>
      </c>
      <c r="H1705" s="73">
        <v>0</v>
      </c>
      <c r="I1705" s="70"/>
      <c r="J1705" s="70"/>
      <c r="K1705" s="70"/>
      <c r="L1705" s="70" t="s">
        <v>58</v>
      </c>
      <c r="M1705" s="70" t="s">
        <v>48</v>
      </c>
      <c r="N1705" s="70" t="s">
        <v>48</v>
      </c>
      <c r="O1705" s="70" t="s">
        <v>2271</v>
      </c>
      <c r="P1705" s="70" t="s">
        <v>2272</v>
      </c>
      <c r="Q1705" s="70" t="s">
        <v>2273</v>
      </c>
      <c r="R1705" s="73">
        <v>1</v>
      </c>
      <c r="S1705" s="70" t="s">
        <v>3868</v>
      </c>
      <c r="T1705" s="70" t="s">
        <v>53</v>
      </c>
      <c r="U1705" s="70" t="s">
        <v>54</v>
      </c>
      <c r="V1705" s="70" t="s">
        <v>61</v>
      </c>
      <c r="W1705" s="70"/>
      <c r="X1705" s="70"/>
      <c r="Y1705" s="73">
        <v>156.47</v>
      </c>
      <c r="Z1705" s="73">
        <v>1</v>
      </c>
      <c r="AA1705" s="70"/>
      <c r="AB1705" s="70"/>
      <c r="AC1705" s="70"/>
      <c r="AD1705" s="70"/>
      <c r="AE1705" s="70"/>
      <c r="AF1705" s="70"/>
      <c r="AG1705" s="75">
        <v>138000000000000</v>
      </c>
      <c r="AK1705" s="76" t="e">
        <f t="shared" si="8"/>
        <v>#DIV/0!</v>
      </c>
      <c r="AM1705" s="38"/>
      <c r="AO1705" s="28"/>
    </row>
    <row r="1706" spans="1:43" ht="93">
      <c r="A1706" s="70" t="s">
        <v>6188</v>
      </c>
      <c r="B1706" s="71">
        <v>45892</v>
      </c>
      <c r="C1706" s="72">
        <v>45910</v>
      </c>
      <c r="D1706" s="70" t="s">
        <v>41</v>
      </c>
      <c r="E1706" s="70" t="s">
        <v>6189</v>
      </c>
      <c r="F1706" s="70"/>
      <c r="G1706" s="70" t="s">
        <v>43</v>
      </c>
      <c r="H1706" s="73">
        <v>20.6</v>
      </c>
      <c r="I1706" s="70" t="s">
        <v>44</v>
      </c>
      <c r="J1706" s="70" t="s">
        <v>45</v>
      </c>
      <c r="K1706" s="70" t="s">
        <v>6190</v>
      </c>
      <c r="L1706" s="70" t="s">
        <v>47</v>
      </c>
      <c r="M1706" s="70" t="s">
        <v>48</v>
      </c>
      <c r="N1706" s="70" t="s">
        <v>48</v>
      </c>
      <c r="O1706" s="70" t="s">
        <v>1497</v>
      </c>
      <c r="P1706" s="70" t="s">
        <v>1498</v>
      </c>
      <c r="Q1706" s="70" t="s">
        <v>2013</v>
      </c>
      <c r="R1706" s="73">
        <v>1</v>
      </c>
      <c r="S1706" s="70" t="s">
        <v>92</v>
      </c>
      <c r="T1706" s="70" t="s">
        <v>53</v>
      </c>
      <c r="U1706" s="70" t="s">
        <v>54</v>
      </c>
      <c r="V1706" s="70" t="s">
        <v>560</v>
      </c>
      <c r="W1706" s="70"/>
      <c r="X1706" s="74">
        <v>45924</v>
      </c>
      <c r="Y1706" s="73">
        <v>96.23</v>
      </c>
      <c r="Z1706" s="73">
        <v>1</v>
      </c>
      <c r="AA1706" s="70"/>
      <c r="AB1706" s="70"/>
      <c r="AC1706" s="70"/>
      <c r="AD1706" s="70"/>
      <c r="AE1706" s="70"/>
      <c r="AF1706" s="70"/>
      <c r="AG1706" s="75">
        <v>137000000000000</v>
      </c>
      <c r="AK1706" s="76" t="e">
        <f t="shared" si="8"/>
        <v>#DIV/0!</v>
      </c>
      <c r="AL1706" s="38" t="s">
        <v>6191</v>
      </c>
      <c r="AM1706" s="38" t="s">
        <v>1168</v>
      </c>
      <c r="AO1706" s="78" t="s">
        <v>6192</v>
      </c>
    </row>
    <row r="1707" spans="1:43" ht="14.5">
      <c r="A1707" s="70" t="s">
        <v>6193</v>
      </c>
      <c r="B1707" s="71">
        <v>45898</v>
      </c>
      <c r="C1707" s="72">
        <v>45910</v>
      </c>
      <c r="D1707" s="70" t="s">
        <v>41</v>
      </c>
      <c r="E1707" s="70" t="s">
        <v>6194</v>
      </c>
      <c r="F1707" s="70"/>
      <c r="G1707" s="70" t="s">
        <v>43</v>
      </c>
      <c r="H1707" s="73">
        <v>10.63</v>
      </c>
      <c r="I1707" s="70" t="s">
        <v>44</v>
      </c>
      <c r="J1707" s="70" t="s">
        <v>45</v>
      </c>
      <c r="K1707" s="70" t="s">
        <v>6195</v>
      </c>
      <c r="L1707" s="70" t="s">
        <v>58</v>
      </c>
      <c r="M1707" s="70" t="s">
        <v>48</v>
      </c>
      <c r="N1707" s="70" t="s">
        <v>48</v>
      </c>
      <c r="O1707" s="70" t="s">
        <v>498</v>
      </c>
      <c r="P1707" s="70" t="s">
        <v>499</v>
      </c>
      <c r="Q1707" s="70" t="s">
        <v>500</v>
      </c>
      <c r="R1707" s="73">
        <v>1</v>
      </c>
      <c r="S1707" s="70" t="s">
        <v>68</v>
      </c>
      <c r="T1707" s="70" t="s">
        <v>53</v>
      </c>
      <c r="U1707" s="70" t="s">
        <v>54</v>
      </c>
      <c r="V1707" s="70" t="s">
        <v>240</v>
      </c>
      <c r="W1707" s="70"/>
      <c r="X1707" s="74">
        <v>45911</v>
      </c>
      <c r="Y1707" s="73">
        <v>126.54</v>
      </c>
      <c r="Z1707" s="73">
        <v>1</v>
      </c>
      <c r="AA1707" s="70"/>
      <c r="AB1707" s="70"/>
      <c r="AC1707" s="70"/>
      <c r="AD1707" s="70"/>
      <c r="AE1707" s="70"/>
      <c r="AF1707" s="73">
        <v>99.73</v>
      </c>
      <c r="AG1707" s="75">
        <v>138000000000000</v>
      </c>
      <c r="AK1707" s="76" t="e">
        <f t="shared" si="8"/>
        <v>#DIV/0!</v>
      </c>
      <c r="AM1707" s="38"/>
      <c r="AO1707" s="28"/>
    </row>
    <row r="1708" spans="1:43" ht="14.5">
      <c r="A1708" s="70" t="s">
        <v>6196</v>
      </c>
      <c r="B1708" s="71">
        <v>45895</v>
      </c>
      <c r="C1708" s="72">
        <v>45910</v>
      </c>
      <c r="D1708" s="70" t="s">
        <v>41</v>
      </c>
      <c r="E1708" s="70" t="s">
        <v>6197</v>
      </c>
      <c r="F1708" s="70"/>
      <c r="G1708" s="70" t="s">
        <v>43</v>
      </c>
      <c r="H1708" s="73">
        <v>10.63</v>
      </c>
      <c r="I1708" s="70" t="s">
        <v>44</v>
      </c>
      <c r="J1708" s="70" t="s">
        <v>45</v>
      </c>
      <c r="K1708" s="70" t="s">
        <v>6198</v>
      </c>
      <c r="L1708" s="70" t="s">
        <v>58</v>
      </c>
      <c r="M1708" s="70" t="s">
        <v>48</v>
      </c>
      <c r="N1708" s="70" t="s">
        <v>48</v>
      </c>
      <c r="O1708" s="70" t="s">
        <v>2181</v>
      </c>
      <c r="P1708" s="70" t="s">
        <v>2182</v>
      </c>
      <c r="Q1708" s="70" t="s">
        <v>6199</v>
      </c>
      <c r="R1708" s="73">
        <v>1</v>
      </c>
      <c r="S1708" s="70" t="s">
        <v>68</v>
      </c>
      <c r="T1708" s="70" t="s">
        <v>53</v>
      </c>
      <c r="U1708" s="70" t="s">
        <v>54</v>
      </c>
      <c r="V1708" s="70" t="s">
        <v>55</v>
      </c>
      <c r="W1708" s="70"/>
      <c r="X1708" s="74">
        <v>45915</v>
      </c>
      <c r="Y1708" s="73">
        <v>47.74</v>
      </c>
      <c r="Z1708" s="73">
        <v>1</v>
      </c>
      <c r="AA1708" s="70"/>
      <c r="AB1708" s="70"/>
      <c r="AC1708" s="70"/>
      <c r="AD1708" s="70"/>
      <c r="AE1708" s="70"/>
      <c r="AF1708" s="73">
        <v>37.11</v>
      </c>
      <c r="AG1708" s="75">
        <v>138000000000000</v>
      </c>
      <c r="AK1708" s="76" t="e">
        <f t="shared" si="8"/>
        <v>#DIV/0!</v>
      </c>
      <c r="AM1708" s="38"/>
      <c r="AO1708" s="28"/>
    </row>
    <row r="1709" spans="1:43" ht="14.5">
      <c r="A1709" s="70" t="s">
        <v>6200</v>
      </c>
      <c r="B1709" s="71">
        <v>45904</v>
      </c>
      <c r="C1709" s="72">
        <v>45910</v>
      </c>
      <c r="D1709" s="70" t="s">
        <v>41</v>
      </c>
      <c r="E1709" s="70" t="s">
        <v>6201</v>
      </c>
      <c r="F1709" s="70"/>
      <c r="G1709" s="70" t="s">
        <v>43</v>
      </c>
      <c r="H1709" s="73">
        <v>16.850000000000001</v>
      </c>
      <c r="I1709" s="70" t="s">
        <v>44</v>
      </c>
      <c r="J1709" s="70" t="s">
        <v>45</v>
      </c>
      <c r="K1709" s="70" t="s">
        <v>6202</v>
      </c>
      <c r="L1709" s="70" t="s">
        <v>58</v>
      </c>
      <c r="M1709" s="70" t="s">
        <v>48</v>
      </c>
      <c r="N1709" s="70" t="s">
        <v>48</v>
      </c>
      <c r="O1709" s="70" t="s">
        <v>6203</v>
      </c>
      <c r="P1709" s="70" t="s">
        <v>6204</v>
      </c>
      <c r="Q1709" s="70" t="s">
        <v>6205</v>
      </c>
      <c r="R1709" s="73">
        <v>1</v>
      </c>
      <c r="S1709" s="70" t="s">
        <v>75</v>
      </c>
      <c r="T1709" s="70" t="s">
        <v>53</v>
      </c>
      <c r="U1709" s="70" t="s">
        <v>54</v>
      </c>
      <c r="V1709" s="70" t="s">
        <v>55</v>
      </c>
      <c r="W1709" s="70"/>
      <c r="X1709" s="74">
        <v>45915</v>
      </c>
      <c r="Y1709" s="73">
        <v>109.8</v>
      </c>
      <c r="Z1709" s="73">
        <v>1</v>
      </c>
      <c r="AA1709" s="70"/>
      <c r="AB1709" s="70"/>
      <c r="AC1709" s="70"/>
      <c r="AD1709" s="70"/>
      <c r="AE1709" s="70"/>
      <c r="AF1709" s="73">
        <v>92.95</v>
      </c>
      <c r="AG1709" s="75">
        <v>138000000000000</v>
      </c>
      <c r="AK1709" s="76" t="e">
        <f t="shared" si="8"/>
        <v>#DIV/0!</v>
      </c>
      <c r="AM1709" s="38"/>
      <c r="AO1709" s="28"/>
    </row>
    <row r="1710" spans="1:43" ht="14.5">
      <c r="A1710" s="70" t="s">
        <v>6206</v>
      </c>
      <c r="B1710" s="71">
        <v>45905</v>
      </c>
      <c r="C1710" s="72">
        <v>45910</v>
      </c>
      <c r="D1710" s="70" t="s">
        <v>41</v>
      </c>
      <c r="E1710" s="70" t="s">
        <v>6207</v>
      </c>
      <c r="F1710" s="70"/>
      <c r="G1710" s="70" t="s">
        <v>43</v>
      </c>
      <c r="H1710" s="73">
        <v>15.32</v>
      </c>
      <c r="I1710" s="70" t="s">
        <v>44</v>
      </c>
      <c r="J1710" s="70" t="s">
        <v>45</v>
      </c>
      <c r="K1710" s="70" t="s">
        <v>6208</v>
      </c>
      <c r="L1710" s="70" t="s">
        <v>58</v>
      </c>
      <c r="M1710" s="70" t="s">
        <v>48</v>
      </c>
      <c r="N1710" s="70" t="s">
        <v>48</v>
      </c>
      <c r="O1710" s="70" t="s">
        <v>1891</v>
      </c>
      <c r="P1710" s="70" t="s">
        <v>1892</v>
      </c>
      <c r="Q1710" s="70" t="s">
        <v>1893</v>
      </c>
      <c r="R1710" s="73">
        <v>1</v>
      </c>
      <c r="S1710" s="70" t="s">
        <v>3878</v>
      </c>
      <c r="T1710" s="70" t="s">
        <v>53</v>
      </c>
      <c r="U1710" s="70" t="s">
        <v>54</v>
      </c>
      <c r="V1710" s="70" t="s">
        <v>55</v>
      </c>
      <c r="W1710" s="70"/>
      <c r="X1710" s="74">
        <v>45916</v>
      </c>
      <c r="Y1710" s="73">
        <v>93.79</v>
      </c>
      <c r="Z1710" s="73">
        <v>1</v>
      </c>
      <c r="AA1710" s="70"/>
      <c r="AB1710" s="70"/>
      <c r="AC1710" s="70"/>
      <c r="AD1710" s="70"/>
      <c r="AE1710" s="70"/>
      <c r="AF1710" s="73">
        <v>77.63</v>
      </c>
      <c r="AG1710" s="75">
        <v>138000000000000</v>
      </c>
      <c r="AK1710" s="76" t="e">
        <f t="shared" si="8"/>
        <v>#DIV/0!</v>
      </c>
      <c r="AM1710" s="38"/>
      <c r="AO1710" s="28"/>
    </row>
    <row r="1711" spans="1:43" ht="14.5">
      <c r="A1711" s="70" t="s">
        <v>6209</v>
      </c>
      <c r="B1711" s="71">
        <v>45905</v>
      </c>
      <c r="C1711" s="72">
        <v>45910</v>
      </c>
      <c r="D1711" s="70" t="s">
        <v>41</v>
      </c>
      <c r="E1711" s="70" t="s">
        <v>6210</v>
      </c>
      <c r="F1711" s="70"/>
      <c r="G1711" s="70" t="s">
        <v>43</v>
      </c>
      <c r="H1711" s="73">
        <v>17.22</v>
      </c>
      <c r="I1711" s="70" t="s">
        <v>44</v>
      </c>
      <c r="J1711" s="70" t="s">
        <v>45</v>
      </c>
      <c r="K1711" s="70" t="s">
        <v>6211</v>
      </c>
      <c r="L1711" s="70" t="s">
        <v>47</v>
      </c>
      <c r="M1711" s="70" t="s">
        <v>48</v>
      </c>
      <c r="N1711" s="70" t="s">
        <v>48</v>
      </c>
      <c r="O1711" s="70" t="s">
        <v>4602</v>
      </c>
      <c r="P1711" s="70" t="s">
        <v>4603</v>
      </c>
      <c r="Q1711" s="70" t="s">
        <v>4604</v>
      </c>
      <c r="R1711" s="73">
        <v>1</v>
      </c>
      <c r="S1711" s="70" t="s">
        <v>99</v>
      </c>
      <c r="T1711" s="70" t="s">
        <v>53</v>
      </c>
      <c r="U1711" s="70" t="s">
        <v>54</v>
      </c>
      <c r="V1711" s="70" t="s">
        <v>240</v>
      </c>
      <c r="W1711" s="70"/>
      <c r="X1711" s="74">
        <v>45917</v>
      </c>
      <c r="Y1711" s="73">
        <v>127.29</v>
      </c>
      <c r="Z1711" s="73">
        <v>1</v>
      </c>
      <c r="AA1711" s="70"/>
      <c r="AB1711" s="70"/>
      <c r="AC1711" s="70"/>
      <c r="AD1711" s="70"/>
      <c r="AE1711" s="70"/>
      <c r="AF1711" s="73">
        <v>127.29</v>
      </c>
      <c r="AG1711" s="75">
        <v>138000000000000</v>
      </c>
      <c r="AK1711" s="76" t="e">
        <f t="shared" si="8"/>
        <v>#DIV/0!</v>
      </c>
      <c r="AM1711" s="38"/>
      <c r="AO1711" s="28"/>
    </row>
    <row r="1712" spans="1:43" ht="14.5">
      <c r="A1712" s="70" t="s">
        <v>6212</v>
      </c>
      <c r="B1712" s="71">
        <v>45905</v>
      </c>
      <c r="C1712" s="72">
        <v>45911</v>
      </c>
      <c r="D1712" s="70" t="s">
        <v>41</v>
      </c>
      <c r="E1712" s="70" t="s">
        <v>6213</v>
      </c>
      <c r="F1712" s="70"/>
      <c r="G1712" s="70" t="s">
        <v>43</v>
      </c>
      <c r="H1712" s="73">
        <v>11.37</v>
      </c>
      <c r="I1712" s="70" t="s">
        <v>44</v>
      </c>
      <c r="J1712" s="70" t="s">
        <v>45</v>
      </c>
      <c r="K1712" s="70" t="s">
        <v>6214</v>
      </c>
      <c r="L1712" s="70" t="s">
        <v>47</v>
      </c>
      <c r="M1712" s="70" t="s">
        <v>48</v>
      </c>
      <c r="N1712" s="70" t="s">
        <v>48</v>
      </c>
      <c r="O1712" s="70" t="s">
        <v>204</v>
      </c>
      <c r="P1712" s="70" t="s">
        <v>205</v>
      </c>
      <c r="Q1712" s="70" t="s">
        <v>6215</v>
      </c>
      <c r="R1712" s="73">
        <v>1</v>
      </c>
      <c r="S1712" s="70" t="s">
        <v>92</v>
      </c>
      <c r="T1712" s="70" t="s">
        <v>53</v>
      </c>
      <c r="U1712" s="70" t="s">
        <v>54</v>
      </c>
      <c r="V1712" s="70" t="s">
        <v>560</v>
      </c>
      <c r="W1712" s="70"/>
      <c r="X1712" s="74">
        <v>45918</v>
      </c>
      <c r="Y1712" s="73">
        <v>70.77</v>
      </c>
      <c r="Z1712" s="73">
        <v>1</v>
      </c>
      <c r="AA1712" s="70"/>
      <c r="AB1712" s="70"/>
      <c r="AC1712" s="70"/>
      <c r="AD1712" s="70"/>
      <c r="AE1712" s="70"/>
      <c r="AF1712" s="70"/>
      <c r="AG1712" s="75">
        <v>138000000000000</v>
      </c>
      <c r="AK1712" s="76" t="e">
        <f t="shared" si="8"/>
        <v>#DIV/0!</v>
      </c>
      <c r="AL1712" s="38" t="s">
        <v>6216</v>
      </c>
      <c r="AM1712" s="83"/>
      <c r="AO1712" s="57" t="s">
        <v>6217</v>
      </c>
    </row>
    <row r="1713" spans="1:42" ht="14.5">
      <c r="A1713" s="70" t="s">
        <v>6218</v>
      </c>
      <c r="B1713" s="71">
        <v>45905</v>
      </c>
      <c r="C1713" s="72">
        <v>45911</v>
      </c>
      <c r="D1713" s="70" t="s">
        <v>41</v>
      </c>
      <c r="E1713" s="70" t="s">
        <v>6219</v>
      </c>
      <c r="F1713" s="70"/>
      <c r="G1713" s="70" t="s">
        <v>43</v>
      </c>
      <c r="H1713" s="73">
        <v>13.9</v>
      </c>
      <c r="I1713" s="70" t="s">
        <v>44</v>
      </c>
      <c r="J1713" s="70" t="s">
        <v>45</v>
      </c>
      <c r="K1713" s="70" t="s">
        <v>6220</v>
      </c>
      <c r="L1713" s="70" t="s">
        <v>58</v>
      </c>
      <c r="M1713" s="70" t="s">
        <v>48</v>
      </c>
      <c r="N1713" s="70" t="s">
        <v>48</v>
      </c>
      <c r="O1713" s="70" t="s">
        <v>2048</v>
      </c>
      <c r="P1713" s="70" t="s">
        <v>2049</v>
      </c>
      <c r="Q1713" s="70" t="s">
        <v>2050</v>
      </c>
      <c r="R1713" s="73">
        <v>1</v>
      </c>
      <c r="S1713" s="70" t="s">
        <v>3868</v>
      </c>
      <c r="T1713" s="70" t="s">
        <v>53</v>
      </c>
      <c r="U1713" s="70" t="s">
        <v>54</v>
      </c>
      <c r="V1713" s="70" t="s">
        <v>55</v>
      </c>
      <c r="W1713" s="70"/>
      <c r="X1713" s="74">
        <v>45917</v>
      </c>
      <c r="Y1713" s="73">
        <v>101.62</v>
      </c>
      <c r="Z1713" s="73">
        <v>1</v>
      </c>
      <c r="AA1713" s="70"/>
      <c r="AB1713" s="70"/>
      <c r="AC1713" s="70"/>
      <c r="AD1713" s="70"/>
      <c r="AE1713" s="70"/>
      <c r="AF1713" s="73">
        <v>87.72</v>
      </c>
      <c r="AG1713" s="75">
        <v>138000000000000</v>
      </c>
      <c r="AK1713" s="76" t="e">
        <f t="shared" si="8"/>
        <v>#DIV/0!</v>
      </c>
      <c r="AM1713" s="38"/>
      <c r="AO1713" s="28"/>
    </row>
    <row r="1714" spans="1:42" ht="14.5">
      <c r="A1714" s="70" t="s">
        <v>6221</v>
      </c>
      <c r="B1714" s="71">
        <v>45904</v>
      </c>
      <c r="C1714" s="72">
        <v>45911</v>
      </c>
      <c r="D1714" s="70" t="s">
        <v>41</v>
      </c>
      <c r="E1714" s="70" t="s">
        <v>6222</v>
      </c>
      <c r="F1714" s="70"/>
      <c r="G1714" s="70" t="s">
        <v>137</v>
      </c>
      <c r="H1714" s="73">
        <v>0</v>
      </c>
      <c r="I1714" s="70"/>
      <c r="J1714" s="70"/>
      <c r="K1714" s="70"/>
      <c r="L1714" s="70" t="s">
        <v>58</v>
      </c>
      <c r="M1714" s="70" t="s">
        <v>48</v>
      </c>
      <c r="N1714" s="70" t="s">
        <v>48</v>
      </c>
      <c r="O1714" s="70" t="s">
        <v>147</v>
      </c>
      <c r="P1714" s="70" t="s">
        <v>148</v>
      </c>
      <c r="Q1714" s="70" t="s">
        <v>6223</v>
      </c>
      <c r="R1714" s="73">
        <v>1</v>
      </c>
      <c r="S1714" s="70" t="s">
        <v>3868</v>
      </c>
      <c r="T1714" s="70" t="s">
        <v>53</v>
      </c>
      <c r="U1714" s="70" t="s">
        <v>54</v>
      </c>
      <c r="V1714" s="70" t="s">
        <v>61</v>
      </c>
      <c r="W1714" s="70"/>
      <c r="X1714" s="70"/>
      <c r="Y1714" s="73">
        <v>378.4</v>
      </c>
      <c r="Z1714" s="73">
        <v>1</v>
      </c>
      <c r="AA1714" s="70"/>
      <c r="AB1714" s="70"/>
      <c r="AC1714" s="70"/>
      <c r="AD1714" s="70"/>
      <c r="AE1714" s="70"/>
      <c r="AF1714" s="70"/>
      <c r="AG1714" s="75">
        <v>138000000000000</v>
      </c>
      <c r="AK1714" s="76" t="e">
        <f t="shared" si="8"/>
        <v>#DIV/0!</v>
      </c>
      <c r="AM1714" s="38"/>
      <c r="AO1714" s="28"/>
    </row>
    <row r="1715" spans="1:42" ht="14.5">
      <c r="A1715" s="70" t="s">
        <v>6224</v>
      </c>
      <c r="B1715" s="71">
        <v>45906</v>
      </c>
      <c r="C1715" s="72">
        <v>45911</v>
      </c>
      <c r="D1715" s="70" t="s">
        <v>41</v>
      </c>
      <c r="E1715" s="70" t="s">
        <v>6225</v>
      </c>
      <c r="F1715" s="70"/>
      <c r="G1715" s="70" t="s">
        <v>43</v>
      </c>
      <c r="H1715" s="73">
        <v>11.37</v>
      </c>
      <c r="I1715" s="70" t="s">
        <v>44</v>
      </c>
      <c r="J1715" s="70" t="s">
        <v>45</v>
      </c>
      <c r="K1715" s="70" t="s">
        <v>6226</v>
      </c>
      <c r="L1715" s="70" t="s">
        <v>58</v>
      </c>
      <c r="M1715" s="70" t="s">
        <v>48</v>
      </c>
      <c r="N1715" s="70" t="s">
        <v>48</v>
      </c>
      <c r="O1715" s="70" t="s">
        <v>4590</v>
      </c>
      <c r="P1715" s="70" t="s">
        <v>4591</v>
      </c>
      <c r="Q1715" s="70" t="s">
        <v>4592</v>
      </c>
      <c r="R1715" s="73">
        <v>1</v>
      </c>
      <c r="S1715" s="70" t="s">
        <v>3868</v>
      </c>
      <c r="T1715" s="70" t="s">
        <v>53</v>
      </c>
      <c r="U1715" s="70" t="s">
        <v>54</v>
      </c>
      <c r="V1715" s="70" t="s">
        <v>55</v>
      </c>
      <c r="W1715" s="70"/>
      <c r="X1715" s="74">
        <v>45916</v>
      </c>
      <c r="Y1715" s="73">
        <v>72.23</v>
      </c>
      <c r="Z1715" s="73">
        <v>1</v>
      </c>
      <c r="AA1715" s="70"/>
      <c r="AB1715" s="70"/>
      <c r="AC1715" s="70"/>
      <c r="AD1715" s="70"/>
      <c r="AE1715" s="70"/>
      <c r="AF1715" s="73">
        <v>60.86</v>
      </c>
      <c r="AG1715" s="75">
        <v>138000000000000</v>
      </c>
      <c r="AK1715" s="76" t="e">
        <f t="shared" si="8"/>
        <v>#DIV/0!</v>
      </c>
      <c r="AM1715" s="38"/>
      <c r="AO1715" s="28"/>
    </row>
    <row r="1716" spans="1:42" ht="14.5">
      <c r="A1716" s="70" t="s">
        <v>6227</v>
      </c>
      <c r="B1716" s="71">
        <v>45897</v>
      </c>
      <c r="C1716" s="72">
        <v>45911</v>
      </c>
      <c r="D1716" s="70" t="s">
        <v>41</v>
      </c>
      <c r="E1716" s="70" t="s">
        <v>6228</v>
      </c>
      <c r="F1716" s="70"/>
      <c r="G1716" s="70" t="s">
        <v>43</v>
      </c>
      <c r="H1716" s="73">
        <v>12.95</v>
      </c>
      <c r="I1716" s="70" t="s">
        <v>44</v>
      </c>
      <c r="J1716" s="70" t="s">
        <v>45</v>
      </c>
      <c r="K1716" s="70" t="s">
        <v>6229</v>
      </c>
      <c r="L1716" s="70" t="s">
        <v>58</v>
      </c>
      <c r="M1716" s="70" t="s">
        <v>48</v>
      </c>
      <c r="N1716" s="70" t="s">
        <v>48</v>
      </c>
      <c r="O1716" s="70" t="s">
        <v>707</v>
      </c>
      <c r="P1716" s="70" t="s">
        <v>708</v>
      </c>
      <c r="Q1716" s="70" t="s">
        <v>6230</v>
      </c>
      <c r="R1716" s="73">
        <v>1</v>
      </c>
      <c r="S1716" s="70" t="s">
        <v>3878</v>
      </c>
      <c r="T1716" s="70" t="s">
        <v>53</v>
      </c>
      <c r="U1716" s="70" t="s">
        <v>54</v>
      </c>
      <c r="V1716" s="70" t="s">
        <v>55</v>
      </c>
      <c r="W1716" s="70"/>
      <c r="X1716" s="74">
        <v>45916</v>
      </c>
      <c r="Y1716" s="73">
        <v>110.74</v>
      </c>
      <c r="Z1716" s="73">
        <v>1</v>
      </c>
      <c r="AA1716" s="70"/>
      <c r="AB1716" s="70"/>
      <c r="AC1716" s="70"/>
      <c r="AD1716" s="70"/>
      <c r="AE1716" s="70"/>
      <c r="AF1716" s="73">
        <v>97.79</v>
      </c>
      <c r="AG1716" s="75">
        <v>138000000000000</v>
      </c>
      <c r="AK1716" s="76" t="e">
        <f t="shared" si="8"/>
        <v>#DIV/0!</v>
      </c>
      <c r="AM1716" s="38"/>
      <c r="AO1716" s="28"/>
    </row>
    <row r="1717" spans="1:42" ht="14.5">
      <c r="A1717" s="70" t="s">
        <v>6231</v>
      </c>
      <c r="B1717" s="71">
        <v>45873</v>
      </c>
      <c r="C1717" s="72">
        <v>45911</v>
      </c>
      <c r="D1717" s="70" t="s">
        <v>41</v>
      </c>
      <c r="E1717" s="70" t="s">
        <v>6232</v>
      </c>
      <c r="F1717" s="70"/>
      <c r="G1717" s="70" t="s">
        <v>154</v>
      </c>
      <c r="H1717" s="73">
        <v>0</v>
      </c>
      <c r="I1717" s="70" t="s">
        <v>44</v>
      </c>
      <c r="J1717" s="70" t="s">
        <v>45</v>
      </c>
      <c r="K1717" s="70" t="s">
        <v>6233</v>
      </c>
      <c r="L1717" s="70" t="s">
        <v>47</v>
      </c>
      <c r="M1717" s="70" t="s">
        <v>48</v>
      </c>
      <c r="N1717" s="70" t="s">
        <v>48</v>
      </c>
      <c r="O1717" s="70" t="s">
        <v>587</v>
      </c>
      <c r="P1717" s="70" t="s">
        <v>588</v>
      </c>
      <c r="Q1717" s="70" t="s">
        <v>3180</v>
      </c>
      <c r="R1717" s="73">
        <v>1</v>
      </c>
      <c r="S1717" s="70" t="s">
        <v>99</v>
      </c>
      <c r="T1717" s="70" t="s">
        <v>48</v>
      </c>
      <c r="U1717" s="70" t="s">
        <v>60</v>
      </c>
      <c r="V1717" s="70" t="s">
        <v>61</v>
      </c>
      <c r="W1717" s="70"/>
      <c r="X1717" s="70"/>
      <c r="Y1717" s="73">
        <v>121.8</v>
      </c>
      <c r="Z1717" s="70"/>
      <c r="AA1717" s="70"/>
      <c r="AB1717" s="70"/>
      <c r="AC1717" s="70"/>
      <c r="AD1717" s="70"/>
      <c r="AE1717" s="70"/>
      <c r="AF1717" s="73">
        <v>105.95</v>
      </c>
      <c r="AG1717" s="75">
        <v>136000000000000</v>
      </c>
      <c r="AK1717" s="76" t="e">
        <f t="shared" si="8"/>
        <v>#DIV/0!</v>
      </c>
      <c r="AM1717" s="38"/>
      <c r="AO1717" s="28"/>
    </row>
    <row r="1718" spans="1:42" ht="14.5">
      <c r="A1718" s="70" t="s">
        <v>6234</v>
      </c>
      <c r="B1718" s="71">
        <v>45888</v>
      </c>
      <c r="C1718" s="72">
        <v>45911</v>
      </c>
      <c r="D1718" s="70" t="s">
        <v>41</v>
      </c>
      <c r="E1718" s="70" t="s">
        <v>6235</v>
      </c>
      <c r="F1718" s="70"/>
      <c r="G1718" s="70" t="s">
        <v>43</v>
      </c>
      <c r="H1718" s="73">
        <v>13.9</v>
      </c>
      <c r="I1718" s="70" t="s">
        <v>44</v>
      </c>
      <c r="J1718" s="70" t="s">
        <v>45</v>
      </c>
      <c r="K1718" s="70" t="s">
        <v>6236</v>
      </c>
      <c r="L1718" s="70" t="s">
        <v>58</v>
      </c>
      <c r="M1718" s="70" t="s">
        <v>48</v>
      </c>
      <c r="N1718" s="70" t="s">
        <v>48</v>
      </c>
      <c r="O1718" s="70" t="s">
        <v>2048</v>
      </c>
      <c r="P1718" s="70" t="s">
        <v>2049</v>
      </c>
      <c r="Q1718" s="70" t="s">
        <v>2050</v>
      </c>
      <c r="R1718" s="73">
        <v>1</v>
      </c>
      <c r="S1718" s="70" t="s">
        <v>3878</v>
      </c>
      <c r="T1718" s="70" t="s">
        <v>53</v>
      </c>
      <c r="U1718" s="70" t="s">
        <v>54</v>
      </c>
      <c r="V1718" s="70" t="s">
        <v>55</v>
      </c>
      <c r="W1718" s="70"/>
      <c r="X1718" s="74">
        <v>45915</v>
      </c>
      <c r="Y1718" s="73">
        <v>98.87</v>
      </c>
      <c r="Z1718" s="73">
        <v>1</v>
      </c>
      <c r="AA1718" s="70"/>
      <c r="AB1718" s="70"/>
      <c r="AC1718" s="70"/>
      <c r="AD1718" s="70"/>
      <c r="AE1718" s="70"/>
      <c r="AF1718" s="73">
        <v>84.23</v>
      </c>
      <c r="AG1718" s="75">
        <v>137000000000000</v>
      </c>
      <c r="AK1718" s="76" t="e">
        <f t="shared" si="8"/>
        <v>#DIV/0!</v>
      </c>
      <c r="AM1718" s="38"/>
      <c r="AO1718" s="28"/>
    </row>
    <row r="1719" spans="1:42" ht="14.5">
      <c r="A1719" s="70" t="s">
        <v>6237</v>
      </c>
      <c r="B1719" s="71">
        <v>45905</v>
      </c>
      <c r="C1719" s="72">
        <v>45911</v>
      </c>
      <c r="D1719" s="70" t="s">
        <v>41</v>
      </c>
      <c r="E1719" s="70" t="s">
        <v>6238</v>
      </c>
      <c r="F1719" s="70"/>
      <c r="G1719" s="70" t="s">
        <v>43</v>
      </c>
      <c r="H1719" s="73">
        <v>10.92</v>
      </c>
      <c r="I1719" s="70" t="s">
        <v>44</v>
      </c>
      <c r="J1719" s="70" t="s">
        <v>45</v>
      </c>
      <c r="K1719" s="70" t="s">
        <v>6239</v>
      </c>
      <c r="L1719" s="70" t="s">
        <v>58</v>
      </c>
      <c r="M1719" s="70" t="s">
        <v>48</v>
      </c>
      <c r="N1719" s="70" t="s">
        <v>48</v>
      </c>
      <c r="O1719" s="70" t="s">
        <v>2193</v>
      </c>
      <c r="P1719" s="70" t="s">
        <v>2194</v>
      </c>
      <c r="Q1719" s="70" t="s">
        <v>2195</v>
      </c>
      <c r="R1719" s="73">
        <v>1</v>
      </c>
      <c r="S1719" s="70" t="s">
        <v>3868</v>
      </c>
      <c r="T1719" s="70" t="s">
        <v>53</v>
      </c>
      <c r="U1719" s="70" t="s">
        <v>54</v>
      </c>
      <c r="V1719" s="70" t="s">
        <v>55</v>
      </c>
      <c r="W1719" s="70"/>
      <c r="X1719" s="74">
        <v>45917</v>
      </c>
      <c r="Y1719" s="73">
        <v>81.11</v>
      </c>
      <c r="Z1719" s="73">
        <v>1</v>
      </c>
      <c r="AA1719" s="70"/>
      <c r="AB1719" s="70"/>
      <c r="AC1719" s="70"/>
      <c r="AD1719" s="70"/>
      <c r="AE1719" s="70"/>
      <c r="AF1719" s="73">
        <v>70.19</v>
      </c>
      <c r="AG1719" s="75">
        <v>138000000000000</v>
      </c>
      <c r="AK1719" s="76" t="e">
        <f t="shared" si="8"/>
        <v>#DIV/0!</v>
      </c>
      <c r="AM1719" s="38"/>
      <c r="AO1719" s="28"/>
    </row>
    <row r="1720" spans="1:42" ht="14.5">
      <c r="A1720" s="70" t="s">
        <v>6240</v>
      </c>
      <c r="B1720" s="71">
        <v>45908</v>
      </c>
      <c r="C1720" s="72">
        <v>45912</v>
      </c>
      <c r="D1720" s="70" t="s">
        <v>41</v>
      </c>
      <c r="E1720" s="70" t="s">
        <v>6241</v>
      </c>
      <c r="F1720" s="70"/>
      <c r="G1720" s="70" t="s">
        <v>137</v>
      </c>
      <c r="H1720" s="73">
        <v>0</v>
      </c>
      <c r="I1720" s="70"/>
      <c r="J1720" s="70"/>
      <c r="K1720" s="70"/>
      <c r="L1720" s="70" t="s">
        <v>47</v>
      </c>
      <c r="M1720" s="70" t="s">
        <v>48</v>
      </c>
      <c r="N1720" s="70" t="s">
        <v>48</v>
      </c>
      <c r="O1720" s="70" t="s">
        <v>5021</v>
      </c>
      <c r="P1720" s="70" t="s">
        <v>5022</v>
      </c>
      <c r="Q1720" s="70" t="s">
        <v>5023</v>
      </c>
      <c r="R1720" s="73">
        <v>1</v>
      </c>
      <c r="S1720" s="70" t="s">
        <v>99</v>
      </c>
      <c r="T1720" s="70" t="s">
        <v>53</v>
      </c>
      <c r="U1720" s="70" t="s">
        <v>54</v>
      </c>
      <c r="V1720" s="70" t="s">
        <v>61</v>
      </c>
      <c r="W1720" s="70"/>
      <c r="X1720" s="70"/>
      <c r="Y1720" s="73">
        <v>160.84</v>
      </c>
      <c r="Z1720" s="73">
        <v>1</v>
      </c>
      <c r="AA1720" s="70"/>
      <c r="AB1720" s="70"/>
      <c r="AC1720" s="70"/>
      <c r="AD1720" s="70"/>
      <c r="AE1720" s="70"/>
      <c r="AF1720" s="73">
        <v>160.84</v>
      </c>
      <c r="AG1720" s="75">
        <v>139000000000000</v>
      </c>
      <c r="AK1720" s="76" t="e">
        <f t="shared" si="8"/>
        <v>#DIV/0!</v>
      </c>
      <c r="AM1720" s="38"/>
      <c r="AO1720" s="28"/>
    </row>
    <row r="1721" spans="1:42" ht="14.5">
      <c r="A1721" s="70" t="s">
        <v>6242</v>
      </c>
      <c r="B1721" s="71">
        <v>45904</v>
      </c>
      <c r="C1721" s="72">
        <v>45912</v>
      </c>
      <c r="D1721" s="70" t="s">
        <v>41</v>
      </c>
      <c r="E1721" s="70" t="s">
        <v>6243</v>
      </c>
      <c r="F1721" s="70"/>
      <c r="G1721" s="70" t="s">
        <v>43</v>
      </c>
      <c r="H1721" s="73">
        <v>12.95</v>
      </c>
      <c r="I1721" s="70" t="s">
        <v>44</v>
      </c>
      <c r="J1721" s="70" t="s">
        <v>45</v>
      </c>
      <c r="K1721" s="70" t="s">
        <v>6244</v>
      </c>
      <c r="L1721" s="70" t="s">
        <v>47</v>
      </c>
      <c r="M1721" s="70" t="s">
        <v>48</v>
      </c>
      <c r="N1721" s="70" t="s">
        <v>48</v>
      </c>
      <c r="O1721" s="70" t="s">
        <v>725</v>
      </c>
      <c r="P1721" s="70" t="s">
        <v>726</v>
      </c>
      <c r="Q1721" s="70" t="s">
        <v>727</v>
      </c>
      <c r="R1721" s="73">
        <v>1</v>
      </c>
      <c r="S1721" s="70" t="s">
        <v>99</v>
      </c>
      <c r="T1721" s="70" t="s">
        <v>53</v>
      </c>
      <c r="U1721" s="70" t="s">
        <v>54</v>
      </c>
      <c r="V1721" s="70" t="s">
        <v>55</v>
      </c>
      <c r="W1721" s="70"/>
      <c r="X1721" s="74">
        <v>45917</v>
      </c>
      <c r="Y1721" s="73">
        <v>122.7</v>
      </c>
      <c r="Z1721" s="73">
        <v>1</v>
      </c>
      <c r="AA1721" s="70"/>
      <c r="AB1721" s="70"/>
      <c r="AC1721" s="70"/>
      <c r="AD1721" s="70"/>
      <c r="AE1721" s="70"/>
      <c r="AF1721" s="73">
        <v>122.7</v>
      </c>
      <c r="AG1721" s="75">
        <v>138000000000000</v>
      </c>
      <c r="AK1721" s="76" t="e">
        <f t="shared" si="8"/>
        <v>#DIV/0!</v>
      </c>
      <c r="AM1721" s="38"/>
      <c r="AO1721" s="28"/>
    </row>
    <row r="1722" spans="1:42" ht="14.5">
      <c r="A1722" s="70" t="s">
        <v>6245</v>
      </c>
      <c r="B1722" s="71">
        <v>45905</v>
      </c>
      <c r="C1722" s="72">
        <v>45912</v>
      </c>
      <c r="D1722" s="70" t="s">
        <v>41</v>
      </c>
      <c r="E1722" s="70" t="s">
        <v>6246</v>
      </c>
      <c r="F1722" s="70"/>
      <c r="G1722" s="70" t="s">
        <v>43</v>
      </c>
      <c r="H1722" s="73">
        <v>12.95</v>
      </c>
      <c r="I1722" s="70" t="s">
        <v>44</v>
      </c>
      <c r="J1722" s="70" t="s">
        <v>45</v>
      </c>
      <c r="K1722" s="70" t="s">
        <v>6247</v>
      </c>
      <c r="L1722" s="70" t="s">
        <v>58</v>
      </c>
      <c r="M1722" s="70" t="s">
        <v>48</v>
      </c>
      <c r="N1722" s="70" t="s">
        <v>48</v>
      </c>
      <c r="O1722" s="70" t="s">
        <v>6248</v>
      </c>
      <c r="P1722" s="70" t="s">
        <v>6249</v>
      </c>
      <c r="Q1722" s="70" t="s">
        <v>6250</v>
      </c>
      <c r="R1722" s="73">
        <v>1</v>
      </c>
      <c r="S1722" s="70" t="s">
        <v>3868</v>
      </c>
      <c r="T1722" s="70" t="s">
        <v>53</v>
      </c>
      <c r="U1722" s="70" t="s">
        <v>54</v>
      </c>
      <c r="V1722" s="70" t="s">
        <v>61</v>
      </c>
      <c r="W1722" s="70"/>
      <c r="X1722" s="74">
        <v>45918</v>
      </c>
      <c r="Y1722" s="73">
        <v>127.52</v>
      </c>
      <c r="Z1722" s="73">
        <v>1</v>
      </c>
      <c r="AA1722" s="70"/>
      <c r="AB1722" s="70"/>
      <c r="AC1722" s="70"/>
      <c r="AD1722" s="70"/>
      <c r="AE1722" s="70"/>
      <c r="AF1722" s="73">
        <v>112.57</v>
      </c>
      <c r="AG1722" s="75">
        <v>138000000000000</v>
      </c>
      <c r="AK1722" s="76" t="e">
        <f t="shared" si="8"/>
        <v>#DIV/0!</v>
      </c>
      <c r="AM1722" s="38"/>
      <c r="AO1722" s="28"/>
    </row>
    <row r="1723" spans="1:42" ht="14.5">
      <c r="A1723" s="70" t="s">
        <v>6251</v>
      </c>
      <c r="B1723" s="71">
        <v>45901</v>
      </c>
      <c r="C1723" s="72">
        <v>45912</v>
      </c>
      <c r="D1723" s="70" t="s">
        <v>41</v>
      </c>
      <c r="E1723" s="70"/>
      <c r="F1723" s="70"/>
      <c r="G1723" s="70" t="s">
        <v>137</v>
      </c>
      <c r="H1723" s="73">
        <v>0</v>
      </c>
      <c r="I1723" s="70"/>
      <c r="J1723" s="70"/>
      <c r="K1723" s="70"/>
      <c r="L1723" s="70" t="s">
        <v>47</v>
      </c>
      <c r="M1723" s="70" t="s">
        <v>48</v>
      </c>
      <c r="N1723" s="70" t="s">
        <v>48</v>
      </c>
      <c r="O1723" s="70" t="s">
        <v>4418</v>
      </c>
      <c r="P1723" s="70" t="s">
        <v>4419</v>
      </c>
      <c r="Q1723" s="70" t="s">
        <v>4420</v>
      </c>
      <c r="R1723" s="73">
        <v>1</v>
      </c>
      <c r="S1723" s="70" t="s">
        <v>99</v>
      </c>
      <c r="T1723" s="70" t="s">
        <v>53</v>
      </c>
      <c r="U1723" s="70" t="s">
        <v>54</v>
      </c>
      <c r="V1723" s="70" t="s">
        <v>141</v>
      </c>
      <c r="W1723" s="70"/>
      <c r="X1723" s="70"/>
      <c r="Y1723" s="73">
        <v>17.63</v>
      </c>
      <c r="Z1723" s="73">
        <v>1</v>
      </c>
      <c r="AA1723" s="70"/>
      <c r="AB1723" s="70"/>
      <c r="AC1723" s="70"/>
      <c r="AD1723" s="70"/>
      <c r="AE1723" s="70"/>
      <c r="AF1723" s="73">
        <v>17.63</v>
      </c>
      <c r="AG1723" s="75">
        <v>138000000000000</v>
      </c>
      <c r="AK1723" s="76" t="e">
        <f t="shared" si="8"/>
        <v>#DIV/0!</v>
      </c>
      <c r="AM1723" s="38"/>
      <c r="AO1723" s="28"/>
    </row>
    <row r="1724" spans="1:42" ht="14.5">
      <c r="A1724" s="70" t="s">
        <v>6252</v>
      </c>
      <c r="B1724" s="71">
        <v>45903</v>
      </c>
      <c r="C1724" s="72">
        <v>45912</v>
      </c>
      <c r="D1724" s="70" t="s">
        <v>41</v>
      </c>
      <c r="E1724" s="70" t="s">
        <v>6253</v>
      </c>
      <c r="F1724" s="70"/>
      <c r="G1724" s="70" t="s">
        <v>43</v>
      </c>
      <c r="H1724" s="73">
        <v>12.95</v>
      </c>
      <c r="I1724" s="70" t="s">
        <v>44</v>
      </c>
      <c r="J1724" s="70" t="s">
        <v>45</v>
      </c>
      <c r="K1724" s="70" t="s">
        <v>6254</v>
      </c>
      <c r="L1724" s="70" t="s">
        <v>58</v>
      </c>
      <c r="M1724" s="70" t="s">
        <v>48</v>
      </c>
      <c r="N1724" s="70" t="s">
        <v>48</v>
      </c>
      <c r="O1724" s="70" t="s">
        <v>2116</v>
      </c>
      <c r="P1724" s="70" t="s">
        <v>2117</v>
      </c>
      <c r="Q1724" s="70" t="s">
        <v>6255</v>
      </c>
      <c r="R1724" s="73">
        <v>1</v>
      </c>
      <c r="S1724" s="70" t="s">
        <v>59</v>
      </c>
      <c r="T1724" s="70" t="s">
        <v>53</v>
      </c>
      <c r="U1724" s="70" t="s">
        <v>54</v>
      </c>
      <c r="V1724" s="70" t="s">
        <v>55</v>
      </c>
      <c r="W1724" s="70"/>
      <c r="X1724" s="74">
        <v>45917</v>
      </c>
      <c r="Y1724" s="73">
        <v>79.959999999999994</v>
      </c>
      <c r="Z1724" s="73">
        <v>1</v>
      </c>
      <c r="AA1724" s="70"/>
      <c r="AB1724" s="70"/>
      <c r="AC1724" s="70"/>
      <c r="AD1724" s="70"/>
      <c r="AE1724" s="70"/>
      <c r="AF1724" s="73">
        <v>67.010000000000005</v>
      </c>
      <c r="AG1724" s="75">
        <v>138000000000000</v>
      </c>
      <c r="AK1724" s="76" t="e">
        <f t="shared" si="8"/>
        <v>#DIV/0!</v>
      </c>
      <c r="AM1724" s="38"/>
      <c r="AO1724" s="28"/>
    </row>
    <row r="1725" spans="1:42" ht="14.5">
      <c r="A1725" s="70" t="s">
        <v>6256</v>
      </c>
      <c r="B1725" s="71">
        <v>45896</v>
      </c>
      <c r="C1725" s="72">
        <v>45912</v>
      </c>
      <c r="D1725" s="70" t="s">
        <v>41</v>
      </c>
      <c r="E1725" s="70" t="s">
        <v>6257</v>
      </c>
      <c r="F1725" s="70"/>
      <c r="G1725" s="70" t="s">
        <v>43</v>
      </c>
      <c r="H1725" s="73">
        <v>12.95</v>
      </c>
      <c r="I1725" s="70" t="s">
        <v>44</v>
      </c>
      <c r="J1725" s="70" t="s">
        <v>45</v>
      </c>
      <c r="K1725" s="70" t="s">
        <v>6258</v>
      </c>
      <c r="L1725" s="70" t="s">
        <v>58</v>
      </c>
      <c r="M1725" s="70" t="s">
        <v>48</v>
      </c>
      <c r="N1725" s="70" t="s">
        <v>48</v>
      </c>
      <c r="O1725" s="70" t="s">
        <v>6259</v>
      </c>
      <c r="P1725" s="70" t="s">
        <v>6260</v>
      </c>
      <c r="Q1725" s="70" t="s">
        <v>6261</v>
      </c>
      <c r="R1725" s="73">
        <v>1</v>
      </c>
      <c r="S1725" s="70" t="s">
        <v>68</v>
      </c>
      <c r="T1725" s="70" t="s">
        <v>53</v>
      </c>
      <c r="U1725" s="70" t="s">
        <v>54</v>
      </c>
      <c r="V1725" s="70" t="s">
        <v>55</v>
      </c>
      <c r="W1725" s="70"/>
      <c r="X1725" s="74">
        <v>45938</v>
      </c>
      <c r="Y1725" s="73">
        <v>114.54</v>
      </c>
      <c r="Z1725" s="73">
        <v>1</v>
      </c>
      <c r="AA1725" s="70"/>
      <c r="AB1725" s="70"/>
      <c r="AC1725" s="70"/>
      <c r="AD1725" s="70"/>
      <c r="AE1725" s="70"/>
      <c r="AF1725" s="73">
        <v>101.59</v>
      </c>
      <c r="AG1725" s="75">
        <v>138000000000000</v>
      </c>
      <c r="AK1725" s="76" t="e">
        <f t="shared" si="8"/>
        <v>#DIV/0!</v>
      </c>
      <c r="AM1725" s="38"/>
      <c r="AO1725" s="28"/>
    </row>
    <row r="1726" spans="1:42" ht="14.5">
      <c r="A1726" s="80" t="s">
        <v>6262</v>
      </c>
      <c r="B1726" s="71">
        <v>45905</v>
      </c>
      <c r="C1726" s="72">
        <v>45912</v>
      </c>
      <c r="D1726" s="70" t="s">
        <v>41</v>
      </c>
      <c r="E1726" s="70" t="s">
        <v>6263</v>
      </c>
      <c r="F1726" s="70"/>
      <c r="G1726" s="70" t="s">
        <v>43</v>
      </c>
      <c r="H1726" s="73">
        <v>47.06</v>
      </c>
      <c r="I1726" s="70" t="s">
        <v>44</v>
      </c>
      <c r="J1726" s="70" t="s">
        <v>45</v>
      </c>
      <c r="K1726" s="70" t="s">
        <v>6264</v>
      </c>
      <c r="L1726" s="70" t="s">
        <v>58</v>
      </c>
      <c r="M1726" s="70" t="s">
        <v>48</v>
      </c>
      <c r="N1726" s="70" t="s">
        <v>48</v>
      </c>
      <c r="O1726" s="70" t="s">
        <v>4998</v>
      </c>
      <c r="P1726" s="70" t="s">
        <v>4999</v>
      </c>
      <c r="Q1726" s="70" t="s">
        <v>5000</v>
      </c>
      <c r="R1726" s="73">
        <v>1</v>
      </c>
      <c r="S1726" s="70" t="s">
        <v>3878</v>
      </c>
      <c r="T1726" s="70" t="s">
        <v>53</v>
      </c>
      <c r="U1726" s="70" t="s">
        <v>54</v>
      </c>
      <c r="V1726" s="70" t="s">
        <v>240</v>
      </c>
      <c r="W1726" s="70"/>
      <c r="X1726" s="74">
        <v>45915</v>
      </c>
      <c r="Y1726" s="73">
        <v>196.75</v>
      </c>
      <c r="Z1726" s="73">
        <v>1</v>
      </c>
      <c r="AA1726" s="70"/>
      <c r="AB1726" s="70"/>
      <c r="AC1726" s="70"/>
      <c r="AD1726" s="70"/>
      <c r="AE1726" s="70"/>
      <c r="AF1726" s="73">
        <v>129.74</v>
      </c>
      <c r="AG1726" s="75">
        <v>138000000000000</v>
      </c>
      <c r="AK1726" s="76" t="e">
        <f t="shared" si="8"/>
        <v>#DIV/0!</v>
      </c>
      <c r="AM1726" s="38" t="s">
        <v>561</v>
      </c>
      <c r="AO1726" s="70"/>
      <c r="AP1726" s="38" t="s">
        <v>6265</v>
      </c>
    </row>
    <row r="1727" spans="1:42" ht="14.5">
      <c r="A1727" s="70" t="s">
        <v>6266</v>
      </c>
      <c r="B1727" s="71">
        <v>45907</v>
      </c>
      <c r="C1727" s="72">
        <v>45912</v>
      </c>
      <c r="D1727" s="70" t="s">
        <v>41</v>
      </c>
      <c r="E1727" s="70" t="s">
        <v>6267</v>
      </c>
      <c r="F1727" s="70"/>
      <c r="G1727" s="70" t="s">
        <v>43</v>
      </c>
      <c r="H1727" s="73">
        <v>12.95</v>
      </c>
      <c r="I1727" s="70" t="s">
        <v>44</v>
      </c>
      <c r="J1727" s="70" t="s">
        <v>45</v>
      </c>
      <c r="K1727" s="70" t="s">
        <v>6268</v>
      </c>
      <c r="L1727" s="70" t="s">
        <v>58</v>
      </c>
      <c r="M1727" s="70" t="s">
        <v>48</v>
      </c>
      <c r="N1727" s="70" t="s">
        <v>48</v>
      </c>
      <c r="O1727" s="70" t="s">
        <v>6259</v>
      </c>
      <c r="P1727" s="70" t="s">
        <v>6260</v>
      </c>
      <c r="Q1727" s="70" t="s">
        <v>6261</v>
      </c>
      <c r="R1727" s="73">
        <v>1</v>
      </c>
      <c r="S1727" s="70" t="s">
        <v>3878</v>
      </c>
      <c r="T1727" s="70" t="s">
        <v>53</v>
      </c>
      <c r="U1727" s="70" t="s">
        <v>54</v>
      </c>
      <c r="V1727" s="70" t="s">
        <v>55</v>
      </c>
      <c r="W1727" s="70"/>
      <c r="X1727" s="74">
        <v>45917</v>
      </c>
      <c r="Y1727" s="73">
        <v>118.57</v>
      </c>
      <c r="Z1727" s="73">
        <v>1</v>
      </c>
      <c r="AA1727" s="70"/>
      <c r="AB1727" s="70"/>
      <c r="AC1727" s="70"/>
      <c r="AD1727" s="70"/>
      <c r="AE1727" s="70"/>
      <c r="AF1727" s="73">
        <v>105.62</v>
      </c>
      <c r="AG1727" s="75">
        <v>139000000000000</v>
      </c>
      <c r="AK1727" s="76" t="e">
        <f t="shared" si="8"/>
        <v>#DIV/0!</v>
      </c>
      <c r="AM1727" s="38"/>
      <c r="AO1727" s="28"/>
    </row>
    <row r="1728" spans="1:42" ht="14.5">
      <c r="A1728" s="70" t="s">
        <v>6269</v>
      </c>
      <c r="B1728" s="71">
        <v>45903</v>
      </c>
      <c r="C1728" s="72">
        <v>45912</v>
      </c>
      <c r="D1728" s="70" t="s">
        <v>41</v>
      </c>
      <c r="E1728" s="70" t="s">
        <v>6270</v>
      </c>
      <c r="F1728" s="70"/>
      <c r="G1728" s="70" t="s">
        <v>43</v>
      </c>
      <c r="H1728" s="73">
        <v>10.92</v>
      </c>
      <c r="I1728" s="70" t="s">
        <v>44</v>
      </c>
      <c r="J1728" s="70" t="s">
        <v>45</v>
      </c>
      <c r="K1728" s="70" t="s">
        <v>6271</v>
      </c>
      <c r="L1728" s="70" t="s">
        <v>47</v>
      </c>
      <c r="M1728" s="70" t="s">
        <v>48</v>
      </c>
      <c r="N1728" s="70" t="s">
        <v>48</v>
      </c>
      <c r="O1728" s="70" t="s">
        <v>1659</v>
      </c>
      <c r="P1728" s="70" t="s">
        <v>1660</v>
      </c>
      <c r="Q1728" s="70" t="s">
        <v>3533</v>
      </c>
      <c r="R1728" s="73">
        <v>1</v>
      </c>
      <c r="S1728" s="70" t="s">
        <v>856</v>
      </c>
      <c r="T1728" s="70" t="s">
        <v>53</v>
      </c>
      <c r="U1728" s="70" t="s">
        <v>54</v>
      </c>
      <c r="V1728" s="70" t="s">
        <v>560</v>
      </c>
      <c r="W1728" s="70"/>
      <c r="X1728" s="70"/>
      <c r="Y1728" s="73">
        <v>68.650000000000006</v>
      </c>
      <c r="Z1728" s="73">
        <v>1</v>
      </c>
      <c r="AA1728" s="70"/>
      <c r="AB1728" s="70"/>
      <c r="AC1728" s="70"/>
      <c r="AD1728" s="70"/>
      <c r="AE1728" s="70"/>
      <c r="AF1728" s="70"/>
      <c r="AG1728" s="75">
        <v>138000000000000</v>
      </c>
      <c r="AK1728" s="76" t="e">
        <f t="shared" si="8"/>
        <v>#DIV/0!</v>
      </c>
      <c r="AL1728" s="38" t="s">
        <v>6272</v>
      </c>
      <c r="AM1728" s="38" t="s">
        <v>1168</v>
      </c>
      <c r="AO1728" s="57" t="s">
        <v>6273</v>
      </c>
    </row>
    <row r="1729" spans="1:41" ht="14.5">
      <c r="A1729" s="70" t="s">
        <v>6274</v>
      </c>
      <c r="B1729" s="71">
        <v>45897</v>
      </c>
      <c r="C1729" s="72">
        <v>45913</v>
      </c>
      <c r="D1729" s="70" t="s">
        <v>41</v>
      </c>
      <c r="E1729" s="70"/>
      <c r="F1729" s="70"/>
      <c r="G1729" s="70" t="s">
        <v>137</v>
      </c>
      <c r="H1729" s="73">
        <v>0</v>
      </c>
      <c r="I1729" s="70"/>
      <c r="J1729" s="70"/>
      <c r="K1729" s="70"/>
      <c r="L1729" s="70" t="s">
        <v>47</v>
      </c>
      <c r="M1729" s="70" t="s">
        <v>48</v>
      </c>
      <c r="N1729" s="70" t="s">
        <v>48</v>
      </c>
      <c r="O1729" s="70" t="s">
        <v>2175</v>
      </c>
      <c r="P1729" s="70" t="s">
        <v>2176</v>
      </c>
      <c r="Q1729" s="70" t="s">
        <v>2177</v>
      </c>
      <c r="R1729" s="73">
        <v>1</v>
      </c>
      <c r="S1729" s="70" t="s">
        <v>421</v>
      </c>
      <c r="T1729" s="70" t="s">
        <v>53</v>
      </c>
      <c r="U1729" s="70" t="s">
        <v>54</v>
      </c>
      <c r="V1729" s="70" t="s">
        <v>141</v>
      </c>
      <c r="W1729" s="70"/>
      <c r="X1729" s="70"/>
      <c r="Y1729" s="73">
        <v>80.599999999999994</v>
      </c>
      <c r="Z1729" s="73">
        <v>1</v>
      </c>
      <c r="AA1729" s="70"/>
      <c r="AB1729" s="70"/>
      <c r="AC1729" s="70"/>
      <c r="AD1729" s="70"/>
      <c r="AE1729" s="70"/>
      <c r="AF1729" s="73">
        <v>80.599999999999994</v>
      </c>
      <c r="AG1729" s="75">
        <v>138000000000000</v>
      </c>
      <c r="AK1729" s="76" t="e">
        <f t="shared" si="8"/>
        <v>#DIV/0!</v>
      </c>
      <c r="AM1729" s="38" t="s">
        <v>561</v>
      </c>
      <c r="AO1729" s="57" t="s">
        <v>6275</v>
      </c>
    </row>
    <row r="1730" spans="1:41" ht="14.5">
      <c r="A1730" s="70" t="s">
        <v>6276</v>
      </c>
      <c r="B1730" s="71">
        <v>45909</v>
      </c>
      <c r="C1730" s="72">
        <v>45913</v>
      </c>
      <c r="D1730" s="70" t="s">
        <v>41</v>
      </c>
      <c r="E1730" s="70" t="s">
        <v>6277</v>
      </c>
      <c r="F1730" s="70"/>
      <c r="G1730" s="70" t="s">
        <v>43</v>
      </c>
      <c r="H1730" s="73">
        <v>10.92</v>
      </c>
      <c r="I1730" s="70" t="s">
        <v>44</v>
      </c>
      <c r="J1730" s="70" t="s">
        <v>45</v>
      </c>
      <c r="K1730" s="70" t="s">
        <v>6278</v>
      </c>
      <c r="L1730" s="70" t="s">
        <v>58</v>
      </c>
      <c r="M1730" s="70" t="s">
        <v>48</v>
      </c>
      <c r="N1730" s="70" t="s">
        <v>48</v>
      </c>
      <c r="O1730" s="70" t="s">
        <v>1659</v>
      </c>
      <c r="P1730" s="70" t="s">
        <v>1660</v>
      </c>
      <c r="Q1730" s="70" t="s">
        <v>3533</v>
      </c>
      <c r="R1730" s="73">
        <v>1</v>
      </c>
      <c r="S1730" s="70" t="s">
        <v>3878</v>
      </c>
      <c r="T1730" s="70" t="s">
        <v>53</v>
      </c>
      <c r="U1730" s="70" t="s">
        <v>54</v>
      </c>
      <c r="V1730" s="70" t="s">
        <v>61</v>
      </c>
      <c r="W1730" s="70"/>
      <c r="X1730" s="70"/>
      <c r="Y1730" s="73">
        <v>70.900000000000006</v>
      </c>
      <c r="Z1730" s="73">
        <v>1</v>
      </c>
      <c r="AA1730" s="70"/>
      <c r="AB1730" s="70"/>
      <c r="AC1730" s="70"/>
      <c r="AD1730" s="70"/>
      <c r="AE1730" s="70"/>
      <c r="AF1730" s="70"/>
      <c r="AG1730" s="75">
        <v>139000000000000</v>
      </c>
      <c r="AK1730" s="76" t="e">
        <f t="shared" si="8"/>
        <v>#DIV/0!</v>
      </c>
      <c r="AM1730" s="38"/>
      <c r="AO1730" s="28"/>
    </row>
    <row r="1731" spans="1:41" ht="14.5">
      <c r="A1731" s="70" t="s">
        <v>6279</v>
      </c>
      <c r="B1731" s="71">
        <v>45911</v>
      </c>
      <c r="C1731" s="72">
        <v>45913</v>
      </c>
      <c r="D1731" s="70" t="s">
        <v>41</v>
      </c>
      <c r="E1731" s="70" t="s">
        <v>6280</v>
      </c>
      <c r="F1731" s="70"/>
      <c r="G1731" s="70" t="s">
        <v>43</v>
      </c>
      <c r="H1731" s="73">
        <v>18.45</v>
      </c>
      <c r="I1731" s="70" t="s">
        <v>44</v>
      </c>
      <c r="J1731" s="70" t="s">
        <v>45</v>
      </c>
      <c r="K1731" s="70" t="s">
        <v>6281</v>
      </c>
      <c r="L1731" s="70" t="s">
        <v>47</v>
      </c>
      <c r="M1731" s="70" t="s">
        <v>48</v>
      </c>
      <c r="N1731" s="70" t="s">
        <v>48</v>
      </c>
      <c r="O1731" s="70" t="s">
        <v>2104</v>
      </c>
      <c r="P1731" s="70" t="s">
        <v>2105</v>
      </c>
      <c r="Q1731" s="70" t="s">
        <v>2106</v>
      </c>
      <c r="R1731" s="73">
        <v>1</v>
      </c>
      <c r="S1731" s="70" t="s">
        <v>52</v>
      </c>
      <c r="T1731" s="70" t="s">
        <v>53</v>
      </c>
      <c r="U1731" s="70" t="s">
        <v>54</v>
      </c>
      <c r="V1731" s="70" t="s">
        <v>55</v>
      </c>
      <c r="W1731" s="70"/>
      <c r="X1731" s="74">
        <v>45918</v>
      </c>
      <c r="Y1731" s="73">
        <v>104.84</v>
      </c>
      <c r="Z1731" s="73">
        <v>1</v>
      </c>
      <c r="AA1731" s="70"/>
      <c r="AB1731" s="70"/>
      <c r="AC1731" s="70"/>
      <c r="AD1731" s="70"/>
      <c r="AE1731" s="70"/>
      <c r="AF1731" s="73">
        <v>104.84</v>
      </c>
      <c r="AG1731" s="75">
        <v>139000000000000</v>
      </c>
      <c r="AK1731" s="76" t="e">
        <f t="shared" si="8"/>
        <v>#DIV/0!</v>
      </c>
      <c r="AM1731" s="38" t="s">
        <v>561</v>
      </c>
      <c r="AO1731" s="57" t="s">
        <v>6282</v>
      </c>
    </row>
    <row r="1732" spans="1:41" ht="14.5">
      <c r="A1732" s="70" t="s">
        <v>6283</v>
      </c>
      <c r="B1732" s="71">
        <v>45899</v>
      </c>
      <c r="C1732" s="72">
        <v>45914</v>
      </c>
      <c r="D1732" s="70" t="s">
        <v>41</v>
      </c>
      <c r="E1732" s="70" t="s">
        <v>6284</v>
      </c>
      <c r="F1732" s="70"/>
      <c r="G1732" s="70" t="s">
        <v>43</v>
      </c>
      <c r="H1732" s="73">
        <v>11.37</v>
      </c>
      <c r="I1732" s="70" t="s">
        <v>44</v>
      </c>
      <c r="J1732" s="70" t="s">
        <v>45</v>
      </c>
      <c r="K1732" s="70" t="s">
        <v>6285</v>
      </c>
      <c r="L1732" s="70" t="s">
        <v>58</v>
      </c>
      <c r="M1732" s="70" t="s">
        <v>48</v>
      </c>
      <c r="N1732" s="70" t="s">
        <v>48</v>
      </c>
      <c r="O1732" s="70" t="s">
        <v>2230</v>
      </c>
      <c r="P1732" s="70" t="s">
        <v>2231</v>
      </c>
      <c r="Q1732" s="70" t="s">
        <v>4732</v>
      </c>
      <c r="R1732" s="73">
        <v>1</v>
      </c>
      <c r="S1732" s="70" t="s">
        <v>3868</v>
      </c>
      <c r="T1732" s="70" t="s">
        <v>53</v>
      </c>
      <c r="U1732" s="70" t="s">
        <v>54</v>
      </c>
      <c r="V1732" s="70" t="s">
        <v>55</v>
      </c>
      <c r="W1732" s="70"/>
      <c r="X1732" s="74">
        <v>45926</v>
      </c>
      <c r="Y1732" s="73">
        <v>83.64</v>
      </c>
      <c r="Z1732" s="73">
        <v>1</v>
      </c>
      <c r="AA1732" s="70"/>
      <c r="AB1732" s="70"/>
      <c r="AC1732" s="70"/>
      <c r="AD1732" s="70"/>
      <c r="AE1732" s="70"/>
      <c r="AF1732" s="73">
        <v>71.59</v>
      </c>
      <c r="AG1732" s="75">
        <v>138000000000000</v>
      </c>
      <c r="AK1732" s="76" t="e">
        <f t="shared" si="8"/>
        <v>#DIV/0!</v>
      </c>
      <c r="AM1732" s="38"/>
      <c r="AO1732" s="28"/>
    </row>
    <row r="1733" spans="1:41" ht="14.5">
      <c r="A1733" s="70" t="s">
        <v>6286</v>
      </c>
      <c r="B1733" s="71">
        <v>45901</v>
      </c>
      <c r="C1733" s="72">
        <v>45914</v>
      </c>
      <c r="D1733" s="70" t="s">
        <v>41</v>
      </c>
      <c r="E1733" s="70" t="s">
        <v>6287</v>
      </c>
      <c r="F1733" s="70"/>
      <c r="G1733" s="70" t="s">
        <v>43</v>
      </c>
      <c r="H1733" s="73">
        <v>7.67</v>
      </c>
      <c r="I1733" s="70" t="s">
        <v>44</v>
      </c>
      <c r="J1733" s="70" t="s">
        <v>45</v>
      </c>
      <c r="K1733" s="70" t="s">
        <v>6288</v>
      </c>
      <c r="L1733" s="70" t="s">
        <v>58</v>
      </c>
      <c r="M1733" s="70" t="s">
        <v>48</v>
      </c>
      <c r="N1733" s="70" t="s">
        <v>48</v>
      </c>
      <c r="O1733" s="70" t="s">
        <v>6289</v>
      </c>
      <c r="P1733" s="70" t="s">
        <v>6290</v>
      </c>
      <c r="Q1733" s="70" t="s">
        <v>6291</v>
      </c>
      <c r="R1733" s="73">
        <v>1</v>
      </c>
      <c r="S1733" s="70" t="s">
        <v>3878</v>
      </c>
      <c r="T1733" s="70" t="s">
        <v>53</v>
      </c>
      <c r="U1733" s="70" t="s">
        <v>54</v>
      </c>
      <c r="V1733" s="70" t="s">
        <v>55</v>
      </c>
      <c r="W1733" s="70"/>
      <c r="X1733" s="74">
        <v>45931</v>
      </c>
      <c r="Y1733" s="73">
        <v>95.9</v>
      </c>
      <c r="Z1733" s="73">
        <v>1</v>
      </c>
      <c r="AA1733" s="70"/>
      <c r="AB1733" s="70"/>
      <c r="AC1733" s="70"/>
      <c r="AD1733" s="70"/>
      <c r="AE1733" s="70"/>
      <c r="AF1733" s="73">
        <v>88.23</v>
      </c>
      <c r="AG1733" s="75">
        <v>138000000000000</v>
      </c>
      <c r="AK1733" s="76" t="e">
        <f t="shared" si="8"/>
        <v>#DIV/0!</v>
      </c>
      <c r="AM1733" s="38"/>
      <c r="AO1733" s="28"/>
    </row>
    <row r="1734" spans="1:41" ht="14.5">
      <c r="A1734" s="70" t="s">
        <v>6292</v>
      </c>
      <c r="B1734" s="71">
        <v>45907</v>
      </c>
      <c r="C1734" s="72">
        <v>45914</v>
      </c>
      <c r="D1734" s="70" t="s">
        <v>41</v>
      </c>
      <c r="E1734" s="70" t="s">
        <v>6293</v>
      </c>
      <c r="F1734" s="70"/>
      <c r="G1734" s="70" t="s">
        <v>43</v>
      </c>
      <c r="H1734" s="73">
        <v>5.78</v>
      </c>
      <c r="I1734" s="70" t="s">
        <v>44</v>
      </c>
      <c r="J1734" s="70" t="s">
        <v>45</v>
      </c>
      <c r="K1734" s="70" t="s">
        <v>6294</v>
      </c>
      <c r="L1734" s="70" t="s">
        <v>58</v>
      </c>
      <c r="M1734" s="70" t="s">
        <v>48</v>
      </c>
      <c r="N1734" s="70" t="s">
        <v>48</v>
      </c>
      <c r="O1734" s="70" t="s">
        <v>2554</v>
      </c>
      <c r="P1734" s="70" t="s">
        <v>2555</v>
      </c>
      <c r="Q1734" s="70" t="s">
        <v>2556</v>
      </c>
      <c r="R1734" s="73">
        <v>1</v>
      </c>
      <c r="S1734" s="70" t="s">
        <v>3878</v>
      </c>
      <c r="T1734" s="70" t="s">
        <v>53</v>
      </c>
      <c r="U1734" s="70" t="s">
        <v>54</v>
      </c>
      <c r="V1734" s="70" t="s">
        <v>61</v>
      </c>
      <c r="W1734" s="70"/>
      <c r="X1734" s="70"/>
      <c r="Y1734" s="73">
        <v>77.91</v>
      </c>
      <c r="Z1734" s="73">
        <v>1</v>
      </c>
      <c r="AA1734" s="70"/>
      <c r="AB1734" s="70"/>
      <c r="AC1734" s="70"/>
      <c r="AD1734" s="70"/>
      <c r="AE1734" s="70"/>
      <c r="AF1734" s="70"/>
      <c r="AG1734" s="75">
        <v>139000000000000</v>
      </c>
      <c r="AK1734" s="76" t="e">
        <f t="shared" si="8"/>
        <v>#DIV/0!</v>
      </c>
      <c r="AM1734" s="38"/>
      <c r="AO1734" s="28"/>
    </row>
    <row r="1735" spans="1:41" ht="14.5">
      <c r="A1735" s="70" t="s">
        <v>6295</v>
      </c>
      <c r="B1735" s="71">
        <v>45902</v>
      </c>
      <c r="C1735" s="72">
        <v>45914</v>
      </c>
      <c r="D1735" s="70" t="s">
        <v>41</v>
      </c>
      <c r="E1735" s="70" t="s">
        <v>6296</v>
      </c>
      <c r="F1735" s="70"/>
      <c r="G1735" s="70" t="s">
        <v>43</v>
      </c>
      <c r="H1735" s="73">
        <v>11.78</v>
      </c>
      <c r="I1735" s="70" t="s">
        <v>44</v>
      </c>
      <c r="J1735" s="70" t="s">
        <v>45</v>
      </c>
      <c r="K1735" s="70" t="s">
        <v>6297</v>
      </c>
      <c r="L1735" s="70" t="s">
        <v>58</v>
      </c>
      <c r="M1735" s="70" t="s">
        <v>48</v>
      </c>
      <c r="N1735" s="70" t="s">
        <v>48</v>
      </c>
      <c r="O1735" s="70" t="s">
        <v>443</v>
      </c>
      <c r="P1735" s="70" t="s">
        <v>444</v>
      </c>
      <c r="Q1735" s="70" t="s">
        <v>445</v>
      </c>
      <c r="R1735" s="73">
        <v>1</v>
      </c>
      <c r="S1735" s="70" t="s">
        <v>3878</v>
      </c>
      <c r="T1735" s="70" t="s">
        <v>53</v>
      </c>
      <c r="U1735" s="70" t="s">
        <v>54</v>
      </c>
      <c r="V1735" s="70" t="s">
        <v>55</v>
      </c>
      <c r="W1735" s="70"/>
      <c r="X1735" s="74">
        <v>45919</v>
      </c>
      <c r="Y1735" s="73">
        <v>126.61</v>
      </c>
      <c r="Z1735" s="73">
        <v>1</v>
      </c>
      <c r="AA1735" s="70"/>
      <c r="AB1735" s="70"/>
      <c r="AC1735" s="70"/>
      <c r="AD1735" s="70"/>
      <c r="AE1735" s="70"/>
      <c r="AF1735" s="73">
        <v>114.83</v>
      </c>
      <c r="AG1735" s="75">
        <v>138000000000000</v>
      </c>
      <c r="AK1735" s="76" t="e">
        <f t="shared" si="8"/>
        <v>#DIV/0!</v>
      </c>
      <c r="AM1735" s="38"/>
      <c r="AO1735" s="28"/>
    </row>
    <row r="1736" spans="1:41" ht="14.5">
      <c r="A1736" s="70" t="s">
        <v>6298</v>
      </c>
      <c r="B1736" s="71">
        <v>45905</v>
      </c>
      <c r="C1736" s="72">
        <v>45914</v>
      </c>
      <c r="D1736" s="70" t="s">
        <v>41</v>
      </c>
      <c r="E1736" s="70" t="s">
        <v>6299</v>
      </c>
      <c r="F1736" s="70"/>
      <c r="G1736" s="70" t="s">
        <v>43</v>
      </c>
      <c r="H1736" s="73">
        <v>18.82</v>
      </c>
      <c r="I1736" s="70" t="s">
        <v>44</v>
      </c>
      <c r="J1736" s="70" t="s">
        <v>45</v>
      </c>
      <c r="K1736" s="70" t="s">
        <v>6300</v>
      </c>
      <c r="L1736" s="70" t="s">
        <v>58</v>
      </c>
      <c r="M1736" s="70" t="s">
        <v>48</v>
      </c>
      <c r="N1736" s="70" t="s">
        <v>48</v>
      </c>
      <c r="O1736" s="70" t="s">
        <v>6301</v>
      </c>
      <c r="P1736" s="70" t="s">
        <v>6302</v>
      </c>
      <c r="Q1736" s="70" t="s">
        <v>6303</v>
      </c>
      <c r="R1736" s="73">
        <v>1</v>
      </c>
      <c r="S1736" s="70" t="s">
        <v>3884</v>
      </c>
      <c r="T1736" s="70" t="s">
        <v>53</v>
      </c>
      <c r="U1736" s="70" t="s">
        <v>54</v>
      </c>
      <c r="V1736" s="70" t="s">
        <v>55</v>
      </c>
      <c r="W1736" s="70"/>
      <c r="X1736" s="74">
        <v>45916</v>
      </c>
      <c r="Y1736" s="73">
        <v>63.76</v>
      </c>
      <c r="Z1736" s="73">
        <v>1</v>
      </c>
      <c r="AA1736" s="70"/>
      <c r="AB1736" s="70"/>
      <c r="AC1736" s="70"/>
      <c r="AD1736" s="70"/>
      <c r="AE1736" s="70"/>
      <c r="AF1736" s="73">
        <v>44.94</v>
      </c>
      <c r="AG1736" s="75">
        <v>138000000000000</v>
      </c>
      <c r="AK1736" s="76" t="e">
        <f t="shared" si="8"/>
        <v>#DIV/0!</v>
      </c>
      <c r="AM1736" s="38"/>
      <c r="AO1736" s="28"/>
    </row>
    <row r="1737" spans="1:41" ht="14.5">
      <c r="A1737" s="70" t="s">
        <v>6304</v>
      </c>
      <c r="B1737" s="71">
        <v>45911</v>
      </c>
      <c r="C1737" s="72">
        <v>45914</v>
      </c>
      <c r="D1737" s="70" t="s">
        <v>41</v>
      </c>
      <c r="E1737" s="70" t="s">
        <v>6305</v>
      </c>
      <c r="F1737" s="70"/>
      <c r="G1737" s="70" t="s">
        <v>43</v>
      </c>
      <c r="H1737" s="73">
        <v>20.6</v>
      </c>
      <c r="I1737" s="70" t="s">
        <v>44</v>
      </c>
      <c r="J1737" s="70" t="s">
        <v>45</v>
      </c>
      <c r="K1737" s="70" t="s">
        <v>6306</v>
      </c>
      <c r="L1737" s="70" t="s">
        <v>58</v>
      </c>
      <c r="M1737" s="70" t="s">
        <v>48</v>
      </c>
      <c r="N1737" s="70" t="s">
        <v>48</v>
      </c>
      <c r="O1737" s="70" t="s">
        <v>2080</v>
      </c>
      <c r="P1737" s="70" t="s">
        <v>2081</v>
      </c>
      <c r="Q1737" s="70" t="s">
        <v>2082</v>
      </c>
      <c r="R1737" s="73">
        <v>1</v>
      </c>
      <c r="S1737" s="70" t="s">
        <v>3884</v>
      </c>
      <c r="T1737" s="70" t="s">
        <v>53</v>
      </c>
      <c r="U1737" s="70" t="s">
        <v>54</v>
      </c>
      <c r="V1737" s="70" t="s">
        <v>55</v>
      </c>
      <c r="W1737" s="70"/>
      <c r="X1737" s="74">
        <v>45916</v>
      </c>
      <c r="Y1737" s="73">
        <v>124.38</v>
      </c>
      <c r="Z1737" s="73">
        <v>1</v>
      </c>
      <c r="AA1737" s="70"/>
      <c r="AB1737" s="70"/>
      <c r="AC1737" s="70"/>
      <c r="AD1737" s="70"/>
      <c r="AE1737" s="70"/>
      <c r="AF1737" s="73">
        <v>103.78</v>
      </c>
      <c r="AG1737" s="75">
        <v>139000000000000</v>
      </c>
      <c r="AK1737" s="76" t="e">
        <f t="shared" si="8"/>
        <v>#DIV/0!</v>
      </c>
      <c r="AM1737" s="38"/>
      <c r="AO1737" s="28"/>
    </row>
    <row r="1738" spans="1:41" ht="14.5">
      <c r="A1738" s="70" t="s">
        <v>6307</v>
      </c>
      <c r="B1738" s="71">
        <v>45902</v>
      </c>
      <c r="C1738" s="72">
        <v>45915</v>
      </c>
      <c r="D1738" s="70" t="s">
        <v>41</v>
      </c>
      <c r="E1738" s="70" t="s">
        <v>6308</v>
      </c>
      <c r="F1738" s="70"/>
      <c r="G1738" s="70" t="s">
        <v>43</v>
      </c>
      <c r="H1738" s="73">
        <v>10.92</v>
      </c>
      <c r="I1738" s="70" t="s">
        <v>44</v>
      </c>
      <c r="J1738" s="70" t="s">
        <v>45</v>
      </c>
      <c r="K1738" s="70" t="s">
        <v>6309</v>
      </c>
      <c r="L1738" s="70" t="s">
        <v>58</v>
      </c>
      <c r="M1738" s="70" t="s">
        <v>48</v>
      </c>
      <c r="N1738" s="70" t="s">
        <v>48</v>
      </c>
      <c r="O1738" s="70" t="s">
        <v>49</v>
      </c>
      <c r="P1738" s="70" t="s">
        <v>50</v>
      </c>
      <c r="Q1738" s="70" t="s">
        <v>51</v>
      </c>
      <c r="R1738" s="73">
        <v>1</v>
      </c>
      <c r="S1738" s="70" t="s">
        <v>3868</v>
      </c>
      <c r="T1738" s="70" t="s">
        <v>53</v>
      </c>
      <c r="U1738" s="70" t="s">
        <v>54</v>
      </c>
      <c r="V1738" s="70" t="s">
        <v>55</v>
      </c>
      <c r="W1738" s="70"/>
      <c r="X1738" s="74">
        <v>45917</v>
      </c>
      <c r="Y1738" s="73">
        <v>97.31</v>
      </c>
      <c r="Z1738" s="73">
        <v>1</v>
      </c>
      <c r="AA1738" s="70"/>
      <c r="AB1738" s="70"/>
      <c r="AC1738" s="70"/>
      <c r="AD1738" s="70"/>
      <c r="AE1738" s="70"/>
      <c r="AF1738" s="73">
        <v>86.39</v>
      </c>
      <c r="AG1738" s="75">
        <v>138000000000000</v>
      </c>
      <c r="AK1738" s="76" t="e">
        <f t="shared" si="8"/>
        <v>#DIV/0!</v>
      </c>
      <c r="AM1738" s="38"/>
      <c r="AO1738" s="28"/>
    </row>
    <row r="1739" spans="1:41" ht="14.5">
      <c r="A1739" s="70" t="s">
        <v>6310</v>
      </c>
      <c r="B1739" s="71">
        <v>45906</v>
      </c>
      <c r="C1739" s="72">
        <v>45916</v>
      </c>
      <c r="D1739" s="70" t="s">
        <v>41</v>
      </c>
      <c r="E1739" s="70" t="s">
        <v>6311</v>
      </c>
      <c r="F1739" s="70"/>
      <c r="G1739" s="70" t="s">
        <v>43</v>
      </c>
      <c r="H1739" s="73">
        <v>16.399999999999999</v>
      </c>
      <c r="I1739" s="70" t="s">
        <v>44</v>
      </c>
      <c r="J1739" s="70" t="s">
        <v>45</v>
      </c>
      <c r="K1739" s="70" t="s">
        <v>6312</v>
      </c>
      <c r="L1739" s="70" t="s">
        <v>58</v>
      </c>
      <c r="M1739" s="70" t="s">
        <v>48</v>
      </c>
      <c r="N1739" s="70" t="s">
        <v>48</v>
      </c>
      <c r="O1739" s="70" t="s">
        <v>4936</v>
      </c>
      <c r="P1739" s="70" t="s">
        <v>4937</v>
      </c>
      <c r="Q1739" s="70" t="s">
        <v>4938</v>
      </c>
      <c r="R1739" s="73">
        <v>1</v>
      </c>
      <c r="S1739" s="70" t="s">
        <v>3878</v>
      </c>
      <c r="T1739" s="70" t="s">
        <v>53</v>
      </c>
      <c r="U1739" s="70" t="s">
        <v>54</v>
      </c>
      <c r="V1739" s="70" t="s">
        <v>61</v>
      </c>
      <c r="W1739" s="70"/>
      <c r="X1739" s="74">
        <v>45922</v>
      </c>
      <c r="Y1739" s="73">
        <v>114.35</v>
      </c>
      <c r="Z1739" s="73">
        <v>1</v>
      </c>
      <c r="AA1739" s="70"/>
      <c r="AB1739" s="70"/>
      <c r="AC1739" s="70"/>
      <c r="AD1739" s="70"/>
      <c r="AE1739" s="70"/>
      <c r="AF1739" s="73">
        <v>98.05</v>
      </c>
      <c r="AG1739" s="75">
        <v>138000000000000</v>
      </c>
      <c r="AK1739" s="76" t="e">
        <f t="shared" si="8"/>
        <v>#DIV/0!</v>
      </c>
      <c r="AM1739" s="38"/>
      <c r="AO1739" s="28"/>
    </row>
    <row r="1740" spans="1:41" ht="14.5">
      <c r="A1740" s="70" t="s">
        <v>6313</v>
      </c>
      <c r="B1740" s="71">
        <v>45893</v>
      </c>
      <c r="C1740" s="72">
        <v>45916</v>
      </c>
      <c r="D1740" s="70" t="s">
        <v>41</v>
      </c>
      <c r="E1740" s="70" t="s">
        <v>6314</v>
      </c>
      <c r="F1740" s="70"/>
      <c r="G1740" s="70" t="s">
        <v>43</v>
      </c>
      <c r="H1740" s="73">
        <v>13.9</v>
      </c>
      <c r="I1740" s="70" t="s">
        <v>44</v>
      </c>
      <c r="J1740" s="70" t="s">
        <v>45</v>
      </c>
      <c r="K1740" s="70" t="s">
        <v>6315</v>
      </c>
      <c r="L1740" s="70" t="s">
        <v>47</v>
      </c>
      <c r="M1740" s="70" t="s">
        <v>48</v>
      </c>
      <c r="N1740" s="70" t="s">
        <v>48</v>
      </c>
      <c r="O1740" s="70" t="s">
        <v>1292</v>
      </c>
      <c r="P1740" s="70" t="s">
        <v>1293</v>
      </c>
      <c r="Q1740" s="70" t="s">
        <v>5833</v>
      </c>
      <c r="R1740" s="73">
        <v>1</v>
      </c>
      <c r="S1740" s="70" t="s">
        <v>99</v>
      </c>
      <c r="T1740" s="70" t="s">
        <v>53</v>
      </c>
      <c r="U1740" s="70" t="s">
        <v>54</v>
      </c>
      <c r="V1740" s="70" t="s">
        <v>61</v>
      </c>
      <c r="W1740" s="70"/>
      <c r="X1740" s="74">
        <v>45926</v>
      </c>
      <c r="Y1740" s="73">
        <v>77.11</v>
      </c>
      <c r="Z1740" s="73">
        <v>1</v>
      </c>
      <c r="AA1740" s="70"/>
      <c r="AB1740" s="70"/>
      <c r="AC1740" s="70"/>
      <c r="AD1740" s="70"/>
      <c r="AE1740" s="70"/>
      <c r="AF1740" s="73">
        <v>60.85</v>
      </c>
      <c r="AG1740" s="75">
        <v>137000000000000</v>
      </c>
      <c r="AK1740" s="76" t="e">
        <f t="shared" si="8"/>
        <v>#DIV/0!</v>
      </c>
      <c r="AM1740" s="38"/>
      <c r="AO1740" s="28"/>
    </row>
    <row r="1741" spans="1:41" ht="14.5">
      <c r="A1741" s="70" t="s">
        <v>6316</v>
      </c>
      <c r="B1741" s="71">
        <v>45903</v>
      </c>
      <c r="C1741" s="72">
        <v>45916</v>
      </c>
      <c r="D1741" s="70" t="s">
        <v>41</v>
      </c>
      <c r="E1741" s="70" t="s">
        <v>6317</v>
      </c>
      <c r="F1741" s="70"/>
      <c r="G1741" s="70" t="s">
        <v>43</v>
      </c>
      <c r="H1741" s="73">
        <v>12.95</v>
      </c>
      <c r="I1741" s="70" t="s">
        <v>44</v>
      </c>
      <c r="J1741" s="70" t="s">
        <v>45</v>
      </c>
      <c r="K1741" s="70" t="s">
        <v>6318</v>
      </c>
      <c r="L1741" s="70" t="s">
        <v>58</v>
      </c>
      <c r="M1741" s="70" t="s">
        <v>48</v>
      </c>
      <c r="N1741" s="70" t="s">
        <v>48</v>
      </c>
      <c r="O1741" s="70" t="s">
        <v>2116</v>
      </c>
      <c r="P1741" s="70" t="s">
        <v>2117</v>
      </c>
      <c r="Q1741" s="70" t="s">
        <v>6255</v>
      </c>
      <c r="R1741" s="73">
        <v>1</v>
      </c>
      <c r="S1741" s="70" t="s">
        <v>75</v>
      </c>
      <c r="T1741" s="70" t="s">
        <v>53</v>
      </c>
      <c r="U1741" s="70" t="s">
        <v>54</v>
      </c>
      <c r="V1741" s="70" t="s">
        <v>55</v>
      </c>
      <c r="W1741" s="70"/>
      <c r="X1741" s="74">
        <v>45922</v>
      </c>
      <c r="Y1741" s="73">
        <v>83.13</v>
      </c>
      <c r="Z1741" s="73">
        <v>1</v>
      </c>
      <c r="AA1741" s="70"/>
      <c r="AB1741" s="70"/>
      <c r="AC1741" s="70"/>
      <c r="AD1741" s="70"/>
      <c r="AE1741" s="70"/>
      <c r="AF1741" s="73">
        <v>70.180000000000007</v>
      </c>
      <c r="AG1741" s="75">
        <v>138000000000000</v>
      </c>
      <c r="AK1741" s="76" t="e">
        <f t="shared" si="8"/>
        <v>#DIV/0!</v>
      </c>
      <c r="AM1741" s="38"/>
      <c r="AO1741" s="28"/>
    </row>
    <row r="1742" spans="1:41" ht="14.5">
      <c r="A1742" s="70" t="s">
        <v>6319</v>
      </c>
      <c r="B1742" s="71">
        <v>45896</v>
      </c>
      <c r="C1742" s="72">
        <v>45916</v>
      </c>
      <c r="D1742" s="70" t="s">
        <v>41</v>
      </c>
      <c r="E1742" s="70" t="s">
        <v>6320</v>
      </c>
      <c r="F1742" s="70"/>
      <c r="G1742" s="70" t="s">
        <v>43</v>
      </c>
      <c r="H1742" s="73">
        <v>21.71</v>
      </c>
      <c r="I1742" s="70" t="s">
        <v>44</v>
      </c>
      <c r="J1742" s="70" t="s">
        <v>45</v>
      </c>
      <c r="K1742" s="70" t="s">
        <v>6321</v>
      </c>
      <c r="L1742" s="70" t="s">
        <v>58</v>
      </c>
      <c r="M1742" s="70" t="s">
        <v>48</v>
      </c>
      <c r="N1742" s="70" t="s">
        <v>48</v>
      </c>
      <c r="O1742" s="70" t="s">
        <v>707</v>
      </c>
      <c r="P1742" s="70" t="s">
        <v>708</v>
      </c>
      <c r="Q1742" s="70" t="s">
        <v>6230</v>
      </c>
      <c r="R1742" s="73">
        <v>2</v>
      </c>
      <c r="S1742" s="70" t="s">
        <v>68</v>
      </c>
      <c r="T1742" s="70" t="s">
        <v>53</v>
      </c>
      <c r="U1742" s="70" t="s">
        <v>54</v>
      </c>
      <c r="V1742" s="70" t="s">
        <v>61</v>
      </c>
      <c r="W1742" s="70"/>
      <c r="X1742" s="74">
        <v>45919</v>
      </c>
      <c r="Y1742" s="73">
        <v>201.8</v>
      </c>
      <c r="Z1742" s="73">
        <v>2</v>
      </c>
      <c r="AA1742" s="70"/>
      <c r="AB1742" s="70"/>
      <c r="AC1742" s="70"/>
      <c r="AD1742" s="70"/>
      <c r="AE1742" s="70"/>
      <c r="AF1742" s="73">
        <v>171.9</v>
      </c>
      <c r="AG1742" s="75">
        <v>138000000000000</v>
      </c>
      <c r="AK1742" s="76" t="e">
        <f t="shared" si="8"/>
        <v>#DIV/0!</v>
      </c>
      <c r="AM1742" s="38"/>
      <c r="AO1742" s="28"/>
    </row>
    <row r="1743" spans="1:41" ht="14.5">
      <c r="A1743" s="70" t="s">
        <v>6322</v>
      </c>
      <c r="B1743" s="71">
        <v>45885</v>
      </c>
      <c r="C1743" s="72">
        <v>45916</v>
      </c>
      <c r="D1743" s="70" t="s">
        <v>41</v>
      </c>
      <c r="E1743" s="70" t="s">
        <v>6323</v>
      </c>
      <c r="F1743" s="70"/>
      <c r="G1743" s="70" t="s">
        <v>43</v>
      </c>
      <c r="H1743" s="73">
        <v>7.49</v>
      </c>
      <c r="I1743" s="70" t="s">
        <v>44</v>
      </c>
      <c r="J1743" s="70" t="s">
        <v>45</v>
      </c>
      <c r="K1743" s="70" t="s">
        <v>6324</v>
      </c>
      <c r="L1743" s="70" t="s">
        <v>58</v>
      </c>
      <c r="M1743" s="70" t="s">
        <v>48</v>
      </c>
      <c r="N1743" s="70" t="s">
        <v>48</v>
      </c>
      <c r="O1743" s="70" t="s">
        <v>1116</v>
      </c>
      <c r="P1743" s="70" t="s">
        <v>1117</v>
      </c>
      <c r="Q1743" s="70" t="s">
        <v>1833</v>
      </c>
      <c r="R1743" s="73">
        <v>1</v>
      </c>
      <c r="S1743" s="70" t="s">
        <v>3868</v>
      </c>
      <c r="T1743" s="70" t="s">
        <v>53</v>
      </c>
      <c r="U1743" s="70" t="s">
        <v>54</v>
      </c>
      <c r="V1743" s="70" t="s">
        <v>55</v>
      </c>
      <c r="W1743" s="70"/>
      <c r="X1743" s="74">
        <v>45919</v>
      </c>
      <c r="Y1743" s="73">
        <v>78.75</v>
      </c>
      <c r="Z1743" s="73">
        <v>1</v>
      </c>
      <c r="AA1743" s="70"/>
      <c r="AB1743" s="70"/>
      <c r="AC1743" s="70"/>
      <c r="AD1743" s="70"/>
      <c r="AE1743" s="70"/>
      <c r="AF1743" s="73">
        <v>71.260000000000005</v>
      </c>
      <c r="AG1743" s="75">
        <v>137000000000000</v>
      </c>
      <c r="AK1743" s="76" t="e">
        <f t="shared" si="8"/>
        <v>#DIV/0!</v>
      </c>
      <c r="AM1743" s="38"/>
      <c r="AO1743" s="28"/>
    </row>
    <row r="1744" spans="1:41" ht="14.5">
      <c r="A1744" s="70" t="s">
        <v>6325</v>
      </c>
      <c r="B1744" s="71">
        <v>45910</v>
      </c>
      <c r="C1744" s="72">
        <v>45916</v>
      </c>
      <c r="D1744" s="70" t="s">
        <v>41</v>
      </c>
      <c r="E1744" s="70" t="s">
        <v>6326</v>
      </c>
      <c r="F1744" s="70"/>
      <c r="G1744" s="70" t="s">
        <v>43</v>
      </c>
      <c r="H1744" s="73">
        <v>10.92</v>
      </c>
      <c r="I1744" s="70" t="s">
        <v>44</v>
      </c>
      <c r="J1744" s="70" t="s">
        <v>45</v>
      </c>
      <c r="K1744" s="70" t="s">
        <v>6327</v>
      </c>
      <c r="L1744" s="70" t="s">
        <v>58</v>
      </c>
      <c r="M1744" s="70" t="s">
        <v>48</v>
      </c>
      <c r="N1744" s="70" t="s">
        <v>48</v>
      </c>
      <c r="O1744" s="70" t="s">
        <v>2193</v>
      </c>
      <c r="P1744" s="70" t="s">
        <v>2194</v>
      </c>
      <c r="Q1744" s="70" t="s">
        <v>2195</v>
      </c>
      <c r="R1744" s="73">
        <v>1</v>
      </c>
      <c r="S1744" s="70" t="s">
        <v>3868</v>
      </c>
      <c r="T1744" s="70" t="s">
        <v>53</v>
      </c>
      <c r="U1744" s="70" t="s">
        <v>54</v>
      </c>
      <c r="V1744" s="70" t="s">
        <v>55</v>
      </c>
      <c r="W1744" s="70"/>
      <c r="X1744" s="74">
        <v>45930</v>
      </c>
      <c r="Y1744" s="73">
        <v>82.19</v>
      </c>
      <c r="Z1744" s="73">
        <v>1</v>
      </c>
      <c r="AA1744" s="70"/>
      <c r="AB1744" s="70"/>
      <c r="AC1744" s="70"/>
      <c r="AD1744" s="70"/>
      <c r="AE1744" s="70"/>
      <c r="AF1744" s="73">
        <v>71.27</v>
      </c>
      <c r="AG1744" s="75">
        <v>139000000000000</v>
      </c>
      <c r="AK1744" s="76" t="e">
        <f t="shared" si="8"/>
        <v>#DIV/0!</v>
      </c>
      <c r="AM1744" s="38"/>
      <c r="AO1744" s="28"/>
    </row>
    <row r="1745" spans="1:41" ht="14.5">
      <c r="A1745" s="70" t="s">
        <v>6328</v>
      </c>
      <c r="B1745" s="71">
        <v>45915</v>
      </c>
      <c r="C1745" s="72">
        <v>45917</v>
      </c>
      <c r="D1745" s="70" t="s">
        <v>41</v>
      </c>
      <c r="E1745" s="70" t="s">
        <v>6329</v>
      </c>
      <c r="F1745" s="70"/>
      <c r="G1745" s="70" t="s">
        <v>43</v>
      </c>
      <c r="H1745" s="73">
        <v>13.9</v>
      </c>
      <c r="I1745" s="70" t="s">
        <v>44</v>
      </c>
      <c r="J1745" s="70" t="s">
        <v>45</v>
      </c>
      <c r="K1745" s="70" t="s">
        <v>6330</v>
      </c>
      <c r="L1745" s="70" t="s">
        <v>58</v>
      </c>
      <c r="M1745" s="70" t="s">
        <v>48</v>
      </c>
      <c r="N1745" s="70" t="s">
        <v>48</v>
      </c>
      <c r="O1745" s="70" t="s">
        <v>6331</v>
      </c>
      <c r="P1745" s="70" t="s">
        <v>6332</v>
      </c>
      <c r="Q1745" s="70" t="s">
        <v>6333</v>
      </c>
      <c r="R1745" s="73">
        <v>1</v>
      </c>
      <c r="S1745" s="70" t="s">
        <v>3878</v>
      </c>
      <c r="T1745" s="70" t="s">
        <v>53</v>
      </c>
      <c r="U1745" s="70" t="s">
        <v>54</v>
      </c>
      <c r="V1745" s="70" t="s">
        <v>55</v>
      </c>
      <c r="W1745" s="70"/>
      <c r="X1745" s="74">
        <v>45922</v>
      </c>
      <c r="Y1745" s="73">
        <v>101.08</v>
      </c>
      <c r="Z1745" s="73">
        <v>1</v>
      </c>
      <c r="AA1745" s="70"/>
      <c r="AB1745" s="70"/>
      <c r="AC1745" s="70"/>
      <c r="AD1745" s="70"/>
      <c r="AE1745" s="70"/>
      <c r="AF1745" s="73">
        <v>87.18</v>
      </c>
      <c r="AG1745" s="75">
        <v>139000000000000</v>
      </c>
      <c r="AK1745" s="76" t="e">
        <f t="shared" si="8"/>
        <v>#DIV/0!</v>
      </c>
      <c r="AM1745" s="38"/>
      <c r="AO1745" s="28"/>
    </row>
    <row r="1746" spans="1:41" ht="14.5">
      <c r="A1746" s="70" t="s">
        <v>6334</v>
      </c>
      <c r="B1746" s="71">
        <v>45907</v>
      </c>
      <c r="C1746" s="72">
        <v>45918</v>
      </c>
      <c r="D1746" s="70" t="s">
        <v>41</v>
      </c>
      <c r="E1746" s="70" t="s">
        <v>6335</v>
      </c>
      <c r="F1746" s="70"/>
      <c r="G1746" s="70" t="s">
        <v>43</v>
      </c>
      <c r="H1746" s="73">
        <v>11.37</v>
      </c>
      <c r="I1746" s="70" t="s">
        <v>44</v>
      </c>
      <c r="J1746" s="70" t="s">
        <v>45</v>
      </c>
      <c r="K1746" s="70" t="s">
        <v>6336</v>
      </c>
      <c r="L1746" s="70" t="s">
        <v>47</v>
      </c>
      <c r="M1746" s="70" t="s">
        <v>48</v>
      </c>
      <c r="N1746" s="70" t="s">
        <v>48</v>
      </c>
      <c r="O1746" s="70" t="s">
        <v>160</v>
      </c>
      <c r="P1746" s="70" t="s">
        <v>161</v>
      </c>
      <c r="Q1746" s="70" t="s">
        <v>4426</v>
      </c>
      <c r="R1746" s="73">
        <v>1</v>
      </c>
      <c r="S1746" s="70" t="s">
        <v>92</v>
      </c>
      <c r="T1746" s="70" t="s">
        <v>53</v>
      </c>
      <c r="U1746" s="70" t="s">
        <v>54</v>
      </c>
      <c r="V1746" s="70" t="s">
        <v>55</v>
      </c>
      <c r="W1746" s="70"/>
      <c r="X1746" s="74">
        <v>45925</v>
      </c>
      <c r="Y1746" s="73">
        <v>47.37</v>
      </c>
      <c r="Z1746" s="73">
        <v>1</v>
      </c>
      <c r="AA1746" s="70"/>
      <c r="AB1746" s="70"/>
      <c r="AC1746" s="70"/>
      <c r="AD1746" s="70"/>
      <c r="AE1746" s="70"/>
      <c r="AF1746" s="73">
        <v>47.37</v>
      </c>
      <c r="AG1746" s="75">
        <v>139000000000000</v>
      </c>
      <c r="AK1746" s="76" t="e">
        <f t="shared" si="8"/>
        <v>#DIV/0!</v>
      </c>
      <c r="AM1746" s="38" t="s">
        <v>561</v>
      </c>
      <c r="AO1746" s="57" t="s">
        <v>6337</v>
      </c>
    </row>
    <row r="1747" spans="1:41" ht="14.5">
      <c r="A1747" s="70" t="s">
        <v>6338</v>
      </c>
      <c r="B1747" s="71">
        <v>45914</v>
      </c>
      <c r="C1747" s="72">
        <v>45918</v>
      </c>
      <c r="D1747" s="70" t="s">
        <v>41</v>
      </c>
      <c r="E1747" s="70" t="s">
        <v>6339</v>
      </c>
      <c r="F1747" s="70"/>
      <c r="G1747" s="70" t="s">
        <v>43</v>
      </c>
      <c r="H1747" s="73">
        <v>7.89</v>
      </c>
      <c r="I1747" s="70" t="s">
        <v>44</v>
      </c>
      <c r="J1747" s="70" t="s">
        <v>45</v>
      </c>
      <c r="K1747" s="70" t="s">
        <v>6340</v>
      </c>
      <c r="L1747" s="70" t="s">
        <v>58</v>
      </c>
      <c r="M1747" s="70" t="s">
        <v>48</v>
      </c>
      <c r="N1747" s="70" t="s">
        <v>48</v>
      </c>
      <c r="O1747" s="70" t="s">
        <v>6341</v>
      </c>
      <c r="P1747" s="70" t="s">
        <v>6342</v>
      </c>
      <c r="Q1747" s="70" t="s">
        <v>6343</v>
      </c>
      <c r="R1747" s="73">
        <v>1</v>
      </c>
      <c r="S1747" s="70" t="s">
        <v>3868</v>
      </c>
      <c r="T1747" s="70" t="s">
        <v>53</v>
      </c>
      <c r="U1747" s="70" t="s">
        <v>54</v>
      </c>
      <c r="V1747" s="70" t="s">
        <v>55</v>
      </c>
      <c r="W1747" s="70"/>
      <c r="X1747" s="74">
        <v>45923</v>
      </c>
      <c r="Y1747" s="73">
        <v>94.09</v>
      </c>
      <c r="Z1747" s="73">
        <v>1</v>
      </c>
      <c r="AA1747" s="70"/>
      <c r="AB1747" s="70"/>
      <c r="AC1747" s="70"/>
      <c r="AD1747" s="70"/>
      <c r="AE1747" s="70"/>
      <c r="AF1747" s="73">
        <v>86.2</v>
      </c>
      <c r="AG1747" s="75">
        <v>139000000000000</v>
      </c>
      <c r="AK1747" s="76" t="e">
        <f t="shared" si="8"/>
        <v>#DIV/0!</v>
      </c>
      <c r="AM1747" s="38"/>
      <c r="AO1747" s="28"/>
    </row>
    <row r="1748" spans="1:41" ht="14.5">
      <c r="A1748" s="70" t="s">
        <v>6344</v>
      </c>
      <c r="B1748" s="71">
        <v>45902</v>
      </c>
      <c r="C1748" s="72">
        <v>45918</v>
      </c>
      <c r="D1748" s="70" t="s">
        <v>41</v>
      </c>
      <c r="E1748" s="70" t="s">
        <v>6345</v>
      </c>
      <c r="F1748" s="70"/>
      <c r="G1748" s="70" t="s">
        <v>43</v>
      </c>
      <c r="H1748" s="73">
        <v>14.37</v>
      </c>
      <c r="I1748" s="70" t="s">
        <v>44</v>
      </c>
      <c r="J1748" s="70" t="s">
        <v>45</v>
      </c>
      <c r="K1748" s="70" t="s">
        <v>6346</v>
      </c>
      <c r="L1748" s="70" t="s">
        <v>47</v>
      </c>
      <c r="M1748" s="70" t="s">
        <v>48</v>
      </c>
      <c r="N1748" s="70" t="s">
        <v>48</v>
      </c>
      <c r="O1748" s="70" t="s">
        <v>632</v>
      </c>
      <c r="P1748" s="70" t="s">
        <v>633</v>
      </c>
      <c r="Q1748" s="70" t="s">
        <v>5533</v>
      </c>
      <c r="R1748" s="73">
        <v>1</v>
      </c>
      <c r="S1748" s="70" t="s">
        <v>92</v>
      </c>
      <c r="T1748" s="70" t="s">
        <v>53</v>
      </c>
      <c r="U1748" s="70" t="s">
        <v>54</v>
      </c>
      <c r="V1748" s="70" t="s">
        <v>61</v>
      </c>
      <c r="W1748" s="70"/>
      <c r="X1748" s="70"/>
      <c r="Y1748" s="73">
        <v>74.02</v>
      </c>
      <c r="Z1748" s="73">
        <v>1</v>
      </c>
      <c r="AA1748" s="70"/>
      <c r="AB1748" s="70"/>
      <c r="AC1748" s="70"/>
      <c r="AD1748" s="70"/>
      <c r="AE1748" s="70"/>
      <c r="AF1748" s="70"/>
      <c r="AG1748" s="75">
        <v>138000000000000</v>
      </c>
      <c r="AK1748" s="76" t="e">
        <f t="shared" si="8"/>
        <v>#DIV/0!</v>
      </c>
      <c r="AM1748" s="38" t="s">
        <v>561</v>
      </c>
      <c r="AO1748" s="57" t="s">
        <v>6347</v>
      </c>
    </row>
    <row r="1749" spans="1:41" ht="14.5">
      <c r="A1749" s="70" t="s">
        <v>6348</v>
      </c>
      <c r="B1749" s="71">
        <v>45917</v>
      </c>
      <c r="C1749" s="72">
        <v>45919</v>
      </c>
      <c r="D1749" s="70" t="s">
        <v>41</v>
      </c>
      <c r="E1749" s="70" t="s">
        <v>6349</v>
      </c>
      <c r="F1749" s="70"/>
      <c r="G1749" s="70" t="s">
        <v>43</v>
      </c>
      <c r="H1749" s="73">
        <v>11.37</v>
      </c>
      <c r="I1749" s="70" t="s">
        <v>44</v>
      </c>
      <c r="J1749" s="70" t="s">
        <v>45</v>
      </c>
      <c r="K1749" s="70" t="s">
        <v>6350</v>
      </c>
      <c r="L1749" s="70" t="s">
        <v>58</v>
      </c>
      <c r="M1749" s="70" t="s">
        <v>48</v>
      </c>
      <c r="N1749" s="70" t="s">
        <v>48</v>
      </c>
      <c r="O1749" s="70" t="s">
        <v>1704</v>
      </c>
      <c r="P1749" s="70" t="s">
        <v>1705</v>
      </c>
      <c r="Q1749" s="70" t="s">
        <v>6351</v>
      </c>
      <c r="R1749" s="73">
        <v>1</v>
      </c>
      <c r="S1749" s="70" t="s">
        <v>68</v>
      </c>
      <c r="T1749" s="70" t="s">
        <v>53</v>
      </c>
      <c r="U1749" s="70" t="s">
        <v>54</v>
      </c>
      <c r="V1749" s="70" t="s">
        <v>61</v>
      </c>
      <c r="W1749" s="70"/>
      <c r="X1749" s="70"/>
      <c r="Y1749" s="73">
        <v>47</v>
      </c>
      <c r="Z1749" s="73">
        <v>1</v>
      </c>
      <c r="AA1749" s="70"/>
      <c r="AB1749" s="70"/>
      <c r="AC1749" s="70"/>
      <c r="AD1749" s="70"/>
      <c r="AE1749" s="70"/>
      <c r="AF1749" s="70"/>
      <c r="AG1749" s="75">
        <v>140000000000000</v>
      </c>
      <c r="AK1749" s="76" t="e">
        <f t="shared" si="8"/>
        <v>#DIV/0!</v>
      </c>
      <c r="AM1749" s="38"/>
      <c r="AO1749" s="28"/>
    </row>
    <row r="1750" spans="1:41" ht="14.5">
      <c r="A1750" s="70" t="s">
        <v>6352</v>
      </c>
      <c r="B1750" s="71">
        <v>45918</v>
      </c>
      <c r="C1750" s="72">
        <v>45919</v>
      </c>
      <c r="D1750" s="70" t="s">
        <v>41</v>
      </c>
      <c r="E1750" s="70" t="s">
        <v>6353</v>
      </c>
      <c r="F1750" s="70"/>
      <c r="G1750" s="70" t="s">
        <v>43</v>
      </c>
      <c r="H1750" s="73">
        <v>11.78</v>
      </c>
      <c r="I1750" s="70" t="s">
        <v>44</v>
      </c>
      <c r="J1750" s="70" t="s">
        <v>45</v>
      </c>
      <c r="K1750" s="70" t="s">
        <v>6354</v>
      </c>
      <c r="L1750" s="70" t="s">
        <v>58</v>
      </c>
      <c r="M1750" s="70" t="s">
        <v>48</v>
      </c>
      <c r="N1750" s="70" t="s">
        <v>48</v>
      </c>
      <c r="O1750" s="70" t="s">
        <v>331</v>
      </c>
      <c r="P1750" s="70" t="s">
        <v>332</v>
      </c>
      <c r="Q1750" s="70" t="s">
        <v>333</v>
      </c>
      <c r="R1750" s="73">
        <v>1</v>
      </c>
      <c r="S1750" s="70" t="s">
        <v>3878</v>
      </c>
      <c r="T1750" s="70" t="s">
        <v>53</v>
      </c>
      <c r="U1750" s="70" t="s">
        <v>54</v>
      </c>
      <c r="V1750" s="70" t="s">
        <v>61</v>
      </c>
      <c r="W1750" s="70"/>
      <c r="X1750" s="70"/>
      <c r="Y1750" s="73">
        <v>79.959999999999994</v>
      </c>
      <c r="Z1750" s="73">
        <v>1</v>
      </c>
      <c r="AA1750" s="70"/>
      <c r="AB1750" s="70"/>
      <c r="AC1750" s="70"/>
      <c r="AD1750" s="70"/>
      <c r="AE1750" s="70"/>
      <c r="AF1750" s="70"/>
      <c r="AG1750" s="75">
        <v>140000000000000</v>
      </c>
      <c r="AK1750" s="76" t="e">
        <f t="shared" si="8"/>
        <v>#DIV/0!</v>
      </c>
      <c r="AM1750" s="38"/>
      <c r="AO1750" s="28"/>
    </row>
    <row r="1751" spans="1:41" ht="14.5">
      <c r="A1751" s="70" t="s">
        <v>6355</v>
      </c>
      <c r="B1751" s="71">
        <v>45917</v>
      </c>
      <c r="C1751" s="72">
        <v>45919</v>
      </c>
      <c r="D1751" s="70" t="s">
        <v>41</v>
      </c>
      <c r="E1751" s="70" t="s">
        <v>6356</v>
      </c>
      <c r="F1751" s="70"/>
      <c r="G1751" s="70" t="s">
        <v>137</v>
      </c>
      <c r="H1751" s="73">
        <v>0</v>
      </c>
      <c r="I1751" s="70"/>
      <c r="J1751" s="70"/>
      <c r="K1751" s="70"/>
      <c r="L1751" s="70" t="s">
        <v>58</v>
      </c>
      <c r="M1751" s="70" t="s">
        <v>48</v>
      </c>
      <c r="N1751" s="70" t="s">
        <v>48</v>
      </c>
      <c r="O1751" s="70" t="s">
        <v>6357</v>
      </c>
      <c r="P1751" s="70" t="s">
        <v>6358</v>
      </c>
      <c r="Q1751" s="70" t="s">
        <v>6359</v>
      </c>
      <c r="R1751" s="73">
        <v>1</v>
      </c>
      <c r="S1751" s="70" t="s">
        <v>3884</v>
      </c>
      <c r="T1751" s="70" t="s">
        <v>53</v>
      </c>
      <c r="U1751" s="70" t="s">
        <v>54</v>
      </c>
      <c r="V1751" s="70" t="s">
        <v>61</v>
      </c>
      <c r="W1751" s="70"/>
      <c r="X1751" s="70"/>
      <c r="Y1751" s="73">
        <v>139.31</v>
      </c>
      <c r="Z1751" s="73">
        <v>1</v>
      </c>
      <c r="AA1751" s="70"/>
      <c r="AB1751" s="70"/>
      <c r="AC1751" s="70"/>
      <c r="AD1751" s="70"/>
      <c r="AE1751" s="70"/>
      <c r="AF1751" s="70"/>
      <c r="AG1751" s="75">
        <v>140000000000000</v>
      </c>
      <c r="AK1751" s="76" t="e">
        <f t="shared" si="8"/>
        <v>#DIV/0!</v>
      </c>
      <c r="AM1751" s="38"/>
      <c r="AO1751" s="28"/>
    </row>
    <row r="1752" spans="1:41" ht="14.5">
      <c r="A1752" s="70" t="s">
        <v>6360</v>
      </c>
      <c r="B1752" s="71">
        <v>45906</v>
      </c>
      <c r="C1752" s="72">
        <v>45919</v>
      </c>
      <c r="D1752" s="70" t="s">
        <v>41</v>
      </c>
      <c r="E1752" s="70" t="s">
        <v>6361</v>
      </c>
      <c r="F1752" s="70"/>
      <c r="G1752" s="70" t="s">
        <v>43</v>
      </c>
      <c r="H1752" s="73">
        <v>7.25</v>
      </c>
      <c r="I1752" s="70" t="s">
        <v>44</v>
      </c>
      <c r="J1752" s="70" t="s">
        <v>45</v>
      </c>
      <c r="K1752" s="70" t="s">
        <v>6362</v>
      </c>
      <c r="L1752" s="70" t="s">
        <v>58</v>
      </c>
      <c r="M1752" s="70" t="s">
        <v>48</v>
      </c>
      <c r="N1752" s="70" t="s">
        <v>48</v>
      </c>
      <c r="O1752" s="70" t="s">
        <v>4540</v>
      </c>
      <c r="P1752" s="70" t="s">
        <v>4541</v>
      </c>
      <c r="Q1752" s="70" t="s">
        <v>4542</v>
      </c>
      <c r="R1752" s="73">
        <v>1</v>
      </c>
      <c r="S1752" s="70" t="s">
        <v>3884</v>
      </c>
      <c r="T1752" s="70" t="s">
        <v>53</v>
      </c>
      <c r="U1752" s="70" t="s">
        <v>54</v>
      </c>
      <c r="V1752" s="70" t="s">
        <v>55</v>
      </c>
      <c r="W1752" s="70"/>
      <c r="X1752" s="74">
        <v>45924</v>
      </c>
      <c r="Y1752" s="73">
        <v>63.66</v>
      </c>
      <c r="Z1752" s="73">
        <v>1</v>
      </c>
      <c r="AA1752" s="70"/>
      <c r="AB1752" s="70"/>
      <c r="AC1752" s="70"/>
      <c r="AD1752" s="70"/>
      <c r="AE1752" s="70"/>
      <c r="AF1752" s="73">
        <v>56.41</v>
      </c>
      <c r="AG1752" s="75">
        <v>138000000000000</v>
      </c>
      <c r="AK1752" s="76" t="e">
        <f t="shared" si="8"/>
        <v>#DIV/0!</v>
      </c>
      <c r="AM1752" s="38"/>
      <c r="AO1752" s="28"/>
    </row>
    <row r="1753" spans="1:41" ht="14.5">
      <c r="A1753" s="70" t="s">
        <v>6363</v>
      </c>
      <c r="B1753" s="71">
        <v>45915</v>
      </c>
      <c r="C1753" s="72">
        <v>45920</v>
      </c>
      <c r="D1753" s="70" t="s">
        <v>41</v>
      </c>
      <c r="E1753" s="70" t="s">
        <v>6364</v>
      </c>
      <c r="F1753" s="70"/>
      <c r="G1753" s="70" t="s">
        <v>43</v>
      </c>
      <c r="H1753" s="73">
        <v>7.49</v>
      </c>
      <c r="I1753" s="70" t="s">
        <v>44</v>
      </c>
      <c r="J1753" s="70" t="s">
        <v>45</v>
      </c>
      <c r="K1753" s="70" t="s">
        <v>6365</v>
      </c>
      <c r="L1753" s="70" t="s">
        <v>58</v>
      </c>
      <c r="M1753" s="70" t="s">
        <v>48</v>
      </c>
      <c r="N1753" s="70" t="s">
        <v>48</v>
      </c>
      <c r="O1753" s="70" t="s">
        <v>390</v>
      </c>
      <c r="P1753" s="70" t="s">
        <v>391</v>
      </c>
      <c r="Q1753" s="70" t="s">
        <v>4234</v>
      </c>
      <c r="R1753" s="73">
        <v>1</v>
      </c>
      <c r="S1753" s="70" t="s">
        <v>3868</v>
      </c>
      <c r="T1753" s="70" t="s">
        <v>53</v>
      </c>
      <c r="U1753" s="70" t="s">
        <v>54</v>
      </c>
      <c r="V1753" s="70" t="s">
        <v>55</v>
      </c>
      <c r="W1753" s="70"/>
      <c r="X1753" s="74">
        <v>45925</v>
      </c>
      <c r="Y1753" s="73">
        <v>47.74</v>
      </c>
      <c r="Z1753" s="73">
        <v>1</v>
      </c>
      <c r="AA1753" s="70"/>
      <c r="AB1753" s="70"/>
      <c r="AC1753" s="70"/>
      <c r="AD1753" s="70"/>
      <c r="AE1753" s="70"/>
      <c r="AF1753" s="73">
        <v>40.25</v>
      </c>
      <c r="AG1753" s="75">
        <v>139000000000000</v>
      </c>
      <c r="AK1753" s="76" t="e">
        <f t="shared" si="8"/>
        <v>#DIV/0!</v>
      </c>
      <c r="AM1753" s="38"/>
      <c r="AO1753" s="28"/>
    </row>
    <row r="1754" spans="1:41" ht="14.5">
      <c r="A1754" s="70" t="s">
        <v>6366</v>
      </c>
      <c r="B1754" s="71">
        <v>45918</v>
      </c>
      <c r="C1754" s="72">
        <v>45921</v>
      </c>
      <c r="D1754" s="70" t="s">
        <v>41</v>
      </c>
      <c r="E1754" s="70" t="s">
        <v>6367</v>
      </c>
      <c r="F1754" s="70"/>
      <c r="G1754" s="70" t="s">
        <v>137</v>
      </c>
      <c r="H1754" s="73">
        <v>0</v>
      </c>
      <c r="I1754" s="70"/>
      <c r="J1754" s="70"/>
      <c r="K1754" s="70"/>
      <c r="L1754" s="70" t="s">
        <v>58</v>
      </c>
      <c r="M1754" s="70" t="s">
        <v>48</v>
      </c>
      <c r="N1754" s="70" t="s">
        <v>48</v>
      </c>
      <c r="O1754" s="70" t="s">
        <v>2352</v>
      </c>
      <c r="P1754" s="70" t="s">
        <v>2353</v>
      </c>
      <c r="Q1754" s="70" t="s">
        <v>2354</v>
      </c>
      <c r="R1754" s="73">
        <v>1</v>
      </c>
      <c r="S1754" s="70" t="s">
        <v>3884</v>
      </c>
      <c r="T1754" s="70" t="s">
        <v>53</v>
      </c>
      <c r="U1754" s="70" t="s">
        <v>54</v>
      </c>
      <c r="V1754" s="70" t="s">
        <v>61</v>
      </c>
      <c r="W1754" s="70"/>
      <c r="X1754" s="70"/>
      <c r="Y1754" s="73">
        <v>133.82</v>
      </c>
      <c r="Z1754" s="73">
        <v>1</v>
      </c>
      <c r="AA1754" s="70"/>
      <c r="AB1754" s="70"/>
      <c r="AC1754" s="70"/>
      <c r="AD1754" s="70"/>
      <c r="AE1754" s="70"/>
      <c r="AF1754" s="70"/>
      <c r="AG1754" s="75">
        <v>140000000000000</v>
      </c>
      <c r="AK1754" s="76" t="e">
        <f t="shared" si="8"/>
        <v>#DIV/0!</v>
      </c>
      <c r="AM1754" s="38"/>
      <c r="AO1754" s="28"/>
    </row>
    <row r="1755" spans="1:41" ht="14.5">
      <c r="A1755" s="70" t="s">
        <v>6368</v>
      </c>
      <c r="B1755" s="71">
        <v>45897</v>
      </c>
      <c r="C1755" s="72">
        <v>45921</v>
      </c>
      <c r="D1755" s="70" t="s">
        <v>41</v>
      </c>
      <c r="E1755" s="70" t="s">
        <v>6369</v>
      </c>
      <c r="F1755" s="70"/>
      <c r="G1755" s="70" t="s">
        <v>43</v>
      </c>
      <c r="H1755" s="73">
        <v>14.79</v>
      </c>
      <c r="I1755" s="70" t="s">
        <v>44</v>
      </c>
      <c r="J1755" s="70" t="s">
        <v>45</v>
      </c>
      <c r="K1755" s="70" t="s">
        <v>6370</v>
      </c>
      <c r="L1755" s="70" t="s">
        <v>58</v>
      </c>
      <c r="M1755" s="70" t="s">
        <v>48</v>
      </c>
      <c r="N1755" s="70" t="s">
        <v>48</v>
      </c>
      <c r="O1755" s="70" t="s">
        <v>5355</v>
      </c>
      <c r="P1755" s="70" t="s">
        <v>5356</v>
      </c>
      <c r="Q1755" s="70" t="s">
        <v>5357</v>
      </c>
      <c r="R1755" s="73">
        <v>1</v>
      </c>
      <c r="S1755" s="70" t="s">
        <v>3884</v>
      </c>
      <c r="T1755" s="70" t="s">
        <v>53</v>
      </c>
      <c r="U1755" s="70" t="s">
        <v>54</v>
      </c>
      <c r="V1755" s="70" t="s">
        <v>61</v>
      </c>
      <c r="W1755" s="70"/>
      <c r="X1755" s="70"/>
      <c r="Y1755" s="73">
        <v>100.06</v>
      </c>
      <c r="Z1755" s="73">
        <v>1</v>
      </c>
      <c r="AA1755" s="70"/>
      <c r="AB1755" s="70"/>
      <c r="AC1755" s="70"/>
      <c r="AD1755" s="70"/>
      <c r="AE1755" s="70"/>
      <c r="AF1755" s="70"/>
      <c r="AG1755" s="75">
        <v>138000000000000</v>
      </c>
      <c r="AK1755" s="76" t="e">
        <f t="shared" si="8"/>
        <v>#DIV/0!</v>
      </c>
      <c r="AM1755" s="38"/>
      <c r="AO1755" s="28"/>
    </row>
    <row r="1756" spans="1:41" ht="14.5">
      <c r="A1756" s="70" t="s">
        <v>6371</v>
      </c>
      <c r="B1756" s="71">
        <v>45907</v>
      </c>
      <c r="C1756" s="72">
        <v>45922</v>
      </c>
      <c r="D1756" s="70" t="s">
        <v>41</v>
      </c>
      <c r="E1756" s="70" t="s">
        <v>6372</v>
      </c>
      <c r="F1756" s="70"/>
      <c r="G1756" s="70" t="s">
        <v>43</v>
      </c>
      <c r="H1756" s="73">
        <v>13.43</v>
      </c>
      <c r="I1756" s="70" t="s">
        <v>44</v>
      </c>
      <c r="J1756" s="70" t="s">
        <v>45</v>
      </c>
      <c r="K1756" s="70" t="s">
        <v>6373</v>
      </c>
      <c r="L1756" s="70" t="s">
        <v>58</v>
      </c>
      <c r="M1756" s="70" t="s">
        <v>48</v>
      </c>
      <c r="N1756" s="70" t="s">
        <v>48</v>
      </c>
      <c r="O1756" s="70" t="s">
        <v>5433</v>
      </c>
      <c r="P1756" s="70" t="s">
        <v>5434</v>
      </c>
      <c r="Q1756" s="70" t="s">
        <v>5435</v>
      </c>
      <c r="R1756" s="73">
        <v>1</v>
      </c>
      <c r="S1756" s="70" t="s">
        <v>3878</v>
      </c>
      <c r="T1756" s="70" t="s">
        <v>53</v>
      </c>
      <c r="U1756" s="70" t="s">
        <v>54</v>
      </c>
      <c r="V1756" s="70" t="s">
        <v>55</v>
      </c>
      <c r="W1756" s="70"/>
      <c r="X1756" s="74">
        <v>45929</v>
      </c>
      <c r="Y1756" s="73">
        <v>110.14</v>
      </c>
      <c r="Z1756" s="73">
        <v>1</v>
      </c>
      <c r="AA1756" s="70"/>
      <c r="AB1756" s="70"/>
      <c r="AC1756" s="70"/>
      <c r="AD1756" s="70"/>
      <c r="AE1756" s="70"/>
      <c r="AF1756" s="73">
        <v>96.71</v>
      </c>
      <c r="AG1756" s="75">
        <v>139000000000000</v>
      </c>
      <c r="AK1756" s="76" t="e">
        <f t="shared" si="8"/>
        <v>#DIV/0!</v>
      </c>
      <c r="AM1756" s="38"/>
      <c r="AO1756" s="28"/>
    </row>
    <row r="1757" spans="1:41" ht="14.5">
      <c r="A1757" s="70" t="s">
        <v>6374</v>
      </c>
      <c r="B1757" s="71">
        <v>45917</v>
      </c>
      <c r="C1757" s="72">
        <v>45922</v>
      </c>
      <c r="D1757" s="70" t="s">
        <v>41</v>
      </c>
      <c r="E1757" s="70"/>
      <c r="F1757" s="70"/>
      <c r="G1757" s="70" t="s">
        <v>137</v>
      </c>
      <c r="H1757" s="73">
        <v>0</v>
      </c>
      <c r="I1757" s="70"/>
      <c r="J1757" s="70"/>
      <c r="K1757" s="70"/>
      <c r="L1757" s="70" t="s">
        <v>47</v>
      </c>
      <c r="M1757" s="70" t="s">
        <v>48</v>
      </c>
      <c r="N1757" s="70" t="s">
        <v>48</v>
      </c>
      <c r="O1757" s="70" t="s">
        <v>4267</v>
      </c>
      <c r="P1757" s="70" t="s">
        <v>4268</v>
      </c>
      <c r="Q1757" s="70" t="s">
        <v>4269</v>
      </c>
      <c r="R1757" s="73">
        <v>1</v>
      </c>
      <c r="S1757" s="70" t="s">
        <v>421</v>
      </c>
      <c r="T1757" s="70" t="s">
        <v>53</v>
      </c>
      <c r="U1757" s="70" t="s">
        <v>54</v>
      </c>
      <c r="V1757" s="70" t="s">
        <v>141</v>
      </c>
      <c r="W1757" s="70"/>
      <c r="X1757" s="70"/>
      <c r="Y1757" s="73">
        <v>37.21</v>
      </c>
      <c r="Z1757" s="73">
        <v>1</v>
      </c>
      <c r="AA1757" s="70"/>
      <c r="AB1757" s="70"/>
      <c r="AC1757" s="70"/>
      <c r="AD1757" s="70"/>
      <c r="AE1757" s="70"/>
      <c r="AF1757" s="73">
        <v>37.21</v>
      </c>
      <c r="AG1757" s="75">
        <v>140000000000000</v>
      </c>
      <c r="AK1757" s="76" t="e">
        <f t="shared" si="8"/>
        <v>#DIV/0!</v>
      </c>
      <c r="AM1757" s="38" t="s">
        <v>1168</v>
      </c>
      <c r="AO1757" s="57" t="s">
        <v>6375</v>
      </c>
    </row>
    <row r="1758" spans="1:41" ht="14.5">
      <c r="A1758" s="70" t="s">
        <v>6376</v>
      </c>
      <c r="B1758" s="71">
        <v>45897</v>
      </c>
      <c r="C1758" s="72">
        <v>45922</v>
      </c>
      <c r="D1758" s="70" t="s">
        <v>41</v>
      </c>
      <c r="E1758" s="70" t="s">
        <v>6377</v>
      </c>
      <c r="F1758" s="70"/>
      <c r="G1758" s="70" t="s">
        <v>43</v>
      </c>
      <c r="H1758" s="73">
        <v>14.79</v>
      </c>
      <c r="I1758" s="70" t="s">
        <v>44</v>
      </c>
      <c r="J1758" s="70" t="s">
        <v>45</v>
      </c>
      <c r="K1758" s="70" t="s">
        <v>6378</v>
      </c>
      <c r="L1758" s="70" t="s">
        <v>58</v>
      </c>
      <c r="M1758" s="70" t="s">
        <v>48</v>
      </c>
      <c r="N1758" s="70" t="s">
        <v>48</v>
      </c>
      <c r="O1758" s="70" t="s">
        <v>2683</v>
      </c>
      <c r="P1758" s="70" t="s">
        <v>2684</v>
      </c>
      <c r="Q1758" s="70" t="s">
        <v>2685</v>
      </c>
      <c r="R1758" s="73">
        <v>1</v>
      </c>
      <c r="S1758" s="70" t="s">
        <v>75</v>
      </c>
      <c r="T1758" s="70" t="s">
        <v>53</v>
      </c>
      <c r="U1758" s="70" t="s">
        <v>54</v>
      </c>
      <c r="V1758" s="70" t="s">
        <v>55</v>
      </c>
      <c r="W1758" s="70"/>
      <c r="X1758" s="74">
        <v>45924</v>
      </c>
      <c r="Y1758" s="73">
        <v>79.08</v>
      </c>
      <c r="Z1758" s="73">
        <v>1</v>
      </c>
      <c r="AA1758" s="70"/>
      <c r="AB1758" s="70"/>
      <c r="AC1758" s="70"/>
      <c r="AD1758" s="70"/>
      <c r="AE1758" s="70"/>
      <c r="AF1758" s="73">
        <v>64.290000000000006</v>
      </c>
      <c r="AG1758" s="75">
        <v>138000000000000</v>
      </c>
      <c r="AK1758" s="76" t="e">
        <f t="shared" si="8"/>
        <v>#DIV/0!</v>
      </c>
      <c r="AM1758" s="38"/>
      <c r="AO1758" s="28"/>
    </row>
    <row r="1759" spans="1:41" ht="14.5">
      <c r="A1759" s="70" t="s">
        <v>6379</v>
      </c>
      <c r="B1759" s="71">
        <v>45919</v>
      </c>
      <c r="C1759" s="72">
        <v>45922</v>
      </c>
      <c r="D1759" s="70" t="s">
        <v>41</v>
      </c>
      <c r="E1759" s="70" t="s">
        <v>6380</v>
      </c>
      <c r="F1759" s="70"/>
      <c r="G1759" s="70" t="s">
        <v>43</v>
      </c>
      <c r="H1759" s="73">
        <v>10.92</v>
      </c>
      <c r="I1759" s="70" t="s">
        <v>44</v>
      </c>
      <c r="J1759" s="70" t="s">
        <v>45</v>
      </c>
      <c r="K1759" s="70" t="s">
        <v>6381</v>
      </c>
      <c r="L1759" s="70" t="s">
        <v>58</v>
      </c>
      <c r="M1759" s="70" t="s">
        <v>48</v>
      </c>
      <c r="N1759" s="70" t="s">
        <v>48</v>
      </c>
      <c r="O1759" s="70" t="s">
        <v>2193</v>
      </c>
      <c r="P1759" s="70" t="s">
        <v>2194</v>
      </c>
      <c r="Q1759" s="70" t="s">
        <v>2195</v>
      </c>
      <c r="R1759" s="73">
        <v>1</v>
      </c>
      <c r="S1759" s="70" t="s">
        <v>59</v>
      </c>
      <c r="T1759" s="70" t="s">
        <v>53</v>
      </c>
      <c r="U1759" s="70" t="s">
        <v>54</v>
      </c>
      <c r="V1759" s="70" t="s">
        <v>61</v>
      </c>
      <c r="W1759" s="70"/>
      <c r="X1759" s="70"/>
      <c r="Y1759" s="73">
        <v>81.52</v>
      </c>
      <c r="Z1759" s="73">
        <v>1</v>
      </c>
      <c r="AA1759" s="70"/>
      <c r="AB1759" s="70"/>
      <c r="AC1759" s="70"/>
      <c r="AD1759" s="70"/>
      <c r="AE1759" s="70"/>
      <c r="AF1759" s="70"/>
      <c r="AG1759" s="75">
        <v>140000000000000</v>
      </c>
      <c r="AK1759" s="76" t="e">
        <f t="shared" si="8"/>
        <v>#DIV/0!</v>
      </c>
      <c r="AM1759" s="38"/>
      <c r="AO1759" s="28"/>
    </row>
    <row r="1760" spans="1:41" ht="14.5">
      <c r="A1760" s="70" t="s">
        <v>6382</v>
      </c>
      <c r="B1760" s="71">
        <v>45918</v>
      </c>
      <c r="C1760" s="72">
        <v>45923</v>
      </c>
      <c r="D1760" s="70" t="s">
        <v>41</v>
      </c>
      <c r="E1760" s="70" t="s">
        <v>6383</v>
      </c>
      <c r="F1760" s="70"/>
      <c r="G1760" s="70" t="s">
        <v>43</v>
      </c>
      <c r="H1760" s="73">
        <v>11.37</v>
      </c>
      <c r="I1760" s="70" t="s">
        <v>44</v>
      </c>
      <c r="J1760" s="70" t="s">
        <v>45</v>
      </c>
      <c r="K1760" s="70" t="s">
        <v>6384</v>
      </c>
      <c r="L1760" s="70" t="s">
        <v>47</v>
      </c>
      <c r="M1760" s="70" t="s">
        <v>48</v>
      </c>
      <c r="N1760" s="70" t="s">
        <v>48</v>
      </c>
      <c r="O1760" s="70" t="s">
        <v>6385</v>
      </c>
      <c r="P1760" s="70" t="s">
        <v>6386</v>
      </c>
      <c r="Q1760" s="70" t="s">
        <v>6387</v>
      </c>
      <c r="R1760" s="73">
        <v>1</v>
      </c>
      <c r="S1760" s="70" t="s">
        <v>82</v>
      </c>
      <c r="T1760" s="70" t="s">
        <v>53</v>
      </c>
      <c r="U1760" s="70" t="s">
        <v>54</v>
      </c>
      <c r="V1760" s="70" t="s">
        <v>55</v>
      </c>
      <c r="W1760" s="70"/>
      <c r="X1760" s="74">
        <v>45931</v>
      </c>
      <c r="Y1760" s="73">
        <v>76.67</v>
      </c>
      <c r="Z1760" s="73">
        <v>1</v>
      </c>
      <c r="AA1760" s="70"/>
      <c r="AB1760" s="70"/>
      <c r="AC1760" s="70"/>
      <c r="AD1760" s="70"/>
      <c r="AE1760" s="70"/>
      <c r="AF1760" s="73">
        <v>76.67</v>
      </c>
      <c r="AG1760" s="75">
        <v>140000000000000</v>
      </c>
      <c r="AK1760" s="76" t="e">
        <f t="shared" si="8"/>
        <v>#DIV/0!</v>
      </c>
      <c r="AM1760" s="38" t="s">
        <v>1168</v>
      </c>
      <c r="AO1760" s="57" t="s">
        <v>6388</v>
      </c>
    </row>
    <row r="1761" spans="1:41" ht="14.5">
      <c r="A1761" s="70" t="s">
        <v>6389</v>
      </c>
      <c r="B1761" s="71">
        <v>45915</v>
      </c>
      <c r="C1761" s="72">
        <v>45923</v>
      </c>
      <c r="D1761" s="70" t="s">
        <v>41</v>
      </c>
      <c r="E1761" s="70" t="s">
        <v>6390</v>
      </c>
      <c r="F1761" s="70"/>
      <c r="G1761" s="70" t="s">
        <v>43</v>
      </c>
      <c r="H1761" s="73">
        <v>12.03</v>
      </c>
      <c r="I1761" s="70" t="s">
        <v>44</v>
      </c>
      <c r="J1761" s="70" t="s">
        <v>45</v>
      </c>
      <c r="K1761" s="70" t="s">
        <v>6391</v>
      </c>
      <c r="L1761" s="70" t="s">
        <v>47</v>
      </c>
      <c r="M1761" s="70" t="s">
        <v>48</v>
      </c>
      <c r="N1761" s="70" t="s">
        <v>48</v>
      </c>
      <c r="O1761" s="70" t="s">
        <v>698</v>
      </c>
      <c r="P1761" s="70" t="s">
        <v>699</v>
      </c>
      <c r="Q1761" s="70" t="s">
        <v>5345</v>
      </c>
      <c r="R1761" s="73">
        <v>1</v>
      </c>
      <c r="S1761" s="70" t="s">
        <v>52</v>
      </c>
      <c r="T1761" s="70" t="s">
        <v>53</v>
      </c>
      <c r="U1761" s="70" t="s">
        <v>54</v>
      </c>
      <c r="V1761" s="70" t="s">
        <v>55</v>
      </c>
      <c r="W1761" s="70"/>
      <c r="X1761" s="74">
        <v>45929</v>
      </c>
      <c r="Y1761" s="73">
        <v>56.63</v>
      </c>
      <c r="Z1761" s="73">
        <v>1</v>
      </c>
      <c r="AA1761" s="70"/>
      <c r="AB1761" s="70"/>
      <c r="AC1761" s="70"/>
      <c r="AD1761" s="70"/>
      <c r="AE1761" s="70"/>
      <c r="AF1761" s="73">
        <v>56.63</v>
      </c>
      <c r="AG1761" s="75">
        <v>139000000000000</v>
      </c>
      <c r="AK1761" s="76" t="e">
        <f t="shared" si="8"/>
        <v>#DIV/0!</v>
      </c>
      <c r="AM1761" s="38" t="s">
        <v>561</v>
      </c>
      <c r="AO1761" s="57" t="s">
        <v>6392</v>
      </c>
    </row>
    <row r="1762" spans="1:41" ht="14.5">
      <c r="A1762" s="70" t="s">
        <v>6393</v>
      </c>
      <c r="B1762" s="71">
        <v>45920</v>
      </c>
      <c r="C1762" s="72">
        <v>45924</v>
      </c>
      <c r="D1762" s="70" t="s">
        <v>41</v>
      </c>
      <c r="E1762" s="70" t="s">
        <v>6394</v>
      </c>
      <c r="F1762" s="70"/>
      <c r="G1762" s="70" t="s">
        <v>43</v>
      </c>
      <c r="H1762" s="73">
        <v>12.03</v>
      </c>
      <c r="I1762" s="70" t="s">
        <v>44</v>
      </c>
      <c r="J1762" s="70" t="s">
        <v>45</v>
      </c>
      <c r="K1762" s="70" t="s">
        <v>6395</v>
      </c>
      <c r="L1762" s="70" t="s">
        <v>47</v>
      </c>
      <c r="M1762" s="70" t="s">
        <v>48</v>
      </c>
      <c r="N1762" s="70" t="s">
        <v>48</v>
      </c>
      <c r="O1762" s="70" t="s">
        <v>5004</v>
      </c>
      <c r="P1762" s="70" t="s">
        <v>5005</v>
      </c>
      <c r="Q1762" s="70" t="s">
        <v>5006</v>
      </c>
      <c r="R1762" s="73">
        <v>1</v>
      </c>
      <c r="S1762" s="70" t="s">
        <v>421</v>
      </c>
      <c r="T1762" s="70" t="s">
        <v>53</v>
      </c>
      <c r="U1762" s="70" t="s">
        <v>54</v>
      </c>
      <c r="V1762" s="70" t="s">
        <v>55</v>
      </c>
      <c r="W1762" s="70"/>
      <c r="X1762" s="74">
        <v>45929</v>
      </c>
      <c r="Y1762" s="73">
        <v>108.35</v>
      </c>
      <c r="Z1762" s="73">
        <v>1</v>
      </c>
      <c r="AA1762" s="70"/>
      <c r="AB1762" s="70"/>
      <c r="AC1762" s="70"/>
      <c r="AD1762" s="70"/>
      <c r="AE1762" s="70"/>
      <c r="AF1762" s="73">
        <v>108.35</v>
      </c>
      <c r="AG1762" s="75">
        <v>140000000000000</v>
      </c>
      <c r="AK1762" s="76" t="e">
        <f t="shared" si="8"/>
        <v>#DIV/0!</v>
      </c>
      <c r="AM1762" s="38" t="s">
        <v>1168</v>
      </c>
      <c r="AO1762" s="57" t="s">
        <v>6396</v>
      </c>
    </row>
    <row r="1763" spans="1:41" ht="14.5">
      <c r="A1763" s="70" t="s">
        <v>6397</v>
      </c>
      <c r="B1763" s="71">
        <v>45918</v>
      </c>
      <c r="C1763" s="72">
        <v>45924</v>
      </c>
      <c r="D1763" s="70" t="s">
        <v>41</v>
      </c>
      <c r="E1763" s="70" t="s">
        <v>6398</v>
      </c>
      <c r="F1763" s="70"/>
      <c r="G1763" s="70" t="s">
        <v>43</v>
      </c>
      <c r="H1763" s="73">
        <v>15.71</v>
      </c>
      <c r="I1763" s="70" t="s">
        <v>44</v>
      </c>
      <c r="J1763" s="70" t="s">
        <v>45</v>
      </c>
      <c r="K1763" s="70" t="s">
        <v>6399</v>
      </c>
      <c r="L1763" s="70" t="s">
        <v>47</v>
      </c>
      <c r="M1763" s="70" t="s">
        <v>48</v>
      </c>
      <c r="N1763" s="70" t="s">
        <v>48</v>
      </c>
      <c r="O1763" s="70" t="s">
        <v>6054</v>
      </c>
      <c r="P1763" s="70" t="s">
        <v>6055</v>
      </c>
      <c r="Q1763" s="70" t="s">
        <v>6056</v>
      </c>
      <c r="R1763" s="73">
        <v>1</v>
      </c>
      <c r="S1763" s="70" t="s">
        <v>52</v>
      </c>
      <c r="T1763" s="70" t="s">
        <v>53</v>
      </c>
      <c r="U1763" s="70" t="s">
        <v>54</v>
      </c>
      <c r="V1763" s="70" t="s">
        <v>61</v>
      </c>
      <c r="W1763" s="70"/>
      <c r="X1763" s="74">
        <v>45929</v>
      </c>
      <c r="Y1763" s="73">
        <v>109.9</v>
      </c>
      <c r="Z1763" s="73">
        <v>1</v>
      </c>
      <c r="AA1763" s="70"/>
      <c r="AB1763" s="70"/>
      <c r="AC1763" s="70"/>
      <c r="AD1763" s="70"/>
      <c r="AE1763" s="70"/>
      <c r="AF1763" s="73">
        <v>94.95</v>
      </c>
      <c r="AG1763" s="75">
        <v>140000000000000</v>
      </c>
      <c r="AK1763" s="76" t="e">
        <f t="shared" si="8"/>
        <v>#DIV/0!</v>
      </c>
      <c r="AM1763" s="38" t="s">
        <v>561</v>
      </c>
      <c r="AO1763" s="57" t="s">
        <v>6400</v>
      </c>
    </row>
    <row r="1764" spans="1:41" ht="14.5">
      <c r="A1764" s="70" t="s">
        <v>6401</v>
      </c>
      <c r="B1764" s="71">
        <v>45911</v>
      </c>
      <c r="C1764" s="72">
        <v>45924</v>
      </c>
      <c r="D1764" s="70" t="s">
        <v>41</v>
      </c>
      <c r="E1764" s="70"/>
      <c r="F1764" s="70"/>
      <c r="G1764" s="70" t="s">
        <v>137</v>
      </c>
      <c r="H1764" s="73">
        <v>0</v>
      </c>
      <c r="I1764" s="70"/>
      <c r="J1764" s="70"/>
      <c r="K1764" s="70"/>
      <c r="L1764" s="70" t="s">
        <v>58</v>
      </c>
      <c r="M1764" s="70" t="s">
        <v>48</v>
      </c>
      <c r="N1764" s="70" t="s">
        <v>48</v>
      </c>
      <c r="O1764" s="70" t="s">
        <v>4700</v>
      </c>
      <c r="P1764" s="70" t="s">
        <v>4701</v>
      </c>
      <c r="Q1764" s="70" t="s">
        <v>4702</v>
      </c>
      <c r="R1764" s="73">
        <v>1</v>
      </c>
      <c r="S1764" s="70" t="s">
        <v>3868</v>
      </c>
      <c r="T1764" s="70" t="s">
        <v>53</v>
      </c>
      <c r="U1764" s="70" t="s">
        <v>54</v>
      </c>
      <c r="V1764" s="70" t="s">
        <v>141</v>
      </c>
      <c r="W1764" s="70"/>
      <c r="X1764" s="70"/>
      <c r="Y1764" s="73">
        <v>34.35</v>
      </c>
      <c r="Z1764" s="73">
        <v>1</v>
      </c>
      <c r="AA1764" s="70"/>
      <c r="AB1764" s="70"/>
      <c r="AC1764" s="70"/>
      <c r="AD1764" s="70"/>
      <c r="AE1764" s="70"/>
      <c r="AF1764" s="73">
        <v>34.35</v>
      </c>
      <c r="AG1764" s="75">
        <v>139000000000000</v>
      </c>
      <c r="AK1764" s="76" t="e">
        <f t="shared" si="8"/>
        <v>#DIV/0!</v>
      </c>
      <c r="AM1764" s="38"/>
      <c r="AO1764" s="28"/>
    </row>
    <row r="1765" spans="1:41" ht="14.5">
      <c r="A1765" s="70" t="s">
        <v>6402</v>
      </c>
      <c r="B1765" s="71">
        <v>45912</v>
      </c>
      <c r="C1765" s="72">
        <v>45924</v>
      </c>
      <c r="D1765" s="70" t="s">
        <v>41</v>
      </c>
      <c r="E1765" s="70" t="s">
        <v>6403</v>
      </c>
      <c r="F1765" s="70"/>
      <c r="G1765" s="70" t="s">
        <v>43</v>
      </c>
      <c r="H1765" s="73">
        <v>5.78</v>
      </c>
      <c r="I1765" s="70" t="s">
        <v>44</v>
      </c>
      <c r="J1765" s="70" t="s">
        <v>45</v>
      </c>
      <c r="K1765" s="70" t="s">
        <v>6404</v>
      </c>
      <c r="L1765" s="70" t="s">
        <v>58</v>
      </c>
      <c r="M1765" s="70" t="s">
        <v>48</v>
      </c>
      <c r="N1765" s="70" t="s">
        <v>48</v>
      </c>
      <c r="O1765" s="70" t="s">
        <v>2554</v>
      </c>
      <c r="P1765" s="70" t="s">
        <v>2555</v>
      </c>
      <c r="Q1765" s="70" t="s">
        <v>2556</v>
      </c>
      <c r="R1765" s="73">
        <v>1</v>
      </c>
      <c r="S1765" s="70" t="s">
        <v>3868</v>
      </c>
      <c r="T1765" s="70" t="s">
        <v>53</v>
      </c>
      <c r="U1765" s="70" t="s">
        <v>54</v>
      </c>
      <c r="V1765" s="70" t="s">
        <v>55</v>
      </c>
      <c r="W1765" s="70"/>
      <c r="X1765" s="74">
        <v>45930</v>
      </c>
      <c r="Y1765" s="73">
        <v>78.739999999999995</v>
      </c>
      <c r="Z1765" s="73">
        <v>1</v>
      </c>
      <c r="AA1765" s="70"/>
      <c r="AB1765" s="70"/>
      <c r="AC1765" s="70"/>
      <c r="AD1765" s="70"/>
      <c r="AE1765" s="70"/>
      <c r="AF1765" s="73">
        <v>72.959999999999994</v>
      </c>
      <c r="AG1765" s="75">
        <v>139000000000000</v>
      </c>
      <c r="AK1765" s="76" t="e">
        <f t="shared" si="8"/>
        <v>#DIV/0!</v>
      </c>
      <c r="AM1765" s="38"/>
      <c r="AO1765" s="28"/>
    </row>
    <row r="1766" spans="1:41" ht="14.5">
      <c r="A1766" s="70" t="s">
        <v>6405</v>
      </c>
      <c r="B1766" s="71">
        <v>45923</v>
      </c>
      <c r="C1766" s="72">
        <v>45924</v>
      </c>
      <c r="D1766" s="70" t="s">
        <v>41</v>
      </c>
      <c r="E1766" s="70" t="s">
        <v>6406</v>
      </c>
      <c r="F1766" s="70"/>
      <c r="G1766" s="70" t="s">
        <v>43</v>
      </c>
      <c r="H1766" s="73">
        <v>12.95</v>
      </c>
      <c r="I1766" s="70" t="s">
        <v>44</v>
      </c>
      <c r="J1766" s="70" t="s">
        <v>45</v>
      </c>
      <c r="K1766" s="70" t="s">
        <v>6407</v>
      </c>
      <c r="L1766" s="70" t="s">
        <v>58</v>
      </c>
      <c r="M1766" s="70" t="s">
        <v>48</v>
      </c>
      <c r="N1766" s="70" t="s">
        <v>48</v>
      </c>
      <c r="O1766" s="70" t="s">
        <v>6248</v>
      </c>
      <c r="P1766" s="70" t="s">
        <v>6249</v>
      </c>
      <c r="Q1766" s="70" t="s">
        <v>6250</v>
      </c>
      <c r="R1766" s="73">
        <v>1</v>
      </c>
      <c r="S1766" s="70" t="s">
        <v>3878</v>
      </c>
      <c r="T1766" s="70" t="s">
        <v>53</v>
      </c>
      <c r="U1766" s="70" t="s">
        <v>54</v>
      </c>
      <c r="V1766" s="70" t="s">
        <v>61</v>
      </c>
      <c r="W1766" s="70"/>
      <c r="X1766" s="74">
        <v>45929</v>
      </c>
      <c r="Y1766" s="73">
        <v>128.16</v>
      </c>
      <c r="Z1766" s="73">
        <v>1</v>
      </c>
      <c r="AA1766" s="70"/>
      <c r="AB1766" s="70"/>
      <c r="AC1766" s="70"/>
      <c r="AD1766" s="70"/>
      <c r="AE1766" s="70"/>
      <c r="AF1766" s="73">
        <v>112.31</v>
      </c>
      <c r="AG1766" s="75">
        <v>140000000000000</v>
      </c>
      <c r="AK1766" s="76" t="e">
        <f t="shared" si="8"/>
        <v>#DIV/0!</v>
      </c>
      <c r="AM1766" s="38"/>
      <c r="AO1766" s="28"/>
    </row>
    <row r="1767" spans="1:41" ht="14.5">
      <c r="A1767" s="70" t="s">
        <v>6408</v>
      </c>
      <c r="B1767" s="71">
        <v>45898</v>
      </c>
      <c r="C1767" s="72">
        <v>45924</v>
      </c>
      <c r="D1767" s="70" t="s">
        <v>41</v>
      </c>
      <c r="E1767" s="70" t="s">
        <v>6409</v>
      </c>
      <c r="F1767" s="70"/>
      <c r="G1767" s="70" t="s">
        <v>43</v>
      </c>
      <c r="H1767" s="73">
        <v>17.5</v>
      </c>
      <c r="I1767" s="70" t="s">
        <v>44</v>
      </c>
      <c r="J1767" s="70" t="s">
        <v>45</v>
      </c>
      <c r="K1767" s="70" t="s">
        <v>6410</v>
      </c>
      <c r="L1767" s="70" t="s">
        <v>58</v>
      </c>
      <c r="M1767" s="70" t="s">
        <v>48</v>
      </c>
      <c r="N1767" s="70" t="s">
        <v>48</v>
      </c>
      <c r="O1767" s="70" t="s">
        <v>6411</v>
      </c>
      <c r="P1767" s="70" t="s">
        <v>6412</v>
      </c>
      <c r="Q1767" s="70" t="s">
        <v>6413</v>
      </c>
      <c r="R1767" s="73">
        <v>1</v>
      </c>
      <c r="S1767" s="70" t="s">
        <v>3878</v>
      </c>
      <c r="T1767" s="70" t="s">
        <v>53</v>
      </c>
      <c r="U1767" s="70" t="s">
        <v>54</v>
      </c>
      <c r="V1767" s="70" t="s">
        <v>61</v>
      </c>
      <c r="W1767" s="70"/>
      <c r="X1767" s="74">
        <v>45937</v>
      </c>
      <c r="Y1767" s="73">
        <v>124.02</v>
      </c>
      <c r="Z1767" s="73">
        <v>1</v>
      </c>
      <c r="AA1767" s="70"/>
      <c r="AB1767" s="70"/>
      <c r="AC1767" s="70"/>
      <c r="AD1767" s="70"/>
      <c r="AE1767" s="70"/>
      <c r="AF1767" s="70"/>
      <c r="AG1767" s="75">
        <v>138000000000000</v>
      </c>
      <c r="AK1767" s="76" t="e">
        <f t="shared" si="8"/>
        <v>#DIV/0!</v>
      </c>
      <c r="AM1767" s="38"/>
      <c r="AO1767" s="28"/>
    </row>
    <row r="1768" spans="1:41" ht="14.5">
      <c r="A1768" s="70" t="s">
        <v>6414</v>
      </c>
      <c r="B1768" s="71">
        <v>45920</v>
      </c>
      <c r="C1768" s="72">
        <v>45925</v>
      </c>
      <c r="D1768" s="70" t="s">
        <v>41</v>
      </c>
      <c r="E1768" s="70" t="s">
        <v>6415</v>
      </c>
      <c r="F1768" s="70"/>
      <c r="G1768" s="70" t="s">
        <v>43</v>
      </c>
      <c r="H1768" s="73">
        <v>13.43</v>
      </c>
      <c r="I1768" s="70" t="s">
        <v>44</v>
      </c>
      <c r="J1768" s="70" t="s">
        <v>45</v>
      </c>
      <c r="K1768" s="70" t="s">
        <v>6416</v>
      </c>
      <c r="L1768" s="70" t="s">
        <v>58</v>
      </c>
      <c r="M1768" s="70" t="s">
        <v>48</v>
      </c>
      <c r="N1768" s="70" t="s">
        <v>48</v>
      </c>
      <c r="O1768" s="70" t="s">
        <v>1546</v>
      </c>
      <c r="P1768" s="70" t="s">
        <v>1547</v>
      </c>
      <c r="Q1768" s="70" t="s">
        <v>1548</v>
      </c>
      <c r="R1768" s="73">
        <v>1</v>
      </c>
      <c r="S1768" s="70" t="s">
        <v>3878</v>
      </c>
      <c r="T1768" s="70" t="s">
        <v>53</v>
      </c>
      <c r="U1768" s="70" t="s">
        <v>54</v>
      </c>
      <c r="V1768" s="70" t="s">
        <v>61</v>
      </c>
      <c r="W1768" s="70"/>
      <c r="X1768" s="74">
        <v>45931</v>
      </c>
      <c r="Y1768" s="73">
        <v>128.63999999999999</v>
      </c>
      <c r="Z1768" s="73">
        <v>1</v>
      </c>
      <c r="AA1768" s="70"/>
      <c r="AB1768" s="70"/>
      <c r="AC1768" s="70"/>
      <c r="AD1768" s="70"/>
      <c r="AE1768" s="70"/>
      <c r="AF1768" s="73">
        <v>112.05</v>
      </c>
      <c r="AG1768" s="75">
        <v>140000000000000</v>
      </c>
      <c r="AK1768" s="76" t="e">
        <f t="shared" si="8"/>
        <v>#DIV/0!</v>
      </c>
      <c r="AM1768" s="38"/>
      <c r="AO1768" s="28"/>
    </row>
    <row r="1769" spans="1:41" ht="14.5">
      <c r="A1769" s="70" t="s">
        <v>6417</v>
      </c>
      <c r="B1769" s="71">
        <v>45921</v>
      </c>
      <c r="C1769" s="72">
        <v>45925</v>
      </c>
      <c r="D1769" s="70" t="s">
        <v>41</v>
      </c>
      <c r="E1769" s="70" t="s">
        <v>6418</v>
      </c>
      <c r="F1769" s="70"/>
      <c r="G1769" s="70" t="s">
        <v>43</v>
      </c>
      <c r="H1769" s="73">
        <v>6.87</v>
      </c>
      <c r="I1769" s="70" t="s">
        <v>44</v>
      </c>
      <c r="J1769" s="70" t="s">
        <v>45</v>
      </c>
      <c r="K1769" s="70" t="s">
        <v>6419</v>
      </c>
      <c r="L1769" s="70" t="s">
        <v>58</v>
      </c>
      <c r="M1769" s="70" t="s">
        <v>48</v>
      </c>
      <c r="N1769" s="70" t="s">
        <v>48</v>
      </c>
      <c r="O1769" s="70" t="s">
        <v>5102</v>
      </c>
      <c r="P1769" s="70" t="s">
        <v>5103</v>
      </c>
      <c r="Q1769" s="70" t="s">
        <v>5104</v>
      </c>
      <c r="R1769" s="73">
        <v>1</v>
      </c>
      <c r="S1769" s="70" t="s">
        <v>68</v>
      </c>
      <c r="T1769" s="70" t="s">
        <v>53</v>
      </c>
      <c r="U1769" s="70" t="s">
        <v>54</v>
      </c>
      <c r="V1769" s="70" t="s">
        <v>55</v>
      </c>
      <c r="W1769" s="70"/>
      <c r="X1769" s="74">
        <v>45931</v>
      </c>
      <c r="Y1769" s="73">
        <v>91.9</v>
      </c>
      <c r="Z1769" s="73">
        <v>1</v>
      </c>
      <c r="AA1769" s="70"/>
      <c r="AB1769" s="70"/>
      <c r="AC1769" s="70"/>
      <c r="AD1769" s="70"/>
      <c r="AE1769" s="70"/>
      <c r="AF1769" s="73">
        <v>85.03</v>
      </c>
      <c r="AG1769" s="75">
        <v>140000000000000</v>
      </c>
      <c r="AK1769" s="76" t="e">
        <f t="shared" si="8"/>
        <v>#DIV/0!</v>
      </c>
      <c r="AM1769" s="38"/>
      <c r="AO1769" s="28"/>
    </row>
    <row r="1770" spans="1:41" ht="14.5">
      <c r="A1770" s="70" t="s">
        <v>6420</v>
      </c>
      <c r="B1770" s="71">
        <v>45921</v>
      </c>
      <c r="C1770" s="72">
        <v>45925</v>
      </c>
      <c r="D1770" s="70" t="s">
        <v>41</v>
      </c>
      <c r="E1770" s="70" t="s">
        <v>6421</v>
      </c>
      <c r="F1770" s="70"/>
      <c r="G1770" s="70" t="s">
        <v>43</v>
      </c>
      <c r="H1770" s="73">
        <v>10.26</v>
      </c>
      <c r="I1770" s="70" t="s">
        <v>44</v>
      </c>
      <c r="J1770" s="70" t="s">
        <v>45</v>
      </c>
      <c r="K1770" s="70" t="s">
        <v>6422</v>
      </c>
      <c r="L1770" s="70" t="s">
        <v>58</v>
      </c>
      <c r="M1770" s="70" t="s">
        <v>48</v>
      </c>
      <c r="N1770" s="70" t="s">
        <v>48</v>
      </c>
      <c r="O1770" s="70" t="s">
        <v>121</v>
      </c>
      <c r="P1770" s="70" t="s">
        <v>122</v>
      </c>
      <c r="Q1770" s="70" t="s">
        <v>4409</v>
      </c>
      <c r="R1770" s="73">
        <v>1</v>
      </c>
      <c r="S1770" s="70" t="s">
        <v>3884</v>
      </c>
      <c r="T1770" s="70" t="s">
        <v>53</v>
      </c>
      <c r="U1770" s="70" t="s">
        <v>54</v>
      </c>
      <c r="V1770" s="70" t="s">
        <v>55</v>
      </c>
      <c r="W1770" s="70"/>
      <c r="X1770" s="74">
        <v>45930</v>
      </c>
      <c r="Y1770" s="73">
        <v>71.42</v>
      </c>
      <c r="Z1770" s="73">
        <v>1</v>
      </c>
      <c r="AA1770" s="70"/>
      <c r="AB1770" s="70"/>
      <c r="AC1770" s="70"/>
      <c r="AD1770" s="70"/>
      <c r="AE1770" s="70"/>
      <c r="AF1770" s="73">
        <v>61.16</v>
      </c>
      <c r="AG1770" s="75">
        <v>140000000000000</v>
      </c>
      <c r="AK1770" s="76" t="e">
        <f t="shared" si="8"/>
        <v>#DIV/0!</v>
      </c>
      <c r="AM1770" s="38"/>
      <c r="AO1770" s="28"/>
    </row>
    <row r="1771" spans="1:41" ht="14.5">
      <c r="A1771" s="70" t="s">
        <v>6423</v>
      </c>
      <c r="B1771" s="71">
        <v>45905</v>
      </c>
      <c r="C1771" s="72">
        <v>45925</v>
      </c>
      <c r="D1771" s="70" t="s">
        <v>41</v>
      </c>
      <c r="E1771" s="70" t="s">
        <v>6424</v>
      </c>
      <c r="F1771" s="70"/>
      <c r="G1771" s="70" t="s">
        <v>43</v>
      </c>
      <c r="H1771" s="73">
        <v>10.92</v>
      </c>
      <c r="I1771" s="70" t="s">
        <v>44</v>
      </c>
      <c r="J1771" s="70" t="s">
        <v>45</v>
      </c>
      <c r="K1771" s="70" t="s">
        <v>6425</v>
      </c>
      <c r="L1771" s="70" t="s">
        <v>58</v>
      </c>
      <c r="M1771" s="70" t="s">
        <v>48</v>
      </c>
      <c r="N1771" s="70" t="s">
        <v>48</v>
      </c>
      <c r="O1771" s="70" t="s">
        <v>1259</v>
      </c>
      <c r="P1771" s="70" t="s">
        <v>1260</v>
      </c>
      <c r="Q1771" s="70" t="s">
        <v>1261</v>
      </c>
      <c r="R1771" s="73">
        <v>1</v>
      </c>
      <c r="S1771" s="70" t="s">
        <v>68</v>
      </c>
      <c r="T1771" s="70" t="s">
        <v>53</v>
      </c>
      <c r="U1771" s="70" t="s">
        <v>54</v>
      </c>
      <c r="V1771" s="70" t="s">
        <v>55</v>
      </c>
      <c r="W1771" s="70"/>
      <c r="X1771" s="74">
        <v>45932</v>
      </c>
      <c r="Y1771" s="73">
        <v>58.2</v>
      </c>
      <c r="Z1771" s="73">
        <v>1</v>
      </c>
      <c r="AA1771" s="70"/>
      <c r="AB1771" s="70"/>
      <c r="AC1771" s="70"/>
      <c r="AD1771" s="70"/>
      <c r="AE1771" s="70"/>
      <c r="AF1771" s="73">
        <v>46.62</v>
      </c>
      <c r="AG1771" s="75">
        <v>138000000000000</v>
      </c>
      <c r="AK1771" s="76" t="e">
        <f t="shared" si="8"/>
        <v>#DIV/0!</v>
      </c>
      <c r="AM1771" s="38"/>
      <c r="AO1771" s="28"/>
    </row>
    <row r="1772" spans="1:41" ht="14.5">
      <c r="A1772" s="70" t="s">
        <v>6426</v>
      </c>
      <c r="B1772" s="71">
        <v>45892</v>
      </c>
      <c r="C1772" s="72">
        <v>45925</v>
      </c>
      <c r="D1772" s="70" t="s">
        <v>41</v>
      </c>
      <c r="E1772" s="70" t="s">
        <v>6427</v>
      </c>
      <c r="F1772" s="70"/>
      <c r="G1772" s="70" t="s">
        <v>43</v>
      </c>
      <c r="H1772" s="73">
        <v>4.74</v>
      </c>
      <c r="I1772" s="70" t="s">
        <v>44</v>
      </c>
      <c r="J1772" s="70" t="s">
        <v>249</v>
      </c>
      <c r="K1772" s="75">
        <v>9.3E+21</v>
      </c>
      <c r="L1772" s="70" t="s">
        <v>58</v>
      </c>
      <c r="M1772" s="70" t="s">
        <v>48</v>
      </c>
      <c r="N1772" s="70" t="s">
        <v>48</v>
      </c>
      <c r="O1772" s="70" t="s">
        <v>251</v>
      </c>
      <c r="P1772" s="70" t="s">
        <v>5140</v>
      </c>
      <c r="Q1772" s="70" t="s">
        <v>253</v>
      </c>
      <c r="R1772" s="73">
        <v>1</v>
      </c>
      <c r="S1772" s="70" t="s">
        <v>3868</v>
      </c>
      <c r="T1772" s="70" t="s">
        <v>53</v>
      </c>
      <c r="U1772" s="70" t="s">
        <v>54</v>
      </c>
      <c r="V1772" s="70" t="s">
        <v>61</v>
      </c>
      <c r="W1772" s="70"/>
      <c r="X1772" s="74">
        <v>45929</v>
      </c>
      <c r="Y1772" s="73">
        <v>123.16</v>
      </c>
      <c r="Z1772" s="73">
        <v>1</v>
      </c>
      <c r="AA1772" s="70"/>
      <c r="AB1772" s="70"/>
      <c r="AC1772" s="70"/>
      <c r="AD1772" s="70"/>
      <c r="AE1772" s="70"/>
      <c r="AF1772" s="73">
        <v>112.4</v>
      </c>
      <c r="AG1772" s="75">
        <v>137000000000000</v>
      </c>
      <c r="AK1772" s="76" t="e">
        <f t="shared" si="8"/>
        <v>#DIV/0!</v>
      </c>
      <c r="AM1772" s="38"/>
      <c r="AO1772" s="28"/>
    </row>
    <row r="1773" spans="1:41" ht="14.5">
      <c r="A1773" s="70" t="s">
        <v>6428</v>
      </c>
      <c r="B1773" s="71">
        <v>45921</v>
      </c>
      <c r="C1773" s="72">
        <v>45925</v>
      </c>
      <c r="D1773" s="70" t="s">
        <v>41</v>
      </c>
      <c r="E1773" s="70" t="s">
        <v>6429</v>
      </c>
      <c r="F1773" s="70"/>
      <c r="G1773" s="70" t="s">
        <v>43</v>
      </c>
      <c r="H1773" s="73">
        <v>6.43</v>
      </c>
      <c r="I1773" s="70" t="s">
        <v>44</v>
      </c>
      <c r="J1773" s="70" t="s">
        <v>45</v>
      </c>
      <c r="K1773" s="70" t="s">
        <v>6430</v>
      </c>
      <c r="L1773" s="70" t="s">
        <v>58</v>
      </c>
      <c r="M1773" s="70" t="s">
        <v>48</v>
      </c>
      <c r="N1773" s="70" t="s">
        <v>48</v>
      </c>
      <c r="O1773" s="70" t="s">
        <v>6431</v>
      </c>
      <c r="P1773" s="70" t="s">
        <v>6432</v>
      </c>
      <c r="Q1773" s="70" t="s">
        <v>6433</v>
      </c>
      <c r="R1773" s="73">
        <v>1</v>
      </c>
      <c r="S1773" s="70" t="s">
        <v>3868</v>
      </c>
      <c r="T1773" s="70" t="s">
        <v>53</v>
      </c>
      <c r="U1773" s="70" t="s">
        <v>54</v>
      </c>
      <c r="V1773" s="70" t="s">
        <v>55</v>
      </c>
      <c r="W1773" s="70"/>
      <c r="X1773" s="74">
        <v>45933</v>
      </c>
      <c r="Y1773" s="73">
        <v>79.69</v>
      </c>
      <c r="Z1773" s="73">
        <v>1</v>
      </c>
      <c r="AA1773" s="70"/>
      <c r="AB1773" s="70"/>
      <c r="AC1773" s="70"/>
      <c r="AD1773" s="70"/>
      <c r="AE1773" s="70"/>
      <c r="AF1773" s="73">
        <v>73.260000000000005</v>
      </c>
      <c r="AG1773" s="75">
        <v>140000000000000</v>
      </c>
      <c r="AK1773" s="76" t="e">
        <f t="shared" si="8"/>
        <v>#DIV/0!</v>
      </c>
      <c r="AM1773" s="38"/>
      <c r="AO1773" s="28"/>
    </row>
    <row r="1774" spans="1:41" ht="14.5">
      <c r="A1774" s="70" t="s">
        <v>6434</v>
      </c>
      <c r="B1774" s="71">
        <v>45920</v>
      </c>
      <c r="C1774" s="72">
        <v>45925</v>
      </c>
      <c r="D1774" s="70" t="s">
        <v>41</v>
      </c>
      <c r="E1774" s="70" t="s">
        <v>6435</v>
      </c>
      <c r="F1774" s="70"/>
      <c r="G1774" s="70" t="s">
        <v>43</v>
      </c>
      <c r="H1774" s="73">
        <v>11.37</v>
      </c>
      <c r="I1774" s="70" t="s">
        <v>44</v>
      </c>
      <c r="J1774" s="70" t="s">
        <v>45</v>
      </c>
      <c r="K1774" s="70" t="s">
        <v>6436</v>
      </c>
      <c r="L1774" s="70" t="s">
        <v>58</v>
      </c>
      <c r="M1774" s="70" t="s">
        <v>48</v>
      </c>
      <c r="N1774" s="70" t="s">
        <v>48</v>
      </c>
      <c r="O1774" s="70" t="s">
        <v>6437</v>
      </c>
      <c r="P1774" s="70" t="s">
        <v>6438</v>
      </c>
      <c r="Q1774" s="70" t="s">
        <v>6439</v>
      </c>
      <c r="R1774" s="73">
        <v>1</v>
      </c>
      <c r="S1774" s="70" t="s">
        <v>68</v>
      </c>
      <c r="T1774" s="70" t="s">
        <v>53</v>
      </c>
      <c r="U1774" s="70" t="s">
        <v>54</v>
      </c>
      <c r="V1774" s="70" t="s">
        <v>61</v>
      </c>
      <c r="W1774" s="70"/>
      <c r="X1774" s="70"/>
      <c r="Y1774" s="73">
        <v>86.49</v>
      </c>
      <c r="Z1774" s="73">
        <v>1</v>
      </c>
      <c r="AA1774" s="70"/>
      <c r="AB1774" s="70"/>
      <c r="AC1774" s="70"/>
      <c r="AD1774" s="70"/>
      <c r="AE1774" s="70"/>
      <c r="AF1774" s="70"/>
      <c r="AG1774" s="75">
        <v>140000000000000</v>
      </c>
      <c r="AK1774" s="76" t="e">
        <f t="shared" si="8"/>
        <v>#DIV/0!</v>
      </c>
      <c r="AM1774" s="38"/>
      <c r="AO1774" s="28"/>
    </row>
    <row r="1775" spans="1:41" ht="14.5">
      <c r="A1775" s="70" t="s">
        <v>6440</v>
      </c>
      <c r="B1775" s="71">
        <v>45911</v>
      </c>
      <c r="C1775" s="72">
        <v>45926</v>
      </c>
      <c r="D1775" s="70" t="s">
        <v>41</v>
      </c>
      <c r="E1775" s="70" t="s">
        <v>6441</v>
      </c>
      <c r="F1775" s="70"/>
      <c r="G1775" s="70" t="s">
        <v>43</v>
      </c>
      <c r="H1775" s="73">
        <v>64.540000000000006</v>
      </c>
      <c r="I1775" s="70" t="s">
        <v>44</v>
      </c>
      <c r="J1775" s="70" t="s">
        <v>45</v>
      </c>
      <c r="K1775" s="70" t="s">
        <v>6442</v>
      </c>
      <c r="L1775" s="70" t="s">
        <v>58</v>
      </c>
      <c r="M1775" s="70" t="s">
        <v>48</v>
      </c>
      <c r="N1775" s="70" t="s">
        <v>48</v>
      </c>
      <c r="O1775" s="70" t="s">
        <v>412</v>
      </c>
      <c r="P1775" s="70" t="s">
        <v>413</v>
      </c>
      <c r="Q1775" s="70" t="s">
        <v>1193</v>
      </c>
      <c r="R1775" s="73">
        <v>1</v>
      </c>
      <c r="S1775" s="70" t="s">
        <v>3868</v>
      </c>
      <c r="T1775" s="70" t="s">
        <v>53</v>
      </c>
      <c r="U1775" s="70" t="s">
        <v>54</v>
      </c>
      <c r="V1775" s="70" t="s">
        <v>61</v>
      </c>
      <c r="W1775" s="70"/>
      <c r="X1775" s="74">
        <v>45936</v>
      </c>
      <c r="Y1775" s="73">
        <v>179.49</v>
      </c>
      <c r="Z1775" s="73">
        <v>1</v>
      </c>
      <c r="AA1775" s="70"/>
      <c r="AB1775" s="70"/>
      <c r="AC1775" s="70"/>
      <c r="AD1775" s="70"/>
      <c r="AE1775" s="70"/>
      <c r="AF1775" s="73">
        <v>139.54</v>
      </c>
      <c r="AG1775" s="75">
        <v>139000000000000</v>
      </c>
      <c r="AK1775" s="76" t="e">
        <f t="shared" si="8"/>
        <v>#DIV/0!</v>
      </c>
      <c r="AM1775" s="38" t="s">
        <v>561</v>
      </c>
      <c r="AO1775" s="28"/>
    </row>
    <row r="1776" spans="1:41" ht="14.5">
      <c r="A1776" s="70" t="s">
        <v>6443</v>
      </c>
      <c r="B1776" s="71">
        <v>45922</v>
      </c>
      <c r="C1776" s="72">
        <v>45926</v>
      </c>
      <c r="D1776" s="70" t="s">
        <v>41</v>
      </c>
      <c r="E1776" s="70" t="s">
        <v>6444</v>
      </c>
      <c r="F1776" s="70"/>
      <c r="G1776" s="70" t="s">
        <v>43</v>
      </c>
      <c r="H1776" s="73">
        <v>10.92</v>
      </c>
      <c r="I1776" s="70" t="s">
        <v>44</v>
      </c>
      <c r="J1776" s="70" t="s">
        <v>45</v>
      </c>
      <c r="K1776" s="70" t="s">
        <v>6445</v>
      </c>
      <c r="L1776" s="70" t="s">
        <v>58</v>
      </c>
      <c r="M1776" s="70" t="s">
        <v>48</v>
      </c>
      <c r="N1776" s="70" t="s">
        <v>48</v>
      </c>
      <c r="O1776" s="70" t="s">
        <v>1259</v>
      </c>
      <c r="P1776" s="70" t="s">
        <v>1260</v>
      </c>
      <c r="Q1776" s="70" t="s">
        <v>1261</v>
      </c>
      <c r="R1776" s="73">
        <v>1</v>
      </c>
      <c r="S1776" s="70" t="s">
        <v>3868</v>
      </c>
      <c r="T1776" s="70" t="s">
        <v>53</v>
      </c>
      <c r="U1776" s="70" t="s">
        <v>54</v>
      </c>
      <c r="V1776" s="70" t="s">
        <v>61</v>
      </c>
      <c r="W1776" s="70"/>
      <c r="X1776" s="70"/>
      <c r="Y1776" s="73">
        <v>58.2</v>
      </c>
      <c r="Z1776" s="73">
        <v>1</v>
      </c>
      <c r="AA1776" s="70"/>
      <c r="AB1776" s="70"/>
      <c r="AC1776" s="70"/>
      <c r="AD1776" s="70"/>
      <c r="AE1776" s="70"/>
      <c r="AF1776" s="70"/>
      <c r="AG1776" s="75">
        <v>140000000000000</v>
      </c>
      <c r="AK1776" s="76" t="e">
        <f t="shared" si="8"/>
        <v>#DIV/0!</v>
      </c>
      <c r="AM1776" s="38"/>
      <c r="AO1776" s="28"/>
    </row>
    <row r="1777" spans="1:60" ht="14.5">
      <c r="A1777" s="70" t="s">
        <v>6446</v>
      </c>
      <c r="B1777" s="71">
        <v>45918</v>
      </c>
      <c r="C1777" s="72">
        <v>45926</v>
      </c>
      <c r="D1777" s="70" t="s">
        <v>41</v>
      </c>
      <c r="E1777" s="70" t="s">
        <v>6447</v>
      </c>
      <c r="F1777" s="70"/>
      <c r="G1777" s="70" t="s">
        <v>43</v>
      </c>
      <c r="H1777" s="73">
        <v>14.37</v>
      </c>
      <c r="I1777" s="70" t="s">
        <v>44</v>
      </c>
      <c r="J1777" s="70" t="s">
        <v>45</v>
      </c>
      <c r="K1777" s="70" t="s">
        <v>6448</v>
      </c>
      <c r="L1777" s="70" t="s">
        <v>58</v>
      </c>
      <c r="M1777" s="70" t="s">
        <v>48</v>
      </c>
      <c r="N1777" s="70" t="s">
        <v>48</v>
      </c>
      <c r="O1777" s="70" t="s">
        <v>6449</v>
      </c>
      <c r="P1777" s="70" t="s">
        <v>6450</v>
      </c>
      <c r="Q1777" s="70" t="s">
        <v>6451</v>
      </c>
      <c r="R1777" s="73">
        <v>1</v>
      </c>
      <c r="S1777" s="70" t="s">
        <v>3868</v>
      </c>
      <c r="T1777" s="70" t="s">
        <v>53</v>
      </c>
      <c r="U1777" s="70" t="s">
        <v>54</v>
      </c>
      <c r="V1777" s="70" t="s">
        <v>55</v>
      </c>
      <c r="W1777" s="70"/>
      <c r="X1777" s="74">
        <v>45931</v>
      </c>
      <c r="Y1777" s="73">
        <v>119.9</v>
      </c>
      <c r="Z1777" s="73">
        <v>1</v>
      </c>
      <c r="AA1777" s="70"/>
      <c r="AB1777" s="70"/>
      <c r="AC1777" s="70"/>
      <c r="AD1777" s="70"/>
      <c r="AE1777" s="70"/>
      <c r="AF1777" s="73">
        <v>105.53</v>
      </c>
      <c r="AG1777" s="75">
        <v>140000000000000</v>
      </c>
      <c r="AK1777" s="76" t="e">
        <f t="shared" si="8"/>
        <v>#DIV/0!</v>
      </c>
      <c r="AM1777" s="38"/>
      <c r="AO1777" s="28"/>
    </row>
    <row r="1778" spans="1:60" ht="14.5">
      <c r="A1778" s="70" t="s">
        <v>6452</v>
      </c>
      <c r="B1778" s="71">
        <v>45925</v>
      </c>
      <c r="C1778" s="72">
        <v>45927</v>
      </c>
      <c r="D1778" s="70" t="s">
        <v>41</v>
      </c>
      <c r="E1778" s="70" t="s">
        <v>6453</v>
      </c>
      <c r="F1778" s="70"/>
      <c r="G1778" s="70" t="s">
        <v>43</v>
      </c>
      <c r="H1778" s="73">
        <v>17.22</v>
      </c>
      <c r="I1778" s="70" t="s">
        <v>44</v>
      </c>
      <c r="J1778" s="70" t="s">
        <v>45</v>
      </c>
      <c r="K1778" s="70" t="s">
        <v>6454</v>
      </c>
      <c r="L1778" s="70" t="s">
        <v>58</v>
      </c>
      <c r="M1778" s="70" t="s">
        <v>48</v>
      </c>
      <c r="N1778" s="70" t="s">
        <v>48</v>
      </c>
      <c r="O1778" s="70" t="s">
        <v>4602</v>
      </c>
      <c r="P1778" s="70" t="s">
        <v>4603</v>
      </c>
      <c r="Q1778" s="70" t="s">
        <v>4604</v>
      </c>
      <c r="R1778" s="73">
        <v>1</v>
      </c>
      <c r="S1778" s="70" t="s">
        <v>3878</v>
      </c>
      <c r="T1778" s="70" t="s">
        <v>53</v>
      </c>
      <c r="U1778" s="70" t="s">
        <v>54</v>
      </c>
      <c r="V1778" s="70" t="s">
        <v>61</v>
      </c>
      <c r="W1778" s="70"/>
      <c r="X1778" s="74">
        <v>45939</v>
      </c>
      <c r="Y1778" s="73">
        <v>122.94</v>
      </c>
      <c r="Z1778" s="73">
        <v>1</v>
      </c>
      <c r="AA1778" s="70"/>
      <c r="AB1778" s="70"/>
      <c r="AC1778" s="70"/>
      <c r="AD1778" s="70"/>
      <c r="AE1778" s="70"/>
      <c r="AF1778" s="70"/>
      <c r="AG1778" s="75">
        <v>140000000000000</v>
      </c>
      <c r="AK1778" s="76" t="e">
        <f t="shared" si="8"/>
        <v>#DIV/0!</v>
      </c>
      <c r="AM1778" s="38"/>
      <c r="AO1778" s="28"/>
    </row>
    <row r="1779" spans="1:60" ht="14.5">
      <c r="A1779" s="70" t="s">
        <v>6455</v>
      </c>
      <c r="B1779" s="71">
        <v>45903</v>
      </c>
      <c r="C1779" s="72">
        <v>45927</v>
      </c>
      <c r="D1779" s="70" t="s">
        <v>41</v>
      </c>
      <c r="E1779" s="70" t="s">
        <v>6456</v>
      </c>
      <c r="F1779" s="70"/>
      <c r="G1779" s="70" t="s">
        <v>43</v>
      </c>
      <c r="H1779" s="73">
        <v>10.92</v>
      </c>
      <c r="I1779" s="70" t="s">
        <v>44</v>
      </c>
      <c r="J1779" s="70" t="s">
        <v>45</v>
      </c>
      <c r="K1779" s="70" t="s">
        <v>6457</v>
      </c>
      <c r="L1779" s="70" t="s">
        <v>58</v>
      </c>
      <c r="M1779" s="70" t="s">
        <v>48</v>
      </c>
      <c r="N1779" s="70" t="s">
        <v>48</v>
      </c>
      <c r="O1779" s="70" t="s">
        <v>1659</v>
      </c>
      <c r="P1779" s="70" t="s">
        <v>1660</v>
      </c>
      <c r="Q1779" s="70" t="s">
        <v>3533</v>
      </c>
      <c r="R1779" s="73">
        <v>1</v>
      </c>
      <c r="S1779" s="70" t="s">
        <v>3878</v>
      </c>
      <c r="T1779" s="70" t="s">
        <v>53</v>
      </c>
      <c r="U1779" s="70" t="s">
        <v>54</v>
      </c>
      <c r="V1779" s="70" t="s">
        <v>55</v>
      </c>
      <c r="W1779" s="70"/>
      <c r="X1779" s="74">
        <v>45931</v>
      </c>
      <c r="Y1779" s="73">
        <v>70.25</v>
      </c>
      <c r="Z1779" s="73">
        <v>1</v>
      </c>
      <c r="AA1779" s="70"/>
      <c r="AB1779" s="70"/>
      <c r="AC1779" s="70"/>
      <c r="AD1779" s="70"/>
      <c r="AE1779" s="70"/>
      <c r="AF1779" s="73">
        <v>59.33</v>
      </c>
      <c r="AG1779" s="75">
        <v>138000000000000</v>
      </c>
      <c r="AK1779" s="76" t="e">
        <f t="shared" si="8"/>
        <v>#DIV/0!</v>
      </c>
      <c r="AM1779" s="38"/>
      <c r="AO1779" s="28"/>
    </row>
    <row r="1780" spans="1:60" ht="80.5">
      <c r="A1780" s="70" t="s">
        <v>6458</v>
      </c>
      <c r="B1780" s="71">
        <v>45923</v>
      </c>
      <c r="C1780" s="72">
        <v>45927</v>
      </c>
      <c r="D1780" s="70" t="s">
        <v>41</v>
      </c>
      <c r="E1780" s="70" t="s">
        <v>6459</v>
      </c>
      <c r="F1780" s="70"/>
      <c r="G1780" s="70" t="s">
        <v>43</v>
      </c>
      <c r="H1780" s="73">
        <v>10.92</v>
      </c>
      <c r="I1780" s="70" t="s">
        <v>44</v>
      </c>
      <c r="J1780" s="70" t="s">
        <v>45</v>
      </c>
      <c r="K1780" s="70" t="s">
        <v>6460</v>
      </c>
      <c r="L1780" s="70" t="s">
        <v>47</v>
      </c>
      <c r="M1780" s="70" t="s">
        <v>48</v>
      </c>
      <c r="N1780" s="70" t="s">
        <v>48</v>
      </c>
      <c r="O1780" s="70" t="s">
        <v>2193</v>
      </c>
      <c r="P1780" s="70" t="s">
        <v>2194</v>
      </c>
      <c r="Q1780" s="70" t="s">
        <v>2195</v>
      </c>
      <c r="R1780" s="73">
        <v>1</v>
      </c>
      <c r="S1780" s="84" t="s">
        <v>99</v>
      </c>
      <c r="T1780" s="70" t="s">
        <v>53</v>
      </c>
      <c r="U1780" s="70" t="s">
        <v>54</v>
      </c>
      <c r="V1780" s="70" t="s">
        <v>560</v>
      </c>
      <c r="W1780" s="70"/>
      <c r="X1780" s="74">
        <v>45936</v>
      </c>
      <c r="Y1780" s="73">
        <v>80.77</v>
      </c>
      <c r="Z1780" s="73">
        <v>1</v>
      </c>
      <c r="AA1780" s="70"/>
      <c r="AB1780" s="70"/>
      <c r="AC1780" s="70"/>
      <c r="AD1780" s="70"/>
      <c r="AE1780" s="70"/>
      <c r="AF1780" s="70"/>
      <c r="AG1780" s="75">
        <v>140000000000000</v>
      </c>
      <c r="AK1780" s="76" t="e">
        <f t="shared" si="8"/>
        <v>#DIV/0!</v>
      </c>
      <c r="AL1780" s="66" t="s">
        <v>6461</v>
      </c>
      <c r="AM1780" s="38" t="s">
        <v>1168</v>
      </c>
      <c r="AO1780" s="85" t="s">
        <v>6462</v>
      </c>
    </row>
    <row r="1781" spans="1:60" ht="14.5">
      <c r="A1781" s="70" t="s">
        <v>6463</v>
      </c>
      <c r="B1781" s="71">
        <v>45924</v>
      </c>
      <c r="C1781" s="72">
        <v>45928</v>
      </c>
      <c r="D1781" s="70" t="s">
        <v>41</v>
      </c>
      <c r="E1781" s="70" t="s">
        <v>6464</v>
      </c>
      <c r="F1781" s="70"/>
      <c r="G1781" s="70" t="s">
        <v>137</v>
      </c>
      <c r="H1781" s="73">
        <v>0</v>
      </c>
      <c r="I1781" s="70"/>
      <c r="J1781" s="70"/>
      <c r="K1781" s="70"/>
      <c r="L1781" s="70" t="s">
        <v>58</v>
      </c>
      <c r="M1781" s="70" t="s">
        <v>48</v>
      </c>
      <c r="N1781" s="70" t="s">
        <v>48</v>
      </c>
      <c r="O1781" s="70" t="s">
        <v>6465</v>
      </c>
      <c r="P1781" s="70" t="s">
        <v>6466</v>
      </c>
      <c r="Q1781" s="70" t="s">
        <v>6467</v>
      </c>
      <c r="R1781" s="73">
        <v>1</v>
      </c>
      <c r="S1781" s="70" t="s">
        <v>3868</v>
      </c>
      <c r="T1781" s="70" t="s">
        <v>53</v>
      </c>
      <c r="U1781" s="70" t="s">
        <v>54</v>
      </c>
      <c r="V1781" s="70" t="s">
        <v>61</v>
      </c>
      <c r="W1781" s="70"/>
      <c r="X1781" s="70"/>
      <c r="Y1781" s="73">
        <v>137.94999999999999</v>
      </c>
      <c r="Z1781" s="73">
        <v>1</v>
      </c>
      <c r="AA1781" s="70"/>
      <c r="AB1781" s="70"/>
      <c r="AC1781" s="70"/>
      <c r="AD1781" s="70"/>
      <c r="AE1781" s="70"/>
      <c r="AF1781" s="70"/>
      <c r="AG1781" s="75">
        <v>140000000000000</v>
      </c>
      <c r="AK1781" s="76" t="e">
        <f t="shared" si="8"/>
        <v>#DIV/0!</v>
      </c>
      <c r="AM1781" s="38"/>
      <c r="AO1781" s="28"/>
    </row>
    <row r="1782" spans="1:60" ht="14.5">
      <c r="A1782" s="70" t="s">
        <v>6468</v>
      </c>
      <c r="B1782" s="71">
        <v>45896</v>
      </c>
      <c r="C1782" s="72">
        <v>45929</v>
      </c>
      <c r="D1782" s="70" t="s">
        <v>41</v>
      </c>
      <c r="E1782" s="70" t="s">
        <v>6469</v>
      </c>
      <c r="F1782" s="70"/>
      <c r="G1782" s="70" t="s">
        <v>43</v>
      </c>
      <c r="H1782" s="73">
        <v>11.78</v>
      </c>
      <c r="I1782" s="70" t="s">
        <v>44</v>
      </c>
      <c r="J1782" s="70" t="s">
        <v>45</v>
      </c>
      <c r="K1782" s="70" t="s">
        <v>6470</v>
      </c>
      <c r="L1782" s="70" t="s">
        <v>58</v>
      </c>
      <c r="M1782" s="70" t="s">
        <v>48</v>
      </c>
      <c r="N1782" s="70" t="s">
        <v>48</v>
      </c>
      <c r="O1782" s="70" t="s">
        <v>443</v>
      </c>
      <c r="P1782" s="70" t="s">
        <v>444</v>
      </c>
      <c r="Q1782" s="70" t="s">
        <v>445</v>
      </c>
      <c r="R1782" s="73">
        <v>1</v>
      </c>
      <c r="S1782" s="70" t="s">
        <v>3868</v>
      </c>
      <c r="T1782" s="70" t="s">
        <v>53</v>
      </c>
      <c r="U1782" s="70" t="s">
        <v>54</v>
      </c>
      <c r="V1782" s="70" t="s">
        <v>55</v>
      </c>
      <c r="W1782" s="70"/>
      <c r="X1782" s="74">
        <v>45937</v>
      </c>
      <c r="Y1782" s="73">
        <v>124.1</v>
      </c>
      <c r="Z1782" s="73">
        <v>1</v>
      </c>
      <c r="AA1782" s="70"/>
      <c r="AB1782" s="70"/>
      <c r="AC1782" s="70"/>
      <c r="AD1782" s="70"/>
      <c r="AE1782" s="70"/>
      <c r="AF1782" s="73">
        <v>112.32</v>
      </c>
      <c r="AG1782" s="75">
        <v>138000000000000</v>
      </c>
      <c r="AK1782" s="76" t="e">
        <f t="shared" si="8"/>
        <v>#DIV/0!</v>
      </c>
      <c r="AM1782" s="38"/>
      <c r="AO1782" s="28"/>
    </row>
    <row r="1783" spans="1:60" ht="14.5">
      <c r="A1783" s="70" t="s">
        <v>6471</v>
      </c>
      <c r="B1783" s="71">
        <v>45919</v>
      </c>
      <c r="C1783" s="72">
        <v>45929</v>
      </c>
      <c r="D1783" s="70" t="s">
        <v>41</v>
      </c>
      <c r="E1783" s="70" t="s">
        <v>6472</v>
      </c>
      <c r="F1783" s="70"/>
      <c r="G1783" s="70" t="s">
        <v>43</v>
      </c>
      <c r="H1783" s="73">
        <v>17.87</v>
      </c>
      <c r="I1783" s="70" t="s">
        <v>44</v>
      </c>
      <c r="J1783" s="70" t="s">
        <v>45</v>
      </c>
      <c r="K1783" s="70" t="s">
        <v>6473</v>
      </c>
      <c r="L1783" s="70" t="s">
        <v>58</v>
      </c>
      <c r="M1783" s="70" t="s">
        <v>48</v>
      </c>
      <c r="N1783" s="70" t="s">
        <v>48</v>
      </c>
      <c r="O1783" s="70" t="s">
        <v>6474</v>
      </c>
      <c r="P1783" s="70" t="s">
        <v>6475</v>
      </c>
      <c r="Q1783" s="70" t="s">
        <v>6476</v>
      </c>
      <c r="R1783" s="73">
        <v>1</v>
      </c>
      <c r="S1783" s="70" t="s">
        <v>3878</v>
      </c>
      <c r="T1783" s="70" t="s">
        <v>53</v>
      </c>
      <c r="U1783" s="70" t="s">
        <v>54</v>
      </c>
      <c r="V1783" s="70" t="s">
        <v>61</v>
      </c>
      <c r="W1783" s="70"/>
      <c r="X1783" s="74">
        <v>45931</v>
      </c>
      <c r="Y1783" s="73">
        <v>126.25</v>
      </c>
      <c r="Z1783" s="73">
        <v>1</v>
      </c>
      <c r="AA1783" s="70"/>
      <c r="AB1783" s="70"/>
      <c r="AC1783" s="70"/>
      <c r="AD1783" s="70"/>
      <c r="AE1783" s="70"/>
      <c r="AF1783" s="73">
        <v>109.82</v>
      </c>
      <c r="AG1783" s="75">
        <v>140000000000000</v>
      </c>
      <c r="AK1783" s="76" t="e">
        <f t="shared" si="8"/>
        <v>#DIV/0!</v>
      </c>
      <c r="AM1783" s="38"/>
      <c r="AO1783" s="28"/>
    </row>
    <row r="1784" spans="1:60" ht="14.5">
      <c r="A1784" s="70" t="s">
        <v>6477</v>
      </c>
      <c r="B1784" s="71">
        <v>45925</v>
      </c>
      <c r="C1784" s="72">
        <v>45929</v>
      </c>
      <c r="D1784" s="70" t="s">
        <v>41</v>
      </c>
      <c r="E1784" s="70" t="s">
        <v>6478</v>
      </c>
      <c r="F1784" s="70"/>
      <c r="G1784" s="70" t="s">
        <v>43</v>
      </c>
      <c r="H1784" s="73">
        <v>5.78</v>
      </c>
      <c r="I1784" s="70" t="s">
        <v>44</v>
      </c>
      <c r="J1784" s="70" t="s">
        <v>45</v>
      </c>
      <c r="K1784" s="70" t="s">
        <v>6479</v>
      </c>
      <c r="L1784" s="70" t="s">
        <v>47</v>
      </c>
      <c r="M1784" s="70" t="s">
        <v>48</v>
      </c>
      <c r="N1784" s="70" t="s">
        <v>48</v>
      </c>
      <c r="O1784" s="70" t="s">
        <v>2554</v>
      </c>
      <c r="P1784" s="70" t="s">
        <v>2555</v>
      </c>
      <c r="Q1784" s="70" t="s">
        <v>2556</v>
      </c>
      <c r="R1784" s="73">
        <v>1</v>
      </c>
      <c r="S1784" s="70" t="s">
        <v>99</v>
      </c>
      <c r="T1784" s="70" t="s">
        <v>53</v>
      </c>
      <c r="U1784" s="70" t="s">
        <v>54</v>
      </c>
      <c r="V1784" s="70" t="s">
        <v>61</v>
      </c>
      <c r="W1784" s="70"/>
      <c r="X1784" s="70"/>
      <c r="Y1784" s="73">
        <v>79.37</v>
      </c>
      <c r="Z1784" s="73">
        <v>1</v>
      </c>
      <c r="AA1784" s="70"/>
      <c r="AB1784" s="70"/>
      <c r="AC1784" s="70"/>
      <c r="AD1784" s="70"/>
      <c r="AE1784" s="70"/>
      <c r="AF1784" s="70"/>
      <c r="AG1784" s="75">
        <v>141000000000000</v>
      </c>
      <c r="AK1784" s="76" t="e">
        <f t="shared" si="8"/>
        <v>#DIV/0!</v>
      </c>
      <c r="AM1784" s="38"/>
      <c r="AO1784" s="28"/>
    </row>
    <row r="1785" spans="1:60" ht="14.5">
      <c r="A1785" s="70" t="s">
        <v>6480</v>
      </c>
      <c r="B1785" s="71">
        <v>45923</v>
      </c>
      <c r="C1785" s="72">
        <v>45930</v>
      </c>
      <c r="D1785" s="70" t="s">
        <v>41</v>
      </c>
      <c r="E1785" s="70" t="s">
        <v>6481</v>
      </c>
      <c r="F1785" s="70"/>
      <c r="G1785" s="70" t="s">
        <v>43</v>
      </c>
      <c r="H1785" s="73">
        <v>15.32</v>
      </c>
      <c r="I1785" s="70" t="s">
        <v>44</v>
      </c>
      <c r="J1785" s="70" t="s">
        <v>45</v>
      </c>
      <c r="K1785" s="70" t="s">
        <v>6482</v>
      </c>
      <c r="L1785" s="70" t="s">
        <v>58</v>
      </c>
      <c r="M1785" s="70" t="s">
        <v>48</v>
      </c>
      <c r="N1785" s="70" t="s">
        <v>48</v>
      </c>
      <c r="O1785" s="70" t="s">
        <v>1891</v>
      </c>
      <c r="P1785" s="70" t="s">
        <v>1892</v>
      </c>
      <c r="Q1785" s="70" t="s">
        <v>1893</v>
      </c>
      <c r="R1785" s="73">
        <v>1</v>
      </c>
      <c r="S1785" s="70" t="s">
        <v>3884</v>
      </c>
      <c r="T1785" s="70" t="s">
        <v>53</v>
      </c>
      <c r="U1785" s="70" t="s">
        <v>54</v>
      </c>
      <c r="V1785" s="70" t="s">
        <v>55</v>
      </c>
      <c r="W1785" s="70"/>
      <c r="X1785" s="74">
        <v>45936</v>
      </c>
      <c r="Y1785" s="73">
        <v>94.08</v>
      </c>
      <c r="Z1785" s="73">
        <v>1</v>
      </c>
      <c r="AA1785" s="70"/>
      <c r="AB1785" s="70"/>
      <c r="AC1785" s="70"/>
      <c r="AD1785" s="70"/>
      <c r="AE1785" s="70"/>
      <c r="AF1785" s="73">
        <v>78.760000000000005</v>
      </c>
      <c r="AG1785" s="75">
        <v>140000000000000</v>
      </c>
      <c r="AK1785" s="76" t="e">
        <f t="shared" si="8"/>
        <v>#DIV/0!</v>
      </c>
      <c r="AM1785" s="38"/>
      <c r="AO1785" s="28"/>
    </row>
    <row r="1786" spans="1:60" ht="14.5">
      <c r="A1786" s="70" t="s">
        <v>6483</v>
      </c>
      <c r="B1786" s="71">
        <v>45925</v>
      </c>
      <c r="C1786" s="72">
        <v>45930</v>
      </c>
      <c r="D1786" s="70" t="s">
        <v>41</v>
      </c>
      <c r="E1786" s="70" t="s">
        <v>6484</v>
      </c>
      <c r="F1786" s="70"/>
      <c r="G1786" s="70" t="s">
        <v>43</v>
      </c>
      <c r="H1786" s="73">
        <v>13.9</v>
      </c>
      <c r="I1786" s="70" t="s">
        <v>44</v>
      </c>
      <c r="J1786" s="70" t="s">
        <v>45</v>
      </c>
      <c r="K1786" s="70" t="s">
        <v>6485</v>
      </c>
      <c r="L1786" s="70" t="s">
        <v>58</v>
      </c>
      <c r="M1786" s="70" t="s">
        <v>48</v>
      </c>
      <c r="N1786" s="70" t="s">
        <v>48</v>
      </c>
      <c r="O1786" s="70" t="s">
        <v>5394</v>
      </c>
      <c r="P1786" s="70" t="s">
        <v>5395</v>
      </c>
      <c r="Q1786" s="70" t="s">
        <v>5396</v>
      </c>
      <c r="R1786" s="73">
        <v>1</v>
      </c>
      <c r="S1786" s="70" t="s">
        <v>3878</v>
      </c>
      <c r="T1786" s="70" t="s">
        <v>53</v>
      </c>
      <c r="U1786" s="70" t="s">
        <v>54</v>
      </c>
      <c r="V1786" s="70" t="s">
        <v>61</v>
      </c>
      <c r="W1786" s="70"/>
      <c r="X1786" s="74">
        <v>45936</v>
      </c>
      <c r="Y1786" s="73">
        <v>417.44</v>
      </c>
      <c r="Z1786" s="73">
        <v>4</v>
      </c>
      <c r="AA1786" s="70"/>
      <c r="AB1786" s="70"/>
      <c r="AC1786" s="70"/>
      <c r="AD1786" s="70"/>
      <c r="AE1786" s="70"/>
      <c r="AF1786" s="70"/>
      <c r="AG1786" s="75">
        <v>140000000000000</v>
      </c>
      <c r="AK1786" s="76" t="e">
        <f t="shared" si="8"/>
        <v>#DIV/0!</v>
      </c>
      <c r="AM1786" s="38"/>
      <c r="AO1786" s="28"/>
    </row>
    <row r="1787" spans="1:60" ht="14.5">
      <c r="A1787" s="70" t="s">
        <v>6486</v>
      </c>
      <c r="B1787" s="71">
        <v>45918</v>
      </c>
      <c r="C1787" s="72">
        <v>45930</v>
      </c>
      <c r="D1787" s="70" t="s">
        <v>41</v>
      </c>
      <c r="E1787" s="70" t="s">
        <v>6487</v>
      </c>
      <c r="F1787" s="70"/>
      <c r="G1787" s="70" t="s">
        <v>43</v>
      </c>
      <c r="H1787" s="73">
        <v>14.37</v>
      </c>
      <c r="I1787" s="70" t="s">
        <v>44</v>
      </c>
      <c r="J1787" s="70" t="s">
        <v>45</v>
      </c>
      <c r="K1787" s="70" t="s">
        <v>6488</v>
      </c>
      <c r="L1787" s="70" t="s">
        <v>58</v>
      </c>
      <c r="M1787" s="70" t="s">
        <v>48</v>
      </c>
      <c r="N1787" s="70" t="s">
        <v>48</v>
      </c>
      <c r="O1787" s="70" t="s">
        <v>779</v>
      </c>
      <c r="P1787" s="70" t="s">
        <v>780</v>
      </c>
      <c r="Q1787" s="70" t="s">
        <v>781</v>
      </c>
      <c r="R1787" s="73">
        <v>1</v>
      </c>
      <c r="S1787" s="70" t="s">
        <v>3868</v>
      </c>
      <c r="T1787" s="70" t="s">
        <v>53</v>
      </c>
      <c r="U1787" s="70" t="s">
        <v>54</v>
      </c>
      <c r="V1787" s="70" t="s">
        <v>55</v>
      </c>
      <c r="W1787" s="70"/>
      <c r="X1787" s="74">
        <v>45936</v>
      </c>
      <c r="Y1787" s="73">
        <v>96.41</v>
      </c>
      <c r="Z1787" s="73">
        <v>1</v>
      </c>
      <c r="AA1787" s="70"/>
      <c r="AB1787" s="70"/>
      <c r="AC1787" s="70"/>
      <c r="AD1787" s="70"/>
      <c r="AE1787" s="70"/>
      <c r="AF1787" s="73">
        <v>82.04</v>
      </c>
      <c r="AG1787" s="75">
        <v>140000000000000</v>
      </c>
      <c r="AK1787" s="76" t="e">
        <f t="shared" si="8"/>
        <v>#DIV/0!</v>
      </c>
      <c r="AM1787" s="38"/>
      <c r="AO1787" s="28"/>
    </row>
    <row r="1788" spans="1:60" ht="40">
      <c r="A1788" s="70" t="s">
        <v>6489</v>
      </c>
      <c r="B1788" s="71">
        <v>45926</v>
      </c>
      <c r="C1788" s="72">
        <v>45930</v>
      </c>
      <c r="D1788" s="70" t="s">
        <v>41</v>
      </c>
      <c r="E1788" s="70" t="s">
        <v>6490</v>
      </c>
      <c r="F1788" s="70"/>
      <c r="G1788" s="70" t="s">
        <v>43</v>
      </c>
      <c r="H1788" s="73">
        <v>12.5</v>
      </c>
      <c r="I1788" s="70" t="s">
        <v>44</v>
      </c>
      <c r="J1788" s="70" t="s">
        <v>45</v>
      </c>
      <c r="K1788" s="70" t="s">
        <v>6491</v>
      </c>
      <c r="L1788" s="70" t="s">
        <v>47</v>
      </c>
      <c r="M1788" s="70" t="s">
        <v>48</v>
      </c>
      <c r="N1788" s="70" t="s">
        <v>48</v>
      </c>
      <c r="O1788" s="70" t="s">
        <v>1077</v>
      </c>
      <c r="P1788" s="70" t="s">
        <v>1078</v>
      </c>
      <c r="Q1788" s="70" t="s">
        <v>1079</v>
      </c>
      <c r="R1788" s="73">
        <v>1</v>
      </c>
      <c r="S1788" s="70" t="s">
        <v>92</v>
      </c>
      <c r="T1788" s="70" t="s">
        <v>53</v>
      </c>
      <c r="U1788" s="70" t="s">
        <v>54</v>
      </c>
      <c r="V1788" s="70" t="s">
        <v>61</v>
      </c>
      <c r="W1788" s="70"/>
      <c r="X1788" s="70"/>
      <c r="Y1788" s="73">
        <v>112.28</v>
      </c>
      <c r="Z1788" s="73">
        <v>1</v>
      </c>
      <c r="AA1788" s="70"/>
      <c r="AB1788" s="70"/>
      <c r="AC1788" s="70"/>
      <c r="AD1788" s="70"/>
      <c r="AE1788" s="70"/>
      <c r="AF1788" s="70"/>
      <c r="AG1788" s="75">
        <v>141000000000000</v>
      </c>
      <c r="AK1788" s="76" t="e">
        <f t="shared" si="8"/>
        <v>#DIV/0!</v>
      </c>
      <c r="AM1788" s="38" t="s">
        <v>561</v>
      </c>
      <c r="AO1788" s="77" t="s">
        <v>6492</v>
      </c>
    </row>
    <row r="1789" spans="1:60" ht="12.5">
      <c r="A1789" s="32"/>
      <c r="B1789" s="48"/>
      <c r="C1789" s="34"/>
      <c r="D1789" s="33"/>
      <c r="E1789" s="33"/>
      <c r="F1789" s="33"/>
      <c r="G1789" s="33"/>
      <c r="H1789" s="33"/>
      <c r="I1789" s="33"/>
      <c r="J1789" s="33"/>
      <c r="K1789" s="33"/>
      <c r="L1789" s="35"/>
      <c r="M1789" s="33"/>
      <c r="N1789" s="33"/>
      <c r="O1789" s="35"/>
      <c r="P1789" s="32"/>
      <c r="Q1789" s="33"/>
      <c r="R1789" s="33"/>
      <c r="S1789" s="33"/>
      <c r="T1789" s="33"/>
      <c r="U1789" s="33"/>
      <c r="V1789" s="33"/>
      <c r="W1789" s="33"/>
      <c r="X1789" s="33"/>
      <c r="Y1789" s="33"/>
      <c r="Z1789" s="33"/>
      <c r="AA1789" s="33"/>
      <c r="AB1789" s="33"/>
      <c r="AC1789" s="33"/>
      <c r="AD1789" s="33"/>
      <c r="AE1789" s="33"/>
      <c r="AF1789" s="33"/>
      <c r="AG1789" s="33"/>
      <c r="AH1789" s="33"/>
      <c r="AI1789" s="33"/>
      <c r="AJ1789" s="33"/>
      <c r="AK1789" s="76" t="e">
        <f t="shared" si="8"/>
        <v>#DIV/0!</v>
      </c>
      <c r="AL1789" s="33"/>
      <c r="AM1789" s="38"/>
      <c r="AN1789" s="33"/>
      <c r="AO1789" s="32"/>
      <c r="AP1789" s="33"/>
      <c r="AQ1789" s="33"/>
      <c r="AR1789" s="33"/>
      <c r="AS1789" s="33"/>
      <c r="AT1789" s="33"/>
      <c r="AU1789" s="33"/>
      <c r="AV1789" s="33"/>
      <c r="AW1789" s="33"/>
      <c r="AX1789" s="33"/>
      <c r="AY1789" s="33"/>
      <c r="AZ1789" s="33"/>
      <c r="BA1789" s="33"/>
      <c r="BB1789" s="33"/>
      <c r="BC1789" s="33"/>
      <c r="BD1789" s="33"/>
      <c r="BE1789" s="33"/>
      <c r="BF1789" s="33"/>
      <c r="BG1789" s="33"/>
      <c r="BH1789" s="33"/>
    </row>
    <row r="1790" spans="1:60" ht="12.5">
      <c r="A1790" s="28"/>
      <c r="B1790" s="37"/>
      <c r="C1790" s="29"/>
      <c r="D1790" s="38"/>
      <c r="E1790" s="38"/>
      <c r="G1790" s="38"/>
      <c r="H1790" s="38"/>
      <c r="I1790" s="38"/>
      <c r="J1790" s="38"/>
      <c r="K1790" s="38"/>
      <c r="L1790" s="30"/>
      <c r="M1790" s="38"/>
      <c r="N1790" s="38"/>
      <c r="O1790" s="31"/>
      <c r="P1790" s="28"/>
      <c r="Q1790" s="38"/>
      <c r="R1790" s="38"/>
      <c r="S1790" s="38"/>
      <c r="T1790" s="38"/>
      <c r="U1790" s="38"/>
      <c r="V1790" s="38"/>
      <c r="Y1790" s="38"/>
      <c r="Z1790" s="38"/>
      <c r="AF1790" s="38"/>
      <c r="AK1790" s="76" t="e">
        <f t="shared" si="8"/>
        <v>#DIV/0!</v>
      </c>
      <c r="AM1790" s="38"/>
      <c r="AO1790" s="28"/>
    </row>
    <row r="1791" spans="1:60" ht="12.5">
      <c r="A1791" s="28"/>
      <c r="B1791" s="37"/>
      <c r="C1791" s="29"/>
      <c r="D1791" s="38"/>
      <c r="E1791" s="38"/>
      <c r="G1791" s="38"/>
      <c r="H1791" s="38"/>
      <c r="I1791" s="38"/>
      <c r="J1791" s="38"/>
      <c r="K1791" s="38"/>
      <c r="L1791" s="30"/>
      <c r="M1791" s="38"/>
      <c r="N1791" s="38"/>
      <c r="O1791" s="31"/>
      <c r="P1791" s="28"/>
      <c r="Q1791" s="38"/>
      <c r="R1791" s="38"/>
      <c r="S1791" s="38"/>
      <c r="T1791" s="38"/>
      <c r="U1791" s="38"/>
      <c r="V1791" s="38"/>
      <c r="Y1791" s="38"/>
      <c r="Z1791" s="38"/>
      <c r="AF1791" s="38"/>
      <c r="AK1791" s="76" t="e">
        <f t="shared" si="8"/>
        <v>#DIV/0!</v>
      </c>
      <c r="AM1791" s="38"/>
      <c r="AO1791" s="28"/>
    </row>
    <row r="1792" spans="1:60" ht="12.5">
      <c r="A1792" s="28"/>
      <c r="B1792" s="37"/>
      <c r="C1792" s="29"/>
      <c r="D1792" s="38"/>
      <c r="E1792" s="38"/>
      <c r="G1792" s="38"/>
      <c r="H1792" s="38"/>
      <c r="I1792" s="38"/>
      <c r="J1792" s="38"/>
      <c r="K1792" s="38"/>
      <c r="L1792" s="30"/>
      <c r="M1792" s="38"/>
      <c r="N1792" s="38"/>
      <c r="O1792" s="31"/>
      <c r="P1792" s="28"/>
      <c r="Q1792" s="38"/>
      <c r="R1792" s="38"/>
      <c r="S1792" s="38"/>
      <c r="T1792" s="38"/>
      <c r="U1792" s="38"/>
      <c r="V1792" s="38"/>
      <c r="Y1792" s="38"/>
      <c r="Z1792" s="38"/>
      <c r="AF1792" s="38"/>
      <c r="AK1792" s="76" t="e">
        <f t="shared" si="8"/>
        <v>#DIV/0!</v>
      </c>
      <c r="AM1792" s="38"/>
      <c r="AO1792" s="28"/>
    </row>
    <row r="1793" spans="1:41" ht="12.5">
      <c r="A1793" s="28"/>
      <c r="B1793" s="37"/>
      <c r="C1793" s="29"/>
      <c r="D1793" s="38"/>
      <c r="E1793" s="38"/>
      <c r="G1793" s="38"/>
      <c r="H1793" s="38"/>
      <c r="I1793" s="38"/>
      <c r="J1793" s="38"/>
      <c r="K1793" s="38"/>
      <c r="L1793" s="30"/>
      <c r="M1793" s="38"/>
      <c r="N1793" s="38"/>
      <c r="O1793" s="31"/>
      <c r="P1793" s="28"/>
      <c r="Q1793" s="38"/>
      <c r="R1793" s="38"/>
      <c r="S1793" s="38"/>
      <c r="T1793" s="38"/>
      <c r="U1793" s="38"/>
      <c r="V1793" s="38"/>
      <c r="Y1793" s="38"/>
      <c r="Z1793" s="38"/>
      <c r="AF1793" s="38"/>
      <c r="AK1793" s="76" t="e">
        <f t="shared" si="8"/>
        <v>#DIV/0!</v>
      </c>
      <c r="AM1793" s="38"/>
      <c r="AO1793" s="28"/>
    </row>
    <row r="1794" spans="1:41" ht="12.5">
      <c r="A1794" s="28"/>
      <c r="B1794" s="37"/>
      <c r="C1794" s="29"/>
      <c r="D1794" s="38"/>
      <c r="E1794" s="38"/>
      <c r="G1794" s="38"/>
      <c r="H1794" s="38"/>
      <c r="I1794" s="38"/>
      <c r="J1794" s="38"/>
      <c r="K1794" s="38"/>
      <c r="L1794" s="30"/>
      <c r="M1794" s="38"/>
      <c r="N1794" s="38"/>
      <c r="O1794" s="31"/>
      <c r="P1794" s="28"/>
      <c r="Q1794" s="38"/>
      <c r="R1794" s="38"/>
      <c r="S1794" s="38"/>
      <c r="T1794" s="38"/>
      <c r="U1794" s="38"/>
      <c r="V1794" s="38"/>
      <c r="Y1794" s="38"/>
      <c r="Z1794" s="38"/>
      <c r="AF1794" s="38"/>
      <c r="AK1794" s="76" t="e">
        <f t="shared" si="8"/>
        <v>#DIV/0!</v>
      </c>
      <c r="AM1794" s="38"/>
      <c r="AO1794" s="28"/>
    </row>
    <row r="1795" spans="1:41" ht="12.5">
      <c r="A1795" s="28"/>
      <c r="B1795" s="37"/>
      <c r="C1795" s="29"/>
      <c r="D1795" s="38"/>
      <c r="E1795" s="38"/>
      <c r="G1795" s="38"/>
      <c r="H1795" s="38"/>
      <c r="I1795" s="38"/>
      <c r="J1795" s="38"/>
      <c r="K1795" s="38"/>
      <c r="L1795" s="30"/>
      <c r="M1795" s="38"/>
      <c r="N1795" s="38"/>
      <c r="O1795" s="31"/>
      <c r="P1795" s="28"/>
      <c r="Q1795" s="38"/>
      <c r="R1795" s="38"/>
      <c r="S1795" s="38"/>
      <c r="T1795" s="38"/>
      <c r="U1795" s="38"/>
      <c r="V1795" s="38"/>
      <c r="Y1795" s="38"/>
      <c r="Z1795" s="38"/>
      <c r="AF1795" s="38"/>
      <c r="AK1795" s="76" t="e">
        <f t="shared" si="8"/>
        <v>#DIV/0!</v>
      </c>
      <c r="AM1795" s="38"/>
      <c r="AO1795" s="28"/>
    </row>
    <row r="1796" spans="1:41" ht="12.5">
      <c r="A1796" s="28"/>
      <c r="B1796" s="37"/>
      <c r="C1796" s="29"/>
      <c r="D1796" s="38"/>
      <c r="E1796" s="38"/>
      <c r="G1796" s="38"/>
      <c r="H1796" s="38"/>
      <c r="I1796" s="38"/>
      <c r="J1796" s="38"/>
      <c r="K1796" s="38"/>
      <c r="L1796" s="30"/>
      <c r="M1796" s="38"/>
      <c r="N1796" s="38"/>
      <c r="O1796" s="31"/>
      <c r="P1796" s="28"/>
      <c r="Q1796" s="38"/>
      <c r="R1796" s="38"/>
      <c r="S1796" s="38"/>
      <c r="T1796" s="38"/>
      <c r="U1796" s="38"/>
      <c r="V1796" s="38"/>
      <c r="Y1796" s="38"/>
      <c r="Z1796" s="38"/>
      <c r="AF1796" s="38"/>
      <c r="AK1796" s="76" t="e">
        <f t="shared" si="8"/>
        <v>#DIV/0!</v>
      </c>
      <c r="AM1796" s="38"/>
      <c r="AO1796" s="28"/>
    </row>
    <row r="1797" spans="1:41" ht="12.5">
      <c r="A1797" s="28"/>
      <c r="B1797" s="37"/>
      <c r="C1797" s="29"/>
      <c r="D1797" s="38"/>
      <c r="E1797" s="38"/>
      <c r="G1797" s="38"/>
      <c r="H1797" s="38"/>
      <c r="I1797" s="38"/>
      <c r="J1797" s="38"/>
      <c r="K1797" s="38"/>
      <c r="L1797" s="30"/>
      <c r="M1797" s="38"/>
      <c r="N1797" s="38"/>
      <c r="O1797" s="31"/>
      <c r="P1797" s="28"/>
      <c r="Q1797" s="38"/>
      <c r="R1797" s="38"/>
      <c r="S1797" s="38"/>
      <c r="T1797" s="38"/>
      <c r="U1797" s="38"/>
      <c r="V1797" s="38"/>
      <c r="Y1797" s="38"/>
      <c r="Z1797" s="38"/>
      <c r="AF1797" s="38"/>
      <c r="AK1797" s="76" t="e">
        <f t="shared" si="8"/>
        <v>#DIV/0!</v>
      </c>
      <c r="AM1797" s="38"/>
      <c r="AO1797" s="28"/>
    </row>
    <row r="1798" spans="1:41" ht="12.5">
      <c r="A1798" s="28"/>
      <c r="B1798" s="37"/>
      <c r="C1798" s="29"/>
      <c r="D1798" s="38"/>
      <c r="E1798" s="38"/>
      <c r="G1798" s="38"/>
      <c r="H1798" s="38"/>
      <c r="I1798" s="38"/>
      <c r="J1798" s="38"/>
      <c r="K1798" s="38"/>
      <c r="L1798" s="30"/>
      <c r="M1798" s="38"/>
      <c r="N1798" s="38"/>
      <c r="O1798" s="31"/>
      <c r="P1798" s="28"/>
      <c r="Q1798" s="38"/>
      <c r="R1798" s="38"/>
      <c r="S1798" s="38"/>
      <c r="T1798" s="38"/>
      <c r="U1798" s="38"/>
      <c r="V1798" s="38"/>
      <c r="Y1798" s="38"/>
      <c r="Z1798" s="38"/>
      <c r="AF1798" s="38"/>
      <c r="AK1798" s="76" t="e">
        <f t="shared" si="8"/>
        <v>#DIV/0!</v>
      </c>
      <c r="AM1798" s="38"/>
      <c r="AO1798" s="28"/>
    </row>
    <row r="1799" spans="1:41" ht="12.5">
      <c r="A1799" s="28"/>
      <c r="B1799" s="37"/>
      <c r="C1799" s="29"/>
      <c r="D1799" s="38"/>
      <c r="E1799" s="38"/>
      <c r="G1799" s="38"/>
      <c r="H1799" s="38"/>
      <c r="I1799" s="38"/>
      <c r="J1799" s="38"/>
      <c r="K1799" s="38"/>
      <c r="L1799" s="30"/>
      <c r="M1799" s="38"/>
      <c r="N1799" s="38"/>
      <c r="O1799" s="31"/>
      <c r="P1799" s="28"/>
      <c r="Q1799" s="38"/>
      <c r="R1799" s="38"/>
      <c r="S1799" s="38"/>
      <c r="T1799" s="38"/>
      <c r="U1799" s="38"/>
      <c r="V1799" s="38"/>
      <c r="Y1799" s="38"/>
      <c r="Z1799" s="38"/>
      <c r="AF1799" s="38"/>
      <c r="AK1799" s="76" t="e">
        <f t="shared" si="8"/>
        <v>#DIV/0!</v>
      </c>
      <c r="AM1799" s="38"/>
      <c r="AO1799" s="28"/>
    </row>
    <row r="1800" spans="1:41" ht="12.5">
      <c r="A1800" s="28"/>
      <c r="B1800" s="37"/>
      <c r="C1800" s="29"/>
      <c r="D1800" s="38"/>
      <c r="E1800" s="38"/>
      <c r="G1800" s="38"/>
      <c r="H1800" s="38"/>
      <c r="I1800" s="38"/>
      <c r="J1800" s="38"/>
      <c r="K1800" s="38"/>
      <c r="L1800" s="30"/>
      <c r="M1800" s="38"/>
      <c r="N1800" s="38"/>
      <c r="O1800" s="31"/>
      <c r="P1800" s="28"/>
      <c r="Q1800" s="38"/>
      <c r="R1800" s="38"/>
      <c r="S1800" s="38"/>
      <c r="T1800" s="38"/>
      <c r="U1800" s="38"/>
      <c r="V1800" s="38"/>
      <c r="Y1800" s="38"/>
      <c r="Z1800" s="38"/>
      <c r="AF1800" s="38"/>
      <c r="AK1800" s="76" t="e">
        <f t="shared" si="8"/>
        <v>#DIV/0!</v>
      </c>
      <c r="AM1800" s="38"/>
      <c r="AO1800" s="28"/>
    </row>
    <row r="1801" spans="1:41" ht="12.5">
      <c r="A1801" s="28"/>
      <c r="B1801" s="37"/>
      <c r="C1801" s="29"/>
      <c r="D1801" s="38"/>
      <c r="E1801" s="38"/>
      <c r="G1801" s="38"/>
      <c r="H1801" s="38"/>
      <c r="I1801" s="38"/>
      <c r="J1801" s="38"/>
      <c r="K1801" s="38"/>
      <c r="L1801" s="30"/>
      <c r="M1801" s="38"/>
      <c r="N1801" s="38"/>
      <c r="O1801" s="31"/>
      <c r="P1801" s="28"/>
      <c r="Q1801" s="38"/>
      <c r="R1801" s="38"/>
      <c r="S1801" s="38"/>
      <c r="T1801" s="38"/>
      <c r="U1801" s="38"/>
      <c r="V1801" s="38"/>
      <c r="Y1801" s="38"/>
      <c r="Z1801" s="38"/>
      <c r="AF1801" s="38"/>
      <c r="AK1801" s="76" t="e">
        <f t="shared" si="8"/>
        <v>#DIV/0!</v>
      </c>
      <c r="AM1801" s="38"/>
      <c r="AO1801" s="28"/>
    </row>
    <row r="1802" spans="1:41" ht="12.5">
      <c r="A1802" s="28"/>
      <c r="B1802" s="37"/>
      <c r="C1802" s="29"/>
      <c r="D1802" s="38"/>
      <c r="E1802" s="38"/>
      <c r="G1802" s="38"/>
      <c r="H1802" s="38"/>
      <c r="I1802" s="38"/>
      <c r="J1802" s="38"/>
      <c r="K1802" s="38"/>
      <c r="L1802" s="30"/>
      <c r="M1802" s="38"/>
      <c r="N1802" s="38"/>
      <c r="O1802" s="31"/>
      <c r="P1802" s="28"/>
      <c r="Q1802" s="38"/>
      <c r="R1802" s="38"/>
      <c r="S1802" s="38"/>
      <c r="T1802" s="38"/>
      <c r="U1802" s="38"/>
      <c r="V1802" s="38"/>
      <c r="Y1802" s="38"/>
      <c r="Z1802" s="38"/>
      <c r="AF1802" s="38"/>
      <c r="AK1802" s="76" t="e">
        <f t="shared" si="8"/>
        <v>#DIV/0!</v>
      </c>
      <c r="AM1802" s="38"/>
      <c r="AO1802" s="28"/>
    </row>
    <row r="1803" spans="1:41" ht="12.5">
      <c r="A1803" s="28"/>
      <c r="B1803" s="37"/>
      <c r="C1803" s="29"/>
      <c r="D1803" s="38"/>
      <c r="E1803" s="38"/>
      <c r="G1803" s="38"/>
      <c r="H1803" s="38"/>
      <c r="I1803" s="38"/>
      <c r="J1803" s="38"/>
      <c r="K1803" s="38"/>
      <c r="L1803" s="30"/>
      <c r="M1803" s="38"/>
      <c r="N1803" s="38"/>
      <c r="O1803" s="31"/>
      <c r="P1803" s="28"/>
      <c r="Q1803" s="38"/>
      <c r="R1803" s="38"/>
      <c r="S1803" s="38"/>
      <c r="T1803" s="38"/>
      <c r="U1803" s="38"/>
      <c r="V1803" s="38"/>
      <c r="Y1803" s="38"/>
      <c r="Z1803" s="38"/>
      <c r="AF1803" s="38"/>
      <c r="AK1803" s="76" t="e">
        <f t="shared" si="8"/>
        <v>#DIV/0!</v>
      </c>
      <c r="AM1803" s="38"/>
      <c r="AO1803" s="28"/>
    </row>
    <row r="1804" spans="1:41" ht="12.5">
      <c r="A1804" s="28"/>
      <c r="B1804" s="37"/>
      <c r="C1804" s="29"/>
      <c r="D1804" s="38"/>
      <c r="E1804" s="38"/>
      <c r="G1804" s="38"/>
      <c r="H1804" s="38"/>
      <c r="I1804" s="38"/>
      <c r="J1804" s="38"/>
      <c r="K1804" s="38"/>
      <c r="L1804" s="30"/>
      <c r="M1804" s="38"/>
      <c r="N1804" s="38"/>
      <c r="O1804" s="31"/>
      <c r="P1804" s="28"/>
      <c r="Q1804" s="38"/>
      <c r="R1804" s="38"/>
      <c r="S1804" s="38"/>
      <c r="T1804" s="38"/>
      <c r="U1804" s="38"/>
      <c r="V1804" s="38"/>
      <c r="Y1804" s="38"/>
      <c r="Z1804" s="38"/>
      <c r="AF1804" s="38"/>
      <c r="AK1804" s="76" t="e">
        <f t="shared" si="8"/>
        <v>#DIV/0!</v>
      </c>
      <c r="AM1804" s="38"/>
      <c r="AO1804" s="28"/>
    </row>
    <row r="1805" spans="1:41" ht="12.5">
      <c r="A1805" s="28"/>
      <c r="B1805" s="37"/>
      <c r="C1805" s="29"/>
      <c r="D1805" s="38"/>
      <c r="E1805" s="38"/>
      <c r="G1805" s="38"/>
      <c r="H1805" s="38"/>
      <c r="I1805" s="38"/>
      <c r="J1805" s="38"/>
      <c r="K1805" s="38"/>
      <c r="L1805" s="30"/>
      <c r="M1805" s="38"/>
      <c r="N1805" s="38"/>
      <c r="O1805" s="31"/>
      <c r="P1805" s="28"/>
      <c r="Q1805" s="38"/>
      <c r="R1805" s="38"/>
      <c r="S1805" s="38"/>
      <c r="T1805" s="38"/>
      <c r="U1805" s="38"/>
      <c r="V1805" s="38"/>
      <c r="Y1805" s="38"/>
      <c r="Z1805" s="38"/>
      <c r="AF1805" s="38"/>
      <c r="AK1805" s="76" t="e">
        <f t="shared" si="8"/>
        <v>#DIV/0!</v>
      </c>
      <c r="AM1805" s="38"/>
      <c r="AO1805" s="28"/>
    </row>
    <row r="1806" spans="1:41" ht="12.5">
      <c r="A1806" s="28"/>
      <c r="B1806" s="37"/>
      <c r="C1806" s="29"/>
      <c r="D1806" s="38"/>
      <c r="E1806" s="38"/>
      <c r="G1806" s="38"/>
      <c r="H1806" s="38"/>
      <c r="I1806" s="38"/>
      <c r="J1806" s="38"/>
      <c r="K1806" s="38"/>
      <c r="L1806" s="30"/>
      <c r="M1806" s="38"/>
      <c r="N1806" s="38"/>
      <c r="O1806" s="31"/>
      <c r="P1806" s="28"/>
      <c r="Q1806" s="38"/>
      <c r="R1806" s="38"/>
      <c r="S1806" s="38"/>
      <c r="T1806" s="38"/>
      <c r="U1806" s="38"/>
      <c r="V1806" s="38"/>
      <c r="Y1806" s="38"/>
      <c r="Z1806" s="38"/>
      <c r="AF1806" s="38"/>
      <c r="AK1806" s="76" t="e">
        <f t="shared" si="8"/>
        <v>#DIV/0!</v>
      </c>
      <c r="AM1806" s="38"/>
      <c r="AO1806" s="28"/>
    </row>
    <row r="1807" spans="1:41" ht="12.5">
      <c r="A1807" s="28"/>
      <c r="B1807" s="37"/>
      <c r="C1807" s="29"/>
      <c r="D1807" s="38"/>
      <c r="E1807" s="38"/>
      <c r="G1807" s="38"/>
      <c r="H1807" s="38"/>
      <c r="I1807" s="38"/>
      <c r="J1807" s="38"/>
      <c r="K1807" s="38"/>
      <c r="L1807" s="30"/>
      <c r="M1807" s="38"/>
      <c r="N1807" s="38"/>
      <c r="O1807" s="31"/>
      <c r="P1807" s="28"/>
      <c r="Q1807" s="38"/>
      <c r="R1807" s="38"/>
      <c r="S1807" s="38"/>
      <c r="T1807" s="38"/>
      <c r="U1807" s="38"/>
      <c r="V1807" s="38"/>
      <c r="Y1807" s="38"/>
      <c r="Z1807" s="38"/>
      <c r="AF1807" s="38"/>
      <c r="AK1807" s="76" t="e">
        <f t="shared" si="8"/>
        <v>#DIV/0!</v>
      </c>
      <c r="AM1807" s="38"/>
      <c r="AO1807" s="28"/>
    </row>
    <row r="1808" spans="1:41" ht="12.5">
      <c r="A1808" s="28"/>
      <c r="B1808" s="37"/>
      <c r="C1808" s="29"/>
      <c r="D1808" s="38"/>
      <c r="E1808" s="38"/>
      <c r="G1808" s="38"/>
      <c r="H1808" s="38"/>
      <c r="I1808" s="38"/>
      <c r="J1808" s="38"/>
      <c r="K1808" s="38"/>
      <c r="L1808" s="30"/>
      <c r="M1808" s="38"/>
      <c r="N1808" s="38"/>
      <c r="O1808" s="31"/>
      <c r="P1808" s="28"/>
      <c r="Q1808" s="38"/>
      <c r="R1808" s="38"/>
      <c r="S1808" s="38"/>
      <c r="T1808" s="38"/>
      <c r="U1808" s="38"/>
      <c r="V1808" s="38"/>
      <c r="Y1808" s="38"/>
      <c r="Z1808" s="38"/>
      <c r="AF1808" s="38"/>
      <c r="AK1808" s="76" t="e">
        <f t="shared" si="8"/>
        <v>#DIV/0!</v>
      </c>
      <c r="AM1808" s="38"/>
      <c r="AO1808" s="28"/>
    </row>
    <row r="1809" spans="1:41" ht="12.5">
      <c r="A1809" s="28"/>
      <c r="B1809" s="37"/>
      <c r="C1809" s="29"/>
      <c r="D1809" s="38"/>
      <c r="E1809" s="38"/>
      <c r="G1809" s="38"/>
      <c r="H1809" s="38"/>
      <c r="I1809" s="38"/>
      <c r="J1809" s="38"/>
      <c r="K1809" s="38"/>
      <c r="L1809" s="30"/>
      <c r="M1809" s="38"/>
      <c r="N1809" s="38"/>
      <c r="O1809" s="31"/>
      <c r="P1809" s="28"/>
      <c r="Q1809" s="38"/>
      <c r="R1809" s="38"/>
      <c r="S1809" s="38"/>
      <c r="T1809" s="38"/>
      <c r="U1809" s="38"/>
      <c r="V1809" s="38"/>
      <c r="Y1809" s="38"/>
      <c r="Z1809" s="38"/>
      <c r="AF1809" s="38"/>
      <c r="AK1809" s="76" t="e">
        <f t="shared" si="8"/>
        <v>#DIV/0!</v>
      </c>
      <c r="AM1809" s="38"/>
      <c r="AO1809" s="28"/>
    </row>
    <row r="1810" spans="1:41" ht="12.5">
      <c r="A1810" s="28"/>
      <c r="B1810" s="37"/>
      <c r="C1810" s="29"/>
      <c r="D1810" s="38"/>
      <c r="E1810" s="38"/>
      <c r="G1810" s="38"/>
      <c r="H1810" s="38"/>
      <c r="I1810" s="38"/>
      <c r="J1810" s="38"/>
      <c r="K1810" s="38"/>
      <c r="L1810" s="30"/>
      <c r="M1810" s="38"/>
      <c r="N1810" s="38"/>
      <c r="O1810" s="31"/>
      <c r="P1810" s="28"/>
      <c r="Q1810" s="38"/>
      <c r="R1810" s="38"/>
      <c r="S1810" s="38"/>
      <c r="T1810" s="38"/>
      <c r="U1810" s="38"/>
      <c r="V1810" s="38"/>
      <c r="Y1810" s="38"/>
      <c r="Z1810" s="38"/>
      <c r="AF1810" s="38"/>
      <c r="AK1810" s="76" t="e">
        <f t="shared" si="8"/>
        <v>#DIV/0!</v>
      </c>
      <c r="AM1810" s="38"/>
      <c r="AO1810" s="28"/>
    </row>
    <row r="1811" spans="1:41" ht="12.5">
      <c r="A1811" s="28"/>
      <c r="B1811" s="37"/>
      <c r="C1811" s="29"/>
      <c r="D1811" s="38"/>
      <c r="E1811" s="38"/>
      <c r="G1811" s="38"/>
      <c r="H1811" s="38"/>
      <c r="I1811" s="38"/>
      <c r="J1811" s="38"/>
      <c r="K1811" s="38"/>
      <c r="L1811" s="30"/>
      <c r="M1811" s="38"/>
      <c r="N1811" s="38"/>
      <c r="O1811" s="31"/>
      <c r="P1811" s="28"/>
      <c r="Q1811" s="38"/>
      <c r="R1811" s="38"/>
      <c r="S1811" s="38"/>
      <c r="T1811" s="38"/>
      <c r="U1811" s="38"/>
      <c r="V1811" s="38"/>
      <c r="Y1811" s="38"/>
      <c r="Z1811" s="38"/>
      <c r="AF1811" s="38"/>
      <c r="AK1811" s="76" t="e">
        <f t="shared" si="8"/>
        <v>#DIV/0!</v>
      </c>
      <c r="AM1811" s="38"/>
      <c r="AO1811" s="28"/>
    </row>
    <row r="1812" spans="1:41" ht="12.5">
      <c r="A1812" s="28"/>
      <c r="B1812" s="37"/>
      <c r="C1812" s="29"/>
      <c r="D1812" s="38"/>
      <c r="E1812" s="38"/>
      <c r="G1812" s="38"/>
      <c r="H1812" s="38"/>
      <c r="I1812" s="38"/>
      <c r="J1812" s="38"/>
      <c r="K1812" s="38"/>
      <c r="L1812" s="30"/>
      <c r="M1812" s="38"/>
      <c r="N1812" s="38"/>
      <c r="O1812" s="31"/>
      <c r="P1812" s="28"/>
      <c r="Q1812" s="38"/>
      <c r="R1812" s="38"/>
      <c r="S1812" s="38"/>
      <c r="T1812" s="38"/>
      <c r="U1812" s="38"/>
      <c r="V1812" s="38"/>
      <c r="Y1812" s="38"/>
      <c r="Z1812" s="38"/>
      <c r="AF1812" s="38"/>
      <c r="AK1812" s="76" t="e">
        <f t="shared" si="8"/>
        <v>#DIV/0!</v>
      </c>
      <c r="AM1812" s="38"/>
      <c r="AO1812" s="28"/>
    </row>
    <row r="1813" spans="1:41" ht="12.5">
      <c r="A1813" s="28"/>
      <c r="B1813" s="37"/>
      <c r="C1813" s="29"/>
      <c r="D1813" s="38"/>
      <c r="E1813" s="38"/>
      <c r="G1813" s="38"/>
      <c r="H1813" s="38"/>
      <c r="I1813" s="38"/>
      <c r="J1813" s="38"/>
      <c r="K1813" s="38"/>
      <c r="L1813" s="30"/>
      <c r="M1813" s="38"/>
      <c r="N1813" s="38"/>
      <c r="O1813" s="31"/>
      <c r="P1813" s="28"/>
      <c r="Q1813" s="38"/>
      <c r="R1813" s="38"/>
      <c r="S1813" s="38"/>
      <c r="T1813" s="38"/>
      <c r="U1813" s="38"/>
      <c r="V1813" s="38"/>
      <c r="Y1813" s="38"/>
      <c r="Z1813" s="38"/>
      <c r="AF1813" s="38"/>
      <c r="AK1813" s="76" t="e">
        <f t="shared" si="8"/>
        <v>#DIV/0!</v>
      </c>
      <c r="AM1813" s="38"/>
      <c r="AO1813" s="28"/>
    </row>
    <row r="1814" spans="1:41" ht="12.5">
      <c r="A1814" s="28"/>
      <c r="B1814" s="37"/>
      <c r="C1814" s="29"/>
      <c r="D1814" s="38"/>
      <c r="E1814" s="38"/>
      <c r="G1814" s="38"/>
      <c r="H1814" s="38"/>
      <c r="I1814" s="38"/>
      <c r="J1814" s="38"/>
      <c r="K1814" s="38"/>
      <c r="L1814" s="30"/>
      <c r="M1814" s="38"/>
      <c r="N1814" s="38"/>
      <c r="O1814" s="31"/>
      <c r="P1814" s="28"/>
      <c r="Q1814" s="38"/>
      <c r="R1814" s="38"/>
      <c r="S1814" s="38"/>
      <c r="T1814" s="38"/>
      <c r="U1814" s="38"/>
      <c r="V1814" s="38"/>
      <c r="Y1814" s="38"/>
      <c r="Z1814" s="38"/>
      <c r="AF1814" s="38"/>
      <c r="AK1814" s="76" t="e">
        <f t="shared" si="8"/>
        <v>#DIV/0!</v>
      </c>
      <c r="AM1814" s="38"/>
      <c r="AO1814" s="28"/>
    </row>
    <row r="1815" spans="1:41" ht="12.5">
      <c r="A1815" s="28"/>
      <c r="B1815" s="37"/>
      <c r="C1815" s="29"/>
      <c r="D1815" s="38"/>
      <c r="E1815" s="38"/>
      <c r="G1815" s="38"/>
      <c r="H1815" s="38"/>
      <c r="I1815" s="38"/>
      <c r="J1815" s="38"/>
      <c r="K1815" s="38"/>
      <c r="L1815" s="30"/>
      <c r="M1815" s="38"/>
      <c r="N1815" s="38"/>
      <c r="O1815" s="31"/>
      <c r="P1815" s="28"/>
      <c r="Q1815" s="38"/>
      <c r="R1815" s="38"/>
      <c r="S1815" s="38"/>
      <c r="T1815" s="38"/>
      <c r="U1815" s="38"/>
      <c r="V1815" s="38"/>
      <c r="Y1815" s="38"/>
      <c r="Z1815" s="38"/>
      <c r="AF1815" s="38"/>
      <c r="AK1815" s="76" t="e">
        <f t="shared" si="8"/>
        <v>#DIV/0!</v>
      </c>
      <c r="AM1815" s="38"/>
      <c r="AO1815" s="28"/>
    </row>
    <row r="1816" spans="1:41" ht="12.5">
      <c r="A1816" s="28"/>
      <c r="B1816" s="37"/>
      <c r="C1816" s="29"/>
      <c r="D1816" s="38"/>
      <c r="E1816" s="38"/>
      <c r="G1816" s="38"/>
      <c r="H1816" s="38"/>
      <c r="I1816" s="38"/>
      <c r="J1816" s="38"/>
      <c r="K1816" s="38"/>
      <c r="L1816" s="30"/>
      <c r="M1816" s="38"/>
      <c r="N1816" s="38"/>
      <c r="O1816" s="31"/>
      <c r="P1816" s="28"/>
      <c r="Q1816" s="38"/>
      <c r="R1816" s="38"/>
      <c r="S1816" s="38"/>
      <c r="T1816" s="38"/>
      <c r="U1816" s="38"/>
      <c r="V1816" s="38"/>
      <c r="Y1816" s="38"/>
      <c r="Z1816" s="38"/>
      <c r="AF1816" s="38"/>
      <c r="AK1816" s="76" t="e">
        <f t="shared" si="8"/>
        <v>#DIV/0!</v>
      </c>
      <c r="AM1816" s="38"/>
      <c r="AO1816" s="28"/>
    </row>
    <row r="1817" spans="1:41" ht="12.5">
      <c r="A1817" s="28"/>
      <c r="B1817" s="37"/>
      <c r="C1817" s="29"/>
      <c r="D1817" s="38"/>
      <c r="E1817" s="38"/>
      <c r="G1817" s="38"/>
      <c r="H1817" s="38"/>
      <c r="I1817" s="38"/>
      <c r="J1817" s="38"/>
      <c r="K1817" s="38"/>
      <c r="L1817" s="30"/>
      <c r="M1817" s="38"/>
      <c r="N1817" s="38"/>
      <c r="O1817" s="31"/>
      <c r="P1817" s="28"/>
      <c r="Q1817" s="38"/>
      <c r="R1817" s="38"/>
      <c r="S1817" s="38"/>
      <c r="T1817" s="38"/>
      <c r="U1817" s="38"/>
      <c r="V1817" s="38"/>
      <c r="Y1817" s="38"/>
      <c r="Z1817" s="38"/>
      <c r="AF1817" s="38"/>
      <c r="AK1817" s="76" t="e">
        <f t="shared" si="8"/>
        <v>#DIV/0!</v>
      </c>
      <c r="AM1817" s="38"/>
      <c r="AO1817" s="28"/>
    </row>
    <row r="1818" spans="1:41" ht="12.5">
      <c r="A1818" s="28"/>
      <c r="B1818" s="37"/>
      <c r="C1818" s="29"/>
      <c r="D1818" s="38"/>
      <c r="E1818" s="38"/>
      <c r="G1818" s="38"/>
      <c r="H1818" s="38"/>
      <c r="I1818" s="38"/>
      <c r="J1818" s="38"/>
      <c r="K1818" s="38"/>
      <c r="L1818" s="30"/>
      <c r="M1818" s="38"/>
      <c r="N1818" s="38"/>
      <c r="O1818" s="31"/>
      <c r="P1818" s="28"/>
      <c r="Q1818" s="38"/>
      <c r="R1818" s="38"/>
      <c r="S1818" s="38"/>
      <c r="T1818" s="38"/>
      <c r="U1818" s="38"/>
      <c r="V1818" s="38"/>
      <c r="Y1818" s="38"/>
      <c r="Z1818" s="38"/>
      <c r="AF1818" s="38"/>
      <c r="AK1818" s="76" t="e">
        <f t="shared" si="8"/>
        <v>#DIV/0!</v>
      </c>
      <c r="AM1818" s="38"/>
      <c r="AO1818" s="28"/>
    </row>
    <row r="1819" spans="1:41" ht="12.5">
      <c r="A1819" s="28"/>
      <c r="B1819" s="37"/>
      <c r="C1819" s="29"/>
      <c r="D1819" s="38"/>
      <c r="E1819" s="38"/>
      <c r="G1819" s="38"/>
      <c r="H1819" s="38"/>
      <c r="I1819" s="38"/>
      <c r="J1819" s="38"/>
      <c r="K1819" s="38"/>
      <c r="L1819" s="30"/>
      <c r="M1819" s="38"/>
      <c r="N1819" s="38"/>
      <c r="O1819" s="31"/>
      <c r="P1819" s="28"/>
      <c r="Q1819" s="38"/>
      <c r="R1819" s="38"/>
      <c r="S1819" s="38"/>
      <c r="T1819" s="38"/>
      <c r="U1819" s="38"/>
      <c r="V1819" s="38"/>
      <c r="Y1819" s="38"/>
      <c r="Z1819" s="38"/>
      <c r="AF1819" s="38"/>
      <c r="AK1819" s="76" t="e">
        <f t="shared" si="8"/>
        <v>#DIV/0!</v>
      </c>
      <c r="AM1819" s="38"/>
      <c r="AO1819" s="28"/>
    </row>
    <row r="1820" spans="1:41" ht="12.5">
      <c r="A1820" s="28"/>
      <c r="B1820" s="37"/>
      <c r="C1820" s="29"/>
      <c r="D1820" s="38"/>
      <c r="E1820" s="38"/>
      <c r="G1820" s="38"/>
      <c r="H1820" s="38"/>
      <c r="I1820" s="38"/>
      <c r="J1820" s="38"/>
      <c r="K1820" s="38"/>
      <c r="L1820" s="30"/>
      <c r="M1820" s="38"/>
      <c r="N1820" s="38"/>
      <c r="O1820" s="31"/>
      <c r="P1820" s="28"/>
      <c r="Q1820" s="38"/>
      <c r="R1820" s="38"/>
      <c r="S1820" s="38"/>
      <c r="T1820" s="38"/>
      <c r="U1820" s="38"/>
      <c r="V1820" s="38"/>
      <c r="Y1820" s="38"/>
      <c r="Z1820" s="38"/>
      <c r="AF1820" s="38"/>
      <c r="AK1820" s="76" t="e">
        <f t="shared" si="8"/>
        <v>#DIV/0!</v>
      </c>
      <c r="AM1820" s="38"/>
      <c r="AO1820" s="28"/>
    </row>
    <row r="1821" spans="1:41" ht="12.5">
      <c r="A1821" s="28"/>
      <c r="B1821" s="37"/>
      <c r="C1821" s="29"/>
      <c r="D1821" s="38"/>
      <c r="E1821" s="38"/>
      <c r="G1821" s="38"/>
      <c r="H1821" s="38"/>
      <c r="I1821" s="38"/>
      <c r="J1821" s="38"/>
      <c r="K1821" s="38"/>
      <c r="L1821" s="30"/>
      <c r="M1821" s="38"/>
      <c r="N1821" s="38"/>
      <c r="O1821" s="31"/>
      <c r="P1821" s="28"/>
      <c r="Q1821" s="38"/>
      <c r="R1821" s="38"/>
      <c r="S1821" s="38"/>
      <c r="T1821" s="38"/>
      <c r="U1821" s="38"/>
      <c r="V1821" s="38"/>
      <c r="Y1821" s="38"/>
      <c r="Z1821" s="38"/>
      <c r="AF1821" s="38"/>
      <c r="AK1821" s="76" t="e">
        <f t="shared" si="8"/>
        <v>#DIV/0!</v>
      </c>
      <c r="AM1821" s="38"/>
      <c r="AO1821" s="28"/>
    </row>
    <row r="1822" spans="1:41" ht="12.5">
      <c r="A1822" s="28"/>
      <c r="B1822" s="37"/>
      <c r="C1822" s="29"/>
      <c r="D1822" s="38"/>
      <c r="E1822" s="38"/>
      <c r="G1822" s="38"/>
      <c r="H1822" s="38"/>
      <c r="I1822" s="38"/>
      <c r="J1822" s="38"/>
      <c r="K1822" s="38"/>
      <c r="L1822" s="30"/>
      <c r="M1822" s="38"/>
      <c r="N1822" s="38"/>
      <c r="O1822" s="31"/>
      <c r="P1822" s="28"/>
      <c r="Q1822" s="38"/>
      <c r="R1822" s="38"/>
      <c r="S1822" s="38"/>
      <c r="T1822" s="38"/>
      <c r="U1822" s="38"/>
      <c r="V1822" s="38"/>
      <c r="Y1822" s="38"/>
      <c r="Z1822" s="38"/>
      <c r="AF1822" s="38"/>
      <c r="AK1822" s="76" t="e">
        <f t="shared" si="8"/>
        <v>#DIV/0!</v>
      </c>
      <c r="AO1822" s="28"/>
    </row>
    <row r="1823" spans="1:41" ht="12.5">
      <c r="A1823" s="28"/>
      <c r="B1823" s="37"/>
      <c r="C1823" s="29"/>
      <c r="D1823" s="38"/>
      <c r="E1823" s="38"/>
      <c r="G1823" s="38"/>
      <c r="H1823" s="38"/>
      <c r="I1823" s="38"/>
      <c r="J1823" s="38"/>
      <c r="K1823" s="38"/>
      <c r="L1823" s="30"/>
      <c r="M1823" s="38"/>
      <c r="N1823" s="38"/>
      <c r="O1823" s="31"/>
      <c r="P1823" s="28"/>
      <c r="Q1823" s="38"/>
      <c r="R1823" s="38"/>
      <c r="S1823" s="38"/>
      <c r="T1823" s="38"/>
      <c r="U1823" s="38"/>
      <c r="V1823" s="38"/>
      <c r="Y1823" s="38"/>
      <c r="Z1823" s="38"/>
      <c r="AF1823" s="38"/>
      <c r="AK1823" s="76" t="e">
        <f t="shared" si="8"/>
        <v>#DIV/0!</v>
      </c>
      <c r="AO1823" s="28"/>
    </row>
    <row r="1824" spans="1:41" ht="12.5">
      <c r="A1824" s="28"/>
      <c r="B1824" s="37"/>
      <c r="C1824" s="29"/>
      <c r="D1824" s="38"/>
      <c r="E1824" s="38"/>
      <c r="G1824" s="38"/>
      <c r="H1824" s="38"/>
      <c r="I1824" s="38"/>
      <c r="J1824" s="38"/>
      <c r="K1824" s="38"/>
      <c r="L1824" s="30"/>
      <c r="M1824" s="38"/>
      <c r="N1824" s="38"/>
      <c r="O1824" s="31"/>
      <c r="P1824" s="28"/>
      <c r="Q1824" s="38"/>
      <c r="R1824" s="38"/>
      <c r="S1824" s="38"/>
      <c r="T1824" s="38"/>
      <c r="U1824" s="38"/>
      <c r="V1824" s="38"/>
      <c r="Y1824" s="38"/>
      <c r="Z1824" s="38"/>
      <c r="AF1824" s="38"/>
      <c r="AK1824" s="76" t="e">
        <f t="shared" si="8"/>
        <v>#DIV/0!</v>
      </c>
      <c r="AO1824" s="28"/>
    </row>
    <row r="1825" spans="1:41" ht="12.5">
      <c r="A1825" s="28"/>
      <c r="B1825" s="37"/>
      <c r="C1825" s="29"/>
      <c r="D1825" s="38"/>
      <c r="E1825" s="38"/>
      <c r="G1825" s="38"/>
      <c r="H1825" s="38"/>
      <c r="I1825" s="38"/>
      <c r="J1825" s="38"/>
      <c r="K1825" s="38"/>
      <c r="L1825" s="30"/>
      <c r="M1825" s="38"/>
      <c r="N1825" s="38"/>
      <c r="O1825" s="31"/>
      <c r="P1825" s="28"/>
      <c r="Q1825" s="38"/>
      <c r="R1825" s="38"/>
      <c r="S1825" s="38"/>
      <c r="T1825" s="38"/>
      <c r="U1825" s="38"/>
      <c r="V1825" s="38"/>
      <c r="Y1825" s="38"/>
      <c r="Z1825" s="38"/>
      <c r="AF1825" s="38"/>
      <c r="AK1825" s="76" t="e">
        <f t="shared" si="8"/>
        <v>#DIV/0!</v>
      </c>
      <c r="AO1825" s="28"/>
    </row>
    <row r="1826" spans="1:41" ht="12.5">
      <c r="A1826" s="28"/>
      <c r="B1826" s="37"/>
      <c r="C1826" s="29"/>
      <c r="D1826" s="38"/>
      <c r="E1826" s="38"/>
      <c r="G1826" s="38"/>
      <c r="H1826" s="38"/>
      <c r="I1826" s="38"/>
      <c r="J1826" s="38"/>
      <c r="K1826" s="38"/>
      <c r="L1826" s="30"/>
      <c r="M1826" s="38"/>
      <c r="N1826" s="38"/>
      <c r="O1826" s="31"/>
      <c r="P1826" s="28"/>
      <c r="Q1826" s="38"/>
      <c r="R1826" s="38"/>
      <c r="S1826" s="38"/>
      <c r="T1826" s="38"/>
      <c r="U1826" s="38"/>
      <c r="V1826" s="38"/>
      <c r="Y1826" s="38"/>
      <c r="Z1826" s="38"/>
      <c r="AF1826" s="38"/>
      <c r="AK1826" s="14"/>
      <c r="AO1826" s="28"/>
    </row>
    <row r="1827" spans="1:41" ht="12.5">
      <c r="A1827" s="28"/>
      <c r="B1827" s="37"/>
      <c r="C1827" s="29"/>
      <c r="D1827" s="38"/>
      <c r="E1827" s="38"/>
      <c r="G1827" s="38"/>
      <c r="H1827" s="38"/>
      <c r="I1827" s="38"/>
      <c r="J1827" s="38"/>
      <c r="K1827" s="38"/>
      <c r="L1827" s="30"/>
      <c r="M1827" s="38"/>
      <c r="N1827" s="38"/>
      <c r="O1827" s="31"/>
      <c r="P1827" s="28"/>
      <c r="Q1827" s="38"/>
      <c r="R1827" s="38"/>
      <c r="S1827" s="38"/>
      <c r="T1827" s="38"/>
      <c r="U1827" s="38"/>
      <c r="V1827" s="38"/>
      <c r="Y1827" s="38"/>
      <c r="Z1827" s="38"/>
      <c r="AF1827" s="38"/>
      <c r="AK1827" s="14"/>
      <c r="AO1827" s="28"/>
    </row>
    <row r="1828" spans="1:41" ht="12.5">
      <c r="A1828" s="28"/>
      <c r="B1828" s="37"/>
      <c r="C1828" s="29"/>
      <c r="D1828" s="38"/>
      <c r="E1828" s="38"/>
      <c r="G1828" s="38"/>
      <c r="H1828" s="38"/>
      <c r="I1828" s="38"/>
      <c r="J1828" s="38"/>
      <c r="K1828" s="38"/>
      <c r="L1828" s="30"/>
      <c r="M1828" s="38"/>
      <c r="N1828" s="38"/>
      <c r="O1828" s="31"/>
      <c r="P1828" s="28"/>
      <c r="Q1828" s="38"/>
      <c r="R1828" s="38"/>
      <c r="S1828" s="38"/>
      <c r="T1828" s="38"/>
      <c r="U1828" s="38"/>
      <c r="V1828" s="38"/>
      <c r="Y1828" s="38"/>
      <c r="Z1828" s="38"/>
      <c r="AF1828" s="38"/>
      <c r="AK1828" s="14"/>
      <c r="AO1828" s="28"/>
    </row>
    <row r="1829" spans="1:41" ht="12.5">
      <c r="A1829" s="28"/>
      <c r="B1829" s="37"/>
      <c r="C1829" s="29"/>
      <c r="D1829" s="38"/>
      <c r="E1829" s="38"/>
      <c r="G1829" s="38"/>
      <c r="H1829" s="38"/>
      <c r="I1829" s="38"/>
      <c r="J1829" s="38"/>
      <c r="K1829" s="38"/>
      <c r="L1829" s="30"/>
      <c r="M1829" s="38"/>
      <c r="N1829" s="38"/>
      <c r="O1829" s="31"/>
      <c r="P1829" s="28"/>
      <c r="Q1829" s="38"/>
      <c r="R1829" s="38"/>
      <c r="S1829" s="38"/>
      <c r="T1829" s="38"/>
      <c r="U1829" s="38"/>
      <c r="V1829" s="38"/>
      <c r="Y1829" s="38"/>
      <c r="Z1829" s="38"/>
      <c r="AF1829" s="38"/>
      <c r="AK1829" s="14"/>
      <c r="AO1829" s="28"/>
    </row>
    <row r="1830" spans="1:41" ht="12.5">
      <c r="A1830" s="28"/>
      <c r="B1830" s="37"/>
      <c r="C1830" s="29"/>
      <c r="D1830" s="38"/>
      <c r="E1830" s="38"/>
      <c r="G1830" s="38"/>
      <c r="H1830" s="38"/>
      <c r="I1830" s="38"/>
      <c r="J1830" s="38"/>
      <c r="K1830" s="38"/>
      <c r="L1830" s="30"/>
      <c r="M1830" s="38"/>
      <c r="N1830" s="38"/>
      <c r="O1830" s="31"/>
      <c r="P1830" s="28"/>
      <c r="Q1830" s="38"/>
      <c r="R1830" s="38"/>
      <c r="S1830" s="38"/>
      <c r="T1830" s="38"/>
      <c r="U1830" s="38"/>
      <c r="V1830" s="38"/>
      <c r="Y1830" s="38"/>
      <c r="Z1830" s="38"/>
      <c r="AF1830" s="38"/>
      <c r="AK1830" s="14"/>
      <c r="AO1830" s="28"/>
    </row>
    <row r="1831" spans="1:41" ht="12.5">
      <c r="A1831" s="28"/>
      <c r="B1831" s="37"/>
      <c r="C1831" s="29"/>
      <c r="D1831" s="38"/>
      <c r="E1831" s="38"/>
      <c r="G1831" s="38"/>
      <c r="H1831" s="38"/>
      <c r="I1831" s="38"/>
      <c r="J1831" s="38"/>
      <c r="K1831" s="38"/>
      <c r="L1831" s="30"/>
      <c r="M1831" s="38"/>
      <c r="N1831" s="38"/>
      <c r="O1831" s="31"/>
      <c r="P1831" s="28"/>
      <c r="Q1831" s="38"/>
      <c r="R1831" s="38"/>
      <c r="S1831" s="38"/>
      <c r="T1831" s="38"/>
      <c r="U1831" s="38"/>
      <c r="V1831" s="38"/>
      <c r="Y1831" s="38"/>
      <c r="Z1831" s="38"/>
      <c r="AF1831" s="38"/>
      <c r="AK1831" s="14"/>
      <c r="AO1831" s="28"/>
    </row>
    <row r="1832" spans="1:41" ht="12.5">
      <c r="A1832" s="28"/>
      <c r="B1832" s="37"/>
      <c r="C1832" s="29"/>
      <c r="D1832" s="38"/>
      <c r="E1832" s="38"/>
      <c r="G1832" s="38"/>
      <c r="H1832" s="38"/>
      <c r="I1832" s="38"/>
      <c r="J1832" s="38"/>
      <c r="K1832" s="38"/>
      <c r="L1832" s="30"/>
      <c r="M1832" s="38"/>
      <c r="N1832" s="38"/>
      <c r="O1832" s="31"/>
      <c r="P1832" s="28"/>
      <c r="Q1832" s="38"/>
      <c r="R1832" s="38"/>
      <c r="S1832" s="38"/>
      <c r="T1832" s="38"/>
      <c r="U1832" s="38"/>
      <c r="V1832" s="38"/>
      <c r="Y1832" s="38"/>
      <c r="Z1832" s="38"/>
      <c r="AF1832" s="38"/>
      <c r="AK1832" s="14"/>
      <c r="AO1832" s="28"/>
    </row>
    <row r="1833" spans="1:41" ht="12.5">
      <c r="A1833" s="28"/>
      <c r="B1833" s="37"/>
      <c r="C1833" s="29"/>
      <c r="D1833" s="38"/>
      <c r="E1833" s="38"/>
      <c r="G1833" s="38"/>
      <c r="H1833" s="38"/>
      <c r="I1833" s="38"/>
      <c r="J1833" s="38"/>
      <c r="K1833" s="38"/>
      <c r="L1833" s="30"/>
      <c r="M1833" s="38"/>
      <c r="N1833" s="38"/>
      <c r="O1833" s="31"/>
      <c r="P1833" s="28"/>
      <c r="Q1833" s="38"/>
      <c r="R1833" s="38"/>
      <c r="S1833" s="38"/>
      <c r="T1833" s="38"/>
      <c r="U1833" s="38"/>
      <c r="V1833" s="38"/>
      <c r="Y1833" s="38"/>
      <c r="Z1833" s="38"/>
      <c r="AF1833" s="38"/>
      <c r="AK1833" s="14"/>
      <c r="AO1833" s="28"/>
    </row>
    <row r="1834" spans="1:41" ht="12.5">
      <c r="A1834" s="28"/>
      <c r="B1834" s="37"/>
      <c r="C1834" s="29"/>
      <c r="D1834" s="38"/>
      <c r="E1834" s="38"/>
      <c r="G1834" s="38"/>
      <c r="H1834" s="38"/>
      <c r="I1834" s="38"/>
      <c r="J1834" s="38"/>
      <c r="K1834" s="38"/>
      <c r="L1834" s="30"/>
      <c r="M1834" s="38"/>
      <c r="N1834" s="38"/>
      <c r="O1834" s="31"/>
      <c r="P1834" s="28"/>
      <c r="Q1834" s="38"/>
      <c r="R1834" s="38"/>
      <c r="S1834" s="38"/>
      <c r="T1834" s="38"/>
      <c r="U1834" s="38"/>
      <c r="V1834" s="38"/>
      <c r="Y1834" s="38"/>
      <c r="Z1834" s="38"/>
      <c r="AF1834" s="38"/>
      <c r="AK1834" s="14"/>
      <c r="AO1834" s="28"/>
    </row>
    <row r="1835" spans="1:41" ht="12.5">
      <c r="A1835" s="28"/>
      <c r="B1835" s="37"/>
      <c r="C1835" s="29"/>
      <c r="D1835" s="38"/>
      <c r="E1835" s="38"/>
      <c r="G1835" s="38"/>
      <c r="H1835" s="38"/>
      <c r="I1835" s="38"/>
      <c r="J1835" s="38"/>
      <c r="K1835" s="38"/>
      <c r="L1835" s="30"/>
      <c r="M1835" s="38"/>
      <c r="N1835" s="38"/>
      <c r="O1835" s="31"/>
      <c r="P1835" s="28"/>
      <c r="Q1835" s="38"/>
      <c r="R1835" s="38"/>
      <c r="S1835" s="38"/>
      <c r="T1835" s="38"/>
      <c r="U1835" s="38"/>
      <c r="V1835" s="38"/>
      <c r="Y1835" s="38"/>
      <c r="Z1835" s="38"/>
      <c r="AF1835" s="38"/>
      <c r="AK1835" s="14"/>
      <c r="AO1835" s="28"/>
    </row>
    <row r="1836" spans="1:41" ht="12.5">
      <c r="A1836" s="28"/>
      <c r="B1836" s="37"/>
      <c r="C1836" s="29"/>
      <c r="D1836" s="38"/>
      <c r="E1836" s="38"/>
      <c r="G1836" s="38"/>
      <c r="H1836" s="38"/>
      <c r="I1836" s="38"/>
      <c r="J1836" s="38"/>
      <c r="K1836" s="38"/>
      <c r="L1836" s="30"/>
      <c r="M1836" s="38"/>
      <c r="N1836" s="38"/>
      <c r="O1836" s="31"/>
      <c r="P1836" s="28"/>
      <c r="Q1836" s="38"/>
      <c r="R1836" s="38"/>
      <c r="S1836" s="38"/>
      <c r="T1836" s="38"/>
      <c r="U1836" s="38"/>
      <c r="V1836" s="38"/>
      <c r="Y1836" s="38"/>
      <c r="Z1836" s="38"/>
      <c r="AF1836" s="38"/>
      <c r="AK1836" s="14"/>
      <c r="AO1836" s="28"/>
    </row>
    <row r="1837" spans="1:41" ht="12.5">
      <c r="A1837" s="28"/>
      <c r="B1837" s="37"/>
      <c r="C1837" s="29"/>
      <c r="D1837" s="38"/>
      <c r="E1837" s="38"/>
      <c r="G1837" s="38"/>
      <c r="H1837" s="38"/>
      <c r="I1837" s="38"/>
      <c r="J1837" s="38"/>
      <c r="K1837" s="38"/>
      <c r="L1837" s="30"/>
      <c r="M1837" s="38"/>
      <c r="N1837" s="38"/>
      <c r="O1837" s="31"/>
      <c r="P1837" s="28"/>
      <c r="Q1837" s="38"/>
      <c r="R1837" s="38"/>
      <c r="S1837" s="38"/>
      <c r="T1837" s="38"/>
      <c r="U1837" s="38"/>
      <c r="V1837" s="38"/>
      <c r="Y1837" s="38"/>
      <c r="Z1837" s="38"/>
      <c r="AF1837" s="38"/>
      <c r="AK1837" s="14"/>
      <c r="AO1837" s="28"/>
    </row>
    <row r="1838" spans="1:41" ht="12.5">
      <c r="A1838" s="28"/>
      <c r="B1838" s="37"/>
      <c r="C1838" s="29"/>
      <c r="D1838" s="38"/>
      <c r="E1838" s="38"/>
      <c r="G1838" s="38"/>
      <c r="H1838" s="38"/>
      <c r="I1838" s="38"/>
      <c r="J1838" s="38"/>
      <c r="K1838" s="38"/>
      <c r="L1838" s="30"/>
      <c r="M1838" s="38"/>
      <c r="N1838" s="38"/>
      <c r="O1838" s="31"/>
      <c r="P1838" s="28"/>
      <c r="Q1838" s="38"/>
      <c r="R1838" s="38"/>
      <c r="S1838" s="38"/>
      <c r="T1838" s="38"/>
      <c r="U1838" s="38"/>
      <c r="V1838" s="38"/>
      <c r="Y1838" s="38"/>
      <c r="Z1838" s="38"/>
      <c r="AF1838" s="38"/>
      <c r="AK1838" s="14"/>
      <c r="AO1838" s="28"/>
    </row>
    <row r="1839" spans="1:41" ht="12.5">
      <c r="A1839" s="28"/>
      <c r="B1839" s="37"/>
      <c r="C1839" s="29"/>
      <c r="D1839" s="38"/>
      <c r="E1839" s="38"/>
      <c r="G1839" s="38"/>
      <c r="H1839" s="38"/>
      <c r="I1839" s="38"/>
      <c r="J1839" s="38"/>
      <c r="K1839" s="38"/>
      <c r="L1839" s="30"/>
      <c r="M1839" s="38"/>
      <c r="N1839" s="38"/>
      <c r="O1839" s="31"/>
      <c r="P1839" s="28"/>
      <c r="Q1839" s="38"/>
      <c r="R1839" s="38"/>
      <c r="S1839" s="38"/>
      <c r="T1839" s="38"/>
      <c r="U1839" s="38"/>
      <c r="V1839" s="38"/>
      <c r="Y1839" s="38"/>
      <c r="Z1839" s="38"/>
      <c r="AF1839" s="38"/>
      <c r="AK1839" s="14"/>
      <c r="AO1839" s="28"/>
    </row>
    <row r="1840" spans="1:41" ht="12.5">
      <c r="A1840" s="28"/>
      <c r="B1840" s="37"/>
      <c r="C1840" s="29"/>
      <c r="D1840" s="38"/>
      <c r="E1840" s="38"/>
      <c r="G1840" s="38"/>
      <c r="H1840" s="38"/>
      <c r="I1840" s="38"/>
      <c r="J1840" s="38"/>
      <c r="K1840" s="38"/>
      <c r="L1840" s="30"/>
      <c r="M1840" s="38"/>
      <c r="N1840" s="38"/>
      <c r="O1840" s="31"/>
      <c r="P1840" s="28"/>
      <c r="Q1840" s="38"/>
      <c r="R1840" s="38"/>
      <c r="S1840" s="38"/>
      <c r="T1840" s="38"/>
      <c r="U1840" s="38"/>
      <c r="V1840" s="38"/>
      <c r="Y1840" s="38"/>
      <c r="Z1840" s="38"/>
      <c r="AF1840" s="38"/>
      <c r="AK1840" s="14"/>
      <c r="AO1840" s="28"/>
    </row>
    <row r="1841" spans="1:41" ht="12.5">
      <c r="A1841" s="28"/>
      <c r="B1841" s="37"/>
      <c r="C1841" s="29"/>
      <c r="D1841" s="38"/>
      <c r="E1841" s="38"/>
      <c r="G1841" s="38"/>
      <c r="H1841" s="38"/>
      <c r="I1841" s="38"/>
      <c r="J1841" s="38"/>
      <c r="K1841" s="38"/>
      <c r="L1841" s="30"/>
      <c r="M1841" s="38"/>
      <c r="N1841" s="38"/>
      <c r="O1841" s="31"/>
      <c r="P1841" s="28"/>
      <c r="Q1841" s="38"/>
      <c r="R1841" s="38"/>
      <c r="S1841" s="38"/>
      <c r="T1841" s="38"/>
      <c r="U1841" s="38"/>
      <c r="V1841" s="38"/>
      <c r="Y1841" s="38"/>
      <c r="Z1841" s="38"/>
      <c r="AF1841" s="38"/>
      <c r="AK1841" s="14"/>
      <c r="AO1841" s="28"/>
    </row>
    <row r="1842" spans="1:41" ht="12.5">
      <c r="A1842" s="28"/>
      <c r="B1842" s="37"/>
      <c r="C1842" s="29"/>
      <c r="D1842" s="38"/>
      <c r="E1842" s="38"/>
      <c r="G1842" s="38"/>
      <c r="H1842" s="38"/>
      <c r="I1842" s="38"/>
      <c r="J1842" s="38"/>
      <c r="K1842" s="38"/>
      <c r="L1842" s="30"/>
      <c r="M1842" s="38"/>
      <c r="N1842" s="38"/>
      <c r="O1842" s="31"/>
      <c r="P1842" s="28"/>
      <c r="Q1842" s="38"/>
      <c r="R1842" s="38"/>
      <c r="S1842" s="38"/>
      <c r="T1842" s="38"/>
      <c r="U1842" s="38"/>
      <c r="V1842" s="38"/>
      <c r="Y1842" s="38"/>
      <c r="Z1842" s="38"/>
      <c r="AF1842" s="38"/>
      <c r="AK1842" s="14"/>
      <c r="AO1842" s="28"/>
    </row>
    <row r="1843" spans="1:41" ht="12.5">
      <c r="A1843" s="28"/>
      <c r="B1843" s="37"/>
      <c r="C1843" s="29"/>
      <c r="D1843" s="38"/>
      <c r="E1843" s="38"/>
      <c r="G1843" s="38"/>
      <c r="H1843" s="38"/>
      <c r="I1843" s="38"/>
      <c r="J1843" s="38"/>
      <c r="K1843" s="38"/>
      <c r="L1843" s="30"/>
      <c r="M1843" s="38"/>
      <c r="N1843" s="38"/>
      <c r="O1843" s="31"/>
      <c r="P1843" s="28"/>
      <c r="Q1843" s="38"/>
      <c r="R1843" s="38"/>
      <c r="S1843" s="38"/>
      <c r="T1843" s="38"/>
      <c r="U1843" s="38"/>
      <c r="V1843" s="38"/>
      <c r="Y1843" s="38"/>
      <c r="Z1843" s="38"/>
      <c r="AF1843" s="38"/>
      <c r="AK1843" s="14"/>
      <c r="AO1843" s="28"/>
    </row>
    <row r="1844" spans="1:41" ht="12.5">
      <c r="A1844" s="28"/>
      <c r="B1844" s="37"/>
      <c r="C1844" s="29"/>
      <c r="D1844" s="38"/>
      <c r="E1844" s="38"/>
      <c r="G1844" s="38"/>
      <c r="H1844" s="38"/>
      <c r="I1844" s="38"/>
      <c r="J1844" s="38"/>
      <c r="K1844" s="38"/>
      <c r="L1844" s="30"/>
      <c r="M1844" s="38"/>
      <c r="N1844" s="38"/>
      <c r="O1844" s="31"/>
      <c r="P1844" s="28"/>
      <c r="Q1844" s="38"/>
      <c r="R1844" s="38"/>
      <c r="S1844" s="38"/>
      <c r="T1844" s="38"/>
      <c r="U1844" s="38"/>
      <c r="V1844" s="38"/>
      <c r="Y1844" s="38"/>
      <c r="Z1844" s="38"/>
      <c r="AF1844" s="38"/>
      <c r="AK1844" s="14"/>
      <c r="AO1844" s="28"/>
    </row>
    <row r="1845" spans="1:41" ht="12.5">
      <c r="A1845" s="28"/>
      <c r="B1845" s="37"/>
      <c r="C1845" s="29"/>
      <c r="D1845" s="38"/>
      <c r="E1845" s="38"/>
      <c r="G1845" s="38"/>
      <c r="H1845" s="38"/>
      <c r="I1845" s="38"/>
      <c r="J1845" s="38"/>
      <c r="K1845" s="38"/>
      <c r="L1845" s="30"/>
      <c r="M1845" s="38"/>
      <c r="N1845" s="38"/>
      <c r="O1845" s="31"/>
      <c r="P1845" s="28"/>
      <c r="Q1845" s="38"/>
      <c r="R1845" s="38"/>
      <c r="S1845" s="38"/>
      <c r="T1845" s="38"/>
      <c r="U1845" s="38"/>
      <c r="V1845" s="38"/>
      <c r="Y1845" s="38"/>
      <c r="Z1845" s="38"/>
      <c r="AF1845" s="38"/>
      <c r="AK1845" s="14"/>
      <c r="AO1845" s="28"/>
    </row>
    <row r="1846" spans="1:41" ht="12.5">
      <c r="A1846" s="28"/>
      <c r="B1846" s="37"/>
      <c r="C1846" s="29"/>
      <c r="D1846" s="38"/>
      <c r="E1846" s="38"/>
      <c r="G1846" s="38"/>
      <c r="H1846" s="38"/>
      <c r="I1846" s="38"/>
      <c r="J1846" s="38"/>
      <c r="K1846" s="38"/>
      <c r="L1846" s="30"/>
      <c r="M1846" s="38"/>
      <c r="N1846" s="38"/>
      <c r="O1846" s="31"/>
      <c r="P1846" s="28"/>
      <c r="Q1846" s="38"/>
      <c r="R1846" s="38"/>
      <c r="S1846" s="38"/>
      <c r="T1846" s="38"/>
      <c r="U1846" s="38"/>
      <c r="V1846" s="38"/>
      <c r="Y1846" s="38"/>
      <c r="Z1846" s="38"/>
      <c r="AF1846" s="38"/>
      <c r="AK1846" s="14"/>
      <c r="AO1846" s="28"/>
    </row>
    <row r="1847" spans="1:41" ht="12.5">
      <c r="A1847" s="28"/>
      <c r="B1847" s="37"/>
      <c r="C1847" s="29"/>
      <c r="D1847" s="38"/>
      <c r="E1847" s="38"/>
      <c r="G1847" s="38"/>
      <c r="H1847" s="38"/>
      <c r="I1847" s="38"/>
      <c r="J1847" s="38"/>
      <c r="K1847" s="38"/>
      <c r="L1847" s="30"/>
      <c r="M1847" s="38"/>
      <c r="N1847" s="38"/>
      <c r="O1847" s="31"/>
      <c r="P1847" s="28"/>
      <c r="Q1847" s="38"/>
      <c r="R1847" s="38"/>
      <c r="S1847" s="38"/>
      <c r="T1847" s="38"/>
      <c r="U1847" s="38"/>
      <c r="V1847" s="38"/>
      <c r="Y1847" s="38"/>
      <c r="Z1847" s="38"/>
      <c r="AF1847" s="38"/>
      <c r="AK1847" s="14"/>
      <c r="AO1847" s="28"/>
    </row>
    <row r="1848" spans="1:41" ht="12.5">
      <c r="A1848" s="28"/>
      <c r="B1848" s="37"/>
      <c r="C1848" s="29"/>
      <c r="D1848" s="38"/>
      <c r="E1848" s="38"/>
      <c r="G1848" s="38"/>
      <c r="H1848" s="38"/>
      <c r="I1848" s="38"/>
      <c r="J1848" s="38"/>
      <c r="K1848" s="38"/>
      <c r="L1848" s="30"/>
      <c r="M1848" s="38"/>
      <c r="N1848" s="38"/>
      <c r="O1848" s="31"/>
      <c r="P1848" s="28"/>
      <c r="Q1848" s="38"/>
      <c r="R1848" s="38"/>
      <c r="S1848" s="38"/>
      <c r="T1848" s="38"/>
      <c r="U1848" s="38"/>
      <c r="V1848" s="38"/>
      <c r="Y1848" s="38"/>
      <c r="Z1848" s="38"/>
      <c r="AF1848" s="38"/>
      <c r="AK1848" s="14"/>
      <c r="AO1848" s="28"/>
    </row>
    <row r="1849" spans="1:41" ht="12.5">
      <c r="A1849" s="28"/>
      <c r="B1849" s="37"/>
      <c r="C1849" s="29"/>
      <c r="D1849" s="38"/>
      <c r="E1849" s="38"/>
      <c r="G1849" s="38"/>
      <c r="H1849" s="38"/>
      <c r="I1849" s="38"/>
      <c r="J1849" s="38"/>
      <c r="K1849" s="38"/>
      <c r="L1849" s="30"/>
      <c r="M1849" s="38"/>
      <c r="N1849" s="38"/>
      <c r="O1849" s="31"/>
      <c r="P1849" s="28"/>
      <c r="Q1849" s="38"/>
      <c r="R1849" s="38"/>
      <c r="S1849" s="38"/>
      <c r="T1849" s="38"/>
      <c r="U1849" s="38"/>
      <c r="V1849" s="38"/>
      <c r="Y1849" s="38"/>
      <c r="Z1849" s="38"/>
      <c r="AF1849" s="38"/>
      <c r="AK1849" s="14"/>
      <c r="AO1849" s="28"/>
    </row>
    <row r="1850" spans="1:41" ht="12.5">
      <c r="A1850" s="28"/>
      <c r="B1850" s="37"/>
      <c r="C1850" s="29"/>
      <c r="D1850" s="38"/>
      <c r="E1850" s="38"/>
      <c r="G1850" s="38"/>
      <c r="H1850" s="38"/>
      <c r="I1850" s="38"/>
      <c r="J1850" s="38"/>
      <c r="K1850" s="38"/>
      <c r="L1850" s="30"/>
      <c r="M1850" s="38"/>
      <c r="N1850" s="38"/>
      <c r="O1850" s="31"/>
      <c r="P1850" s="28"/>
      <c r="Q1850" s="38"/>
      <c r="R1850" s="38"/>
      <c r="S1850" s="38"/>
      <c r="T1850" s="38"/>
      <c r="U1850" s="38"/>
      <c r="V1850" s="38"/>
      <c r="Y1850" s="38"/>
      <c r="Z1850" s="38"/>
      <c r="AF1850" s="38"/>
      <c r="AK1850" s="14"/>
      <c r="AO1850" s="28"/>
    </row>
    <row r="1851" spans="1:41" ht="12.5">
      <c r="A1851" s="28"/>
      <c r="B1851" s="37"/>
      <c r="C1851" s="29"/>
      <c r="D1851" s="38"/>
      <c r="E1851" s="38"/>
      <c r="G1851" s="38"/>
      <c r="H1851" s="38"/>
      <c r="I1851" s="38"/>
      <c r="J1851" s="38"/>
      <c r="K1851" s="38"/>
      <c r="L1851" s="30"/>
      <c r="M1851" s="38"/>
      <c r="N1851" s="38"/>
      <c r="O1851" s="31"/>
      <c r="P1851" s="28"/>
      <c r="Q1851" s="38"/>
      <c r="R1851" s="38"/>
      <c r="S1851" s="38"/>
      <c r="T1851" s="38"/>
      <c r="U1851" s="38"/>
      <c r="V1851" s="38"/>
      <c r="Y1851" s="38"/>
      <c r="Z1851" s="38"/>
      <c r="AF1851" s="38"/>
      <c r="AK1851" s="14"/>
      <c r="AO1851" s="28"/>
    </row>
    <row r="1852" spans="1:41" ht="12.5">
      <c r="A1852" s="28"/>
      <c r="B1852" s="37"/>
      <c r="C1852" s="29"/>
      <c r="D1852" s="38"/>
      <c r="E1852" s="38"/>
      <c r="G1852" s="38"/>
      <c r="H1852" s="38"/>
      <c r="I1852" s="38"/>
      <c r="J1852" s="38"/>
      <c r="K1852" s="38"/>
      <c r="L1852" s="30"/>
      <c r="M1852" s="38"/>
      <c r="N1852" s="38"/>
      <c r="O1852" s="31"/>
      <c r="P1852" s="28"/>
      <c r="Q1852" s="38"/>
      <c r="R1852" s="38"/>
      <c r="S1852" s="38"/>
      <c r="T1852" s="38"/>
      <c r="U1852" s="38"/>
      <c r="V1852" s="38"/>
      <c r="Y1852" s="38"/>
      <c r="Z1852" s="38"/>
      <c r="AF1852" s="38"/>
      <c r="AK1852" s="14"/>
      <c r="AO1852" s="28"/>
    </row>
    <row r="1853" spans="1:41" ht="12.5">
      <c r="A1853" s="28"/>
      <c r="B1853" s="37"/>
      <c r="C1853" s="29"/>
      <c r="D1853" s="38"/>
      <c r="E1853" s="38"/>
      <c r="G1853" s="38"/>
      <c r="H1853" s="38"/>
      <c r="I1853" s="38"/>
      <c r="J1853" s="38"/>
      <c r="K1853" s="38"/>
      <c r="L1853" s="30"/>
      <c r="M1853" s="38"/>
      <c r="N1853" s="38"/>
      <c r="O1853" s="31"/>
      <c r="P1853" s="28"/>
      <c r="Q1853" s="38"/>
      <c r="R1853" s="38"/>
      <c r="S1853" s="38"/>
      <c r="T1853" s="38"/>
      <c r="U1853" s="38"/>
      <c r="V1853" s="38"/>
      <c r="Y1853" s="38"/>
      <c r="Z1853" s="38"/>
      <c r="AF1853" s="38"/>
      <c r="AK1853" s="14"/>
      <c r="AO1853" s="28"/>
    </row>
    <row r="1854" spans="1:41" ht="12.5">
      <c r="A1854" s="28"/>
      <c r="B1854" s="37"/>
      <c r="C1854" s="29"/>
      <c r="D1854" s="38"/>
      <c r="E1854" s="38"/>
      <c r="G1854" s="38"/>
      <c r="H1854" s="38"/>
      <c r="I1854" s="38"/>
      <c r="J1854" s="38"/>
      <c r="K1854" s="38"/>
      <c r="L1854" s="30"/>
      <c r="M1854" s="38"/>
      <c r="N1854" s="38"/>
      <c r="O1854" s="31"/>
      <c r="P1854" s="28"/>
      <c r="Q1854" s="38"/>
      <c r="R1854" s="38"/>
      <c r="S1854" s="38"/>
      <c r="T1854" s="38"/>
      <c r="U1854" s="38"/>
      <c r="V1854" s="38"/>
      <c r="Y1854" s="38"/>
      <c r="Z1854" s="38"/>
      <c r="AF1854" s="38"/>
      <c r="AK1854" s="14"/>
      <c r="AO1854" s="28"/>
    </row>
    <row r="1855" spans="1:41" ht="12.5">
      <c r="A1855" s="28"/>
      <c r="B1855" s="37"/>
      <c r="C1855" s="29"/>
      <c r="D1855" s="38"/>
      <c r="E1855" s="38"/>
      <c r="G1855" s="38"/>
      <c r="H1855" s="38"/>
      <c r="I1855" s="38"/>
      <c r="J1855" s="38"/>
      <c r="K1855" s="38"/>
      <c r="L1855" s="30"/>
      <c r="M1855" s="38"/>
      <c r="N1855" s="38"/>
      <c r="O1855" s="31"/>
      <c r="P1855" s="28"/>
      <c r="Q1855" s="38"/>
      <c r="R1855" s="38"/>
      <c r="S1855" s="38"/>
      <c r="T1855" s="38"/>
      <c r="U1855" s="38"/>
      <c r="V1855" s="38"/>
      <c r="Y1855" s="38"/>
      <c r="Z1855" s="38"/>
      <c r="AF1855" s="38"/>
      <c r="AK1855" s="14"/>
      <c r="AO1855" s="28"/>
    </row>
    <row r="1856" spans="1:41" ht="12.5">
      <c r="A1856" s="28"/>
      <c r="B1856" s="37"/>
      <c r="C1856" s="29"/>
      <c r="D1856" s="38"/>
      <c r="E1856" s="38"/>
      <c r="G1856" s="38"/>
      <c r="H1856" s="38"/>
      <c r="I1856" s="38"/>
      <c r="J1856" s="38"/>
      <c r="K1856" s="38"/>
      <c r="L1856" s="30"/>
      <c r="M1856" s="38"/>
      <c r="N1856" s="38"/>
      <c r="O1856" s="31"/>
      <c r="P1856" s="28"/>
      <c r="Q1856" s="38"/>
      <c r="R1856" s="38"/>
      <c r="S1856" s="38"/>
      <c r="T1856" s="38"/>
      <c r="U1856" s="38"/>
      <c r="V1856" s="38"/>
      <c r="Y1856" s="38"/>
      <c r="Z1856" s="38"/>
      <c r="AF1856" s="38"/>
      <c r="AK1856" s="14"/>
      <c r="AO1856" s="28"/>
    </row>
    <row r="1857" spans="1:41" ht="12.5">
      <c r="A1857" s="28"/>
      <c r="B1857" s="37"/>
      <c r="C1857" s="29"/>
      <c r="D1857" s="38"/>
      <c r="E1857" s="38"/>
      <c r="G1857" s="38"/>
      <c r="H1857" s="38"/>
      <c r="I1857" s="38"/>
      <c r="J1857" s="38"/>
      <c r="K1857" s="38"/>
      <c r="L1857" s="30"/>
      <c r="M1857" s="38"/>
      <c r="N1857" s="38"/>
      <c r="O1857" s="31"/>
      <c r="P1857" s="28"/>
      <c r="Q1857" s="38"/>
      <c r="R1857" s="38"/>
      <c r="S1857" s="38"/>
      <c r="T1857" s="38"/>
      <c r="U1857" s="38"/>
      <c r="V1857" s="38"/>
      <c r="Y1857" s="38"/>
      <c r="Z1857" s="38"/>
      <c r="AF1857" s="38"/>
      <c r="AK1857" s="14"/>
      <c r="AO1857" s="28"/>
    </row>
    <row r="1858" spans="1:41" ht="12.5">
      <c r="A1858" s="28"/>
      <c r="B1858" s="37"/>
      <c r="C1858" s="29"/>
      <c r="D1858" s="38"/>
      <c r="E1858" s="38"/>
      <c r="G1858" s="38"/>
      <c r="H1858" s="38"/>
      <c r="I1858" s="38"/>
      <c r="J1858" s="38"/>
      <c r="K1858" s="38"/>
      <c r="L1858" s="30"/>
      <c r="M1858" s="38"/>
      <c r="N1858" s="38"/>
      <c r="O1858" s="31"/>
      <c r="P1858" s="28"/>
      <c r="Q1858" s="38"/>
      <c r="R1858" s="38"/>
      <c r="S1858" s="38"/>
      <c r="T1858" s="38"/>
      <c r="U1858" s="38"/>
      <c r="V1858" s="38"/>
      <c r="Y1858" s="38"/>
      <c r="Z1858" s="38"/>
      <c r="AF1858" s="38"/>
      <c r="AK1858" s="14"/>
      <c r="AO1858" s="28"/>
    </row>
    <row r="1859" spans="1:41" ht="12.5">
      <c r="A1859" s="28"/>
      <c r="B1859" s="37"/>
      <c r="C1859" s="29"/>
      <c r="D1859" s="38"/>
      <c r="E1859" s="38"/>
      <c r="G1859" s="38"/>
      <c r="H1859" s="38"/>
      <c r="I1859" s="38"/>
      <c r="J1859" s="38"/>
      <c r="K1859" s="38"/>
      <c r="L1859" s="30"/>
      <c r="M1859" s="38"/>
      <c r="N1859" s="38"/>
      <c r="O1859" s="31"/>
      <c r="P1859" s="28"/>
      <c r="Q1859" s="38"/>
      <c r="R1859" s="38"/>
      <c r="S1859" s="38"/>
      <c r="T1859" s="38"/>
      <c r="U1859" s="38"/>
      <c r="V1859" s="38"/>
      <c r="Y1859" s="38"/>
      <c r="Z1859" s="38"/>
      <c r="AF1859" s="38"/>
      <c r="AK1859" s="14"/>
      <c r="AO1859" s="28"/>
    </row>
    <row r="1860" spans="1:41" ht="12.5">
      <c r="A1860" s="28"/>
      <c r="B1860" s="37"/>
      <c r="C1860" s="29"/>
      <c r="D1860" s="38"/>
      <c r="E1860" s="38"/>
      <c r="G1860" s="38"/>
      <c r="H1860" s="38"/>
      <c r="I1860" s="38"/>
      <c r="J1860" s="38"/>
      <c r="K1860" s="38"/>
      <c r="L1860" s="30"/>
      <c r="M1860" s="38"/>
      <c r="N1860" s="38"/>
      <c r="O1860" s="31"/>
      <c r="P1860" s="28"/>
      <c r="Q1860" s="38"/>
      <c r="R1860" s="38"/>
      <c r="S1860" s="38"/>
      <c r="T1860" s="38"/>
      <c r="U1860" s="38"/>
      <c r="V1860" s="38"/>
      <c r="Y1860" s="38"/>
      <c r="Z1860" s="38"/>
      <c r="AF1860" s="38"/>
      <c r="AK1860" s="14"/>
      <c r="AO1860" s="28"/>
    </row>
    <row r="1861" spans="1:41" ht="12.5">
      <c r="A1861" s="28"/>
      <c r="B1861" s="37"/>
      <c r="C1861" s="29"/>
      <c r="D1861" s="38"/>
      <c r="E1861" s="38"/>
      <c r="G1861" s="38"/>
      <c r="H1861" s="38"/>
      <c r="I1861" s="38"/>
      <c r="J1861" s="38"/>
      <c r="K1861" s="38"/>
      <c r="L1861" s="30"/>
      <c r="M1861" s="38"/>
      <c r="N1861" s="38"/>
      <c r="O1861" s="31"/>
      <c r="P1861" s="28"/>
      <c r="Q1861" s="38"/>
      <c r="R1861" s="38"/>
      <c r="S1861" s="38"/>
      <c r="T1861" s="38"/>
      <c r="U1861" s="38"/>
      <c r="V1861" s="38"/>
      <c r="Y1861" s="38"/>
      <c r="Z1861" s="38"/>
      <c r="AF1861" s="38"/>
      <c r="AK1861" s="14"/>
      <c r="AO1861" s="28"/>
    </row>
    <row r="1862" spans="1:41" ht="12.5">
      <c r="A1862" s="28"/>
      <c r="B1862" s="37"/>
      <c r="C1862" s="29"/>
      <c r="D1862" s="38"/>
      <c r="E1862" s="38"/>
      <c r="G1862" s="38"/>
      <c r="H1862" s="38"/>
      <c r="I1862" s="38"/>
      <c r="J1862" s="38"/>
      <c r="K1862" s="38"/>
      <c r="L1862" s="30"/>
      <c r="M1862" s="38"/>
      <c r="N1862" s="38"/>
      <c r="O1862" s="31"/>
      <c r="P1862" s="28"/>
      <c r="Q1862" s="38"/>
      <c r="R1862" s="38"/>
      <c r="S1862" s="38"/>
      <c r="T1862" s="38"/>
      <c r="U1862" s="38"/>
      <c r="V1862" s="38"/>
      <c r="Y1862" s="38"/>
      <c r="Z1862" s="38"/>
      <c r="AF1862" s="38"/>
      <c r="AK1862" s="14"/>
      <c r="AO1862" s="28"/>
    </row>
    <row r="1863" spans="1:41" ht="12.5">
      <c r="A1863" s="28"/>
      <c r="B1863" s="37"/>
      <c r="C1863" s="29"/>
      <c r="D1863" s="38"/>
      <c r="E1863" s="38"/>
      <c r="G1863" s="38"/>
      <c r="H1863" s="38"/>
      <c r="I1863" s="38"/>
      <c r="J1863" s="38"/>
      <c r="K1863" s="38"/>
      <c r="L1863" s="30"/>
      <c r="M1863" s="38"/>
      <c r="N1863" s="38"/>
      <c r="O1863" s="31"/>
      <c r="P1863" s="28"/>
      <c r="Q1863" s="38"/>
      <c r="R1863" s="38"/>
      <c r="S1863" s="38"/>
      <c r="T1863" s="38"/>
      <c r="U1863" s="38"/>
      <c r="V1863" s="38"/>
      <c r="Y1863" s="38"/>
      <c r="Z1863" s="38"/>
      <c r="AF1863" s="38"/>
      <c r="AK1863" s="14"/>
      <c r="AO1863" s="28"/>
    </row>
    <row r="1864" spans="1:41" ht="12.5">
      <c r="A1864" s="28"/>
      <c r="B1864" s="37"/>
      <c r="C1864" s="29"/>
      <c r="D1864" s="38"/>
      <c r="E1864" s="38"/>
      <c r="G1864" s="38"/>
      <c r="H1864" s="38"/>
      <c r="I1864" s="38"/>
      <c r="J1864" s="38"/>
      <c r="K1864" s="38"/>
      <c r="L1864" s="30"/>
      <c r="M1864" s="38"/>
      <c r="N1864" s="38"/>
      <c r="O1864" s="31"/>
      <c r="P1864" s="28"/>
      <c r="Q1864" s="38"/>
      <c r="R1864" s="38"/>
      <c r="S1864" s="38"/>
      <c r="T1864" s="38"/>
      <c r="U1864" s="38"/>
      <c r="V1864" s="38"/>
      <c r="Y1864" s="38"/>
      <c r="Z1864" s="38"/>
      <c r="AF1864" s="38"/>
      <c r="AK1864" s="14"/>
      <c r="AO1864" s="28"/>
    </row>
    <row r="1865" spans="1:41" ht="12.5">
      <c r="A1865" s="28"/>
      <c r="B1865" s="37"/>
      <c r="C1865" s="29"/>
      <c r="D1865" s="38"/>
      <c r="E1865" s="38"/>
      <c r="G1865" s="38"/>
      <c r="H1865" s="38"/>
      <c r="I1865" s="38"/>
      <c r="J1865" s="38"/>
      <c r="K1865" s="38"/>
      <c r="L1865" s="30"/>
      <c r="M1865" s="38"/>
      <c r="N1865" s="38"/>
      <c r="O1865" s="31"/>
      <c r="P1865" s="28"/>
      <c r="Q1865" s="38"/>
      <c r="R1865" s="38"/>
      <c r="S1865" s="38"/>
      <c r="T1865" s="38"/>
      <c r="U1865" s="38"/>
      <c r="V1865" s="38"/>
      <c r="Y1865" s="38"/>
      <c r="Z1865" s="38"/>
      <c r="AF1865" s="38"/>
      <c r="AK1865" s="14"/>
      <c r="AO1865" s="28"/>
    </row>
    <row r="1866" spans="1:41" ht="12.5">
      <c r="A1866" s="28"/>
      <c r="B1866" s="37"/>
      <c r="C1866" s="29"/>
      <c r="D1866" s="38"/>
      <c r="E1866" s="38"/>
      <c r="G1866" s="38"/>
      <c r="H1866" s="38"/>
      <c r="I1866" s="38"/>
      <c r="J1866" s="38"/>
      <c r="K1866" s="38"/>
      <c r="L1866" s="30"/>
      <c r="M1866" s="38"/>
      <c r="N1866" s="38"/>
      <c r="O1866" s="31"/>
      <c r="P1866" s="28"/>
      <c r="Q1866" s="38"/>
      <c r="R1866" s="38"/>
      <c r="S1866" s="38"/>
      <c r="T1866" s="38"/>
      <c r="U1866" s="38"/>
      <c r="V1866" s="38"/>
      <c r="Y1866" s="38"/>
      <c r="Z1866" s="38"/>
      <c r="AF1866" s="38"/>
      <c r="AK1866" s="14"/>
      <c r="AO1866" s="28"/>
    </row>
    <row r="1867" spans="1:41" ht="12.5">
      <c r="A1867" s="28"/>
      <c r="B1867" s="37"/>
      <c r="C1867" s="29"/>
      <c r="D1867" s="38"/>
      <c r="E1867" s="38"/>
      <c r="G1867" s="38"/>
      <c r="H1867" s="38"/>
      <c r="I1867" s="38"/>
      <c r="J1867" s="38"/>
      <c r="K1867" s="38"/>
      <c r="L1867" s="30"/>
      <c r="M1867" s="38"/>
      <c r="N1867" s="38"/>
      <c r="O1867" s="31"/>
      <c r="P1867" s="28"/>
      <c r="Q1867" s="38"/>
      <c r="R1867" s="38"/>
      <c r="S1867" s="38"/>
      <c r="T1867" s="38"/>
      <c r="U1867" s="38"/>
      <c r="V1867" s="38"/>
      <c r="Y1867" s="38"/>
      <c r="Z1867" s="38"/>
      <c r="AF1867" s="38"/>
      <c r="AK1867" s="14"/>
      <c r="AO1867" s="28"/>
    </row>
    <row r="1868" spans="1:41" ht="12.5">
      <c r="A1868" s="28"/>
      <c r="B1868" s="37"/>
      <c r="C1868" s="29"/>
      <c r="D1868" s="38"/>
      <c r="E1868" s="38"/>
      <c r="G1868" s="38"/>
      <c r="H1868" s="38"/>
      <c r="I1868" s="38"/>
      <c r="J1868" s="38"/>
      <c r="K1868" s="38"/>
      <c r="L1868" s="30"/>
      <c r="M1868" s="38"/>
      <c r="N1868" s="38"/>
      <c r="O1868" s="31"/>
      <c r="P1868" s="28"/>
      <c r="Q1868" s="38"/>
      <c r="R1868" s="38"/>
      <c r="S1868" s="38"/>
      <c r="T1868" s="38"/>
      <c r="U1868" s="38"/>
      <c r="V1868" s="38"/>
      <c r="Y1868" s="38"/>
      <c r="Z1868" s="38"/>
      <c r="AF1868" s="38"/>
      <c r="AK1868" s="14"/>
      <c r="AO1868" s="28"/>
    </row>
    <row r="1869" spans="1:41" ht="12.5">
      <c r="A1869" s="28"/>
      <c r="B1869" s="37"/>
      <c r="C1869" s="29"/>
      <c r="D1869" s="38"/>
      <c r="E1869" s="38"/>
      <c r="G1869" s="38"/>
      <c r="H1869" s="38"/>
      <c r="I1869" s="38"/>
      <c r="J1869" s="38"/>
      <c r="K1869" s="38"/>
      <c r="L1869" s="30"/>
      <c r="M1869" s="38"/>
      <c r="N1869" s="38"/>
      <c r="O1869" s="31"/>
      <c r="P1869" s="28"/>
      <c r="Q1869" s="38"/>
      <c r="R1869" s="38"/>
      <c r="S1869" s="38"/>
      <c r="T1869" s="38"/>
      <c r="U1869" s="38"/>
      <c r="V1869" s="38"/>
      <c r="Y1869" s="38"/>
      <c r="Z1869" s="38"/>
      <c r="AF1869" s="38"/>
      <c r="AK1869" s="14"/>
      <c r="AO1869" s="28"/>
    </row>
    <row r="1870" spans="1:41" ht="12.5">
      <c r="A1870" s="28"/>
      <c r="B1870" s="37"/>
      <c r="C1870" s="29"/>
      <c r="D1870" s="38"/>
      <c r="E1870" s="38"/>
      <c r="G1870" s="38"/>
      <c r="H1870" s="38"/>
      <c r="I1870" s="38"/>
      <c r="J1870" s="38"/>
      <c r="K1870" s="38"/>
      <c r="L1870" s="30"/>
      <c r="M1870" s="38"/>
      <c r="N1870" s="38"/>
      <c r="O1870" s="31"/>
      <c r="P1870" s="28"/>
      <c r="Q1870" s="38"/>
      <c r="R1870" s="38"/>
      <c r="S1870" s="38"/>
      <c r="T1870" s="38"/>
      <c r="U1870" s="38"/>
      <c r="V1870" s="38"/>
      <c r="Y1870" s="38"/>
      <c r="Z1870" s="38"/>
      <c r="AF1870" s="38"/>
      <c r="AK1870" s="14"/>
      <c r="AO1870" s="28"/>
    </row>
    <row r="1871" spans="1:41" ht="12.5">
      <c r="A1871" s="28"/>
      <c r="B1871" s="37"/>
      <c r="C1871" s="29"/>
      <c r="D1871" s="38"/>
      <c r="E1871" s="38"/>
      <c r="G1871" s="38"/>
      <c r="H1871" s="38"/>
      <c r="I1871" s="38"/>
      <c r="J1871" s="38"/>
      <c r="K1871" s="38"/>
      <c r="L1871" s="30"/>
      <c r="M1871" s="38"/>
      <c r="N1871" s="38"/>
      <c r="O1871" s="31"/>
      <c r="P1871" s="28"/>
      <c r="Q1871" s="38"/>
      <c r="R1871" s="38"/>
      <c r="S1871" s="38"/>
      <c r="T1871" s="38"/>
      <c r="U1871" s="38"/>
      <c r="V1871" s="38"/>
      <c r="Y1871" s="38"/>
      <c r="Z1871" s="38"/>
      <c r="AF1871" s="38"/>
      <c r="AK1871" s="14"/>
      <c r="AO1871" s="28"/>
    </row>
    <row r="1872" spans="1:41" ht="12.5">
      <c r="A1872" s="28"/>
      <c r="B1872" s="37"/>
      <c r="C1872" s="29"/>
      <c r="D1872" s="38"/>
      <c r="E1872" s="38"/>
      <c r="G1872" s="38"/>
      <c r="H1872" s="38"/>
      <c r="I1872" s="38"/>
      <c r="J1872" s="38"/>
      <c r="K1872" s="38"/>
      <c r="L1872" s="30"/>
      <c r="M1872" s="38"/>
      <c r="N1872" s="38"/>
      <c r="O1872" s="31"/>
      <c r="P1872" s="28"/>
      <c r="Q1872" s="38"/>
      <c r="R1872" s="38"/>
      <c r="S1872" s="38"/>
      <c r="T1872" s="38"/>
      <c r="U1872" s="38"/>
      <c r="V1872" s="38"/>
      <c r="Y1872" s="38"/>
      <c r="Z1872" s="38"/>
      <c r="AF1872" s="38"/>
      <c r="AK1872" s="14"/>
      <c r="AO1872" s="28"/>
    </row>
    <row r="1873" spans="1:41" ht="12.5">
      <c r="A1873" s="28"/>
      <c r="B1873" s="37"/>
      <c r="C1873" s="29"/>
      <c r="D1873" s="38"/>
      <c r="E1873" s="38"/>
      <c r="G1873" s="38"/>
      <c r="H1873" s="38"/>
      <c r="I1873" s="38"/>
      <c r="J1873" s="38"/>
      <c r="K1873" s="38"/>
      <c r="L1873" s="30"/>
      <c r="M1873" s="38"/>
      <c r="N1873" s="38"/>
      <c r="O1873" s="31"/>
      <c r="P1873" s="28"/>
      <c r="Q1873" s="38"/>
      <c r="R1873" s="38"/>
      <c r="S1873" s="38"/>
      <c r="T1873" s="38"/>
      <c r="U1873" s="38"/>
      <c r="V1873" s="38"/>
      <c r="Y1873" s="38"/>
      <c r="Z1873" s="38"/>
      <c r="AF1873" s="38"/>
      <c r="AK1873" s="14"/>
      <c r="AO1873" s="28"/>
    </row>
    <row r="1874" spans="1:41" ht="12.5">
      <c r="A1874" s="28"/>
      <c r="B1874" s="37"/>
      <c r="C1874" s="29"/>
      <c r="D1874" s="38"/>
      <c r="E1874" s="38"/>
      <c r="G1874" s="38"/>
      <c r="H1874" s="38"/>
      <c r="I1874" s="38"/>
      <c r="J1874" s="38"/>
      <c r="K1874" s="38"/>
      <c r="L1874" s="30"/>
      <c r="M1874" s="38"/>
      <c r="N1874" s="38"/>
      <c r="O1874" s="31"/>
      <c r="P1874" s="28"/>
      <c r="Q1874" s="38"/>
      <c r="R1874" s="38"/>
      <c r="S1874" s="38"/>
      <c r="T1874" s="38"/>
      <c r="U1874" s="38"/>
      <c r="V1874" s="38"/>
      <c r="Y1874" s="38"/>
      <c r="Z1874" s="38"/>
      <c r="AF1874" s="38"/>
      <c r="AK1874" s="14"/>
      <c r="AO1874" s="28"/>
    </row>
    <row r="1875" spans="1:41" ht="12.5">
      <c r="A1875" s="28"/>
      <c r="B1875" s="37"/>
      <c r="C1875" s="29"/>
      <c r="D1875" s="38"/>
      <c r="E1875" s="38"/>
      <c r="G1875" s="38"/>
      <c r="H1875" s="38"/>
      <c r="I1875" s="38"/>
      <c r="J1875" s="38"/>
      <c r="K1875" s="38"/>
      <c r="L1875" s="30"/>
      <c r="M1875" s="38"/>
      <c r="N1875" s="38"/>
      <c r="O1875" s="31"/>
      <c r="P1875" s="28"/>
      <c r="Q1875" s="38"/>
      <c r="R1875" s="38"/>
      <c r="S1875" s="38"/>
      <c r="T1875" s="38"/>
      <c r="U1875" s="38"/>
      <c r="V1875" s="38"/>
      <c r="Y1875" s="38"/>
      <c r="Z1875" s="38"/>
      <c r="AF1875" s="38"/>
      <c r="AK1875" s="14"/>
      <c r="AO1875" s="28"/>
    </row>
    <row r="1876" spans="1:41" ht="12.5">
      <c r="A1876" s="28"/>
      <c r="B1876" s="37"/>
      <c r="C1876" s="29"/>
      <c r="D1876" s="38"/>
      <c r="E1876" s="38"/>
      <c r="G1876" s="38"/>
      <c r="H1876" s="38"/>
      <c r="I1876" s="38"/>
      <c r="J1876" s="38"/>
      <c r="K1876" s="38"/>
      <c r="L1876" s="30"/>
      <c r="M1876" s="38"/>
      <c r="N1876" s="38"/>
      <c r="O1876" s="31"/>
      <c r="P1876" s="28"/>
      <c r="Q1876" s="38"/>
      <c r="R1876" s="38"/>
      <c r="S1876" s="38"/>
      <c r="T1876" s="38"/>
      <c r="U1876" s="38"/>
      <c r="V1876" s="38"/>
      <c r="Y1876" s="38"/>
      <c r="Z1876" s="38"/>
      <c r="AF1876" s="38"/>
      <c r="AK1876" s="14"/>
      <c r="AO1876" s="28"/>
    </row>
    <row r="1877" spans="1:41" ht="12.5">
      <c r="A1877" s="28"/>
      <c r="B1877" s="37"/>
      <c r="C1877" s="29"/>
      <c r="D1877" s="38"/>
      <c r="E1877" s="38"/>
      <c r="G1877" s="38"/>
      <c r="H1877" s="38"/>
      <c r="I1877" s="38"/>
      <c r="J1877" s="38"/>
      <c r="K1877" s="38"/>
      <c r="L1877" s="30"/>
      <c r="M1877" s="38"/>
      <c r="N1877" s="38"/>
      <c r="O1877" s="31"/>
      <c r="P1877" s="28"/>
      <c r="Q1877" s="38"/>
      <c r="R1877" s="38"/>
      <c r="S1877" s="38"/>
      <c r="T1877" s="38"/>
      <c r="U1877" s="38"/>
      <c r="V1877" s="38"/>
      <c r="Y1877" s="38"/>
      <c r="Z1877" s="38"/>
      <c r="AF1877" s="38"/>
      <c r="AK1877" s="14"/>
      <c r="AO1877" s="28"/>
    </row>
    <row r="1878" spans="1:41" ht="12.5">
      <c r="A1878" s="28"/>
      <c r="B1878" s="37"/>
      <c r="C1878" s="29"/>
      <c r="D1878" s="38"/>
      <c r="E1878" s="38"/>
      <c r="G1878" s="38"/>
      <c r="H1878" s="38"/>
      <c r="I1878" s="38"/>
      <c r="J1878" s="38"/>
      <c r="K1878" s="38"/>
      <c r="L1878" s="30"/>
      <c r="M1878" s="38"/>
      <c r="N1878" s="38"/>
      <c r="O1878" s="31"/>
      <c r="P1878" s="28"/>
      <c r="Q1878" s="38"/>
      <c r="R1878" s="38"/>
      <c r="S1878" s="38"/>
      <c r="T1878" s="38"/>
      <c r="U1878" s="38"/>
      <c r="V1878" s="38"/>
      <c r="Y1878" s="38"/>
      <c r="Z1878" s="38"/>
      <c r="AF1878" s="38"/>
      <c r="AK1878" s="14"/>
      <c r="AO1878" s="28"/>
    </row>
    <row r="1879" spans="1:41" ht="12.5">
      <c r="A1879" s="28"/>
      <c r="B1879" s="37"/>
      <c r="C1879" s="29"/>
      <c r="D1879" s="38"/>
      <c r="E1879" s="38"/>
      <c r="G1879" s="38"/>
      <c r="H1879" s="38"/>
      <c r="I1879" s="38"/>
      <c r="J1879" s="38"/>
      <c r="K1879" s="38"/>
      <c r="L1879" s="30"/>
      <c r="M1879" s="38"/>
      <c r="N1879" s="38"/>
      <c r="O1879" s="31"/>
      <c r="P1879" s="28"/>
      <c r="Q1879" s="38"/>
      <c r="R1879" s="38"/>
      <c r="S1879" s="38"/>
      <c r="T1879" s="38"/>
      <c r="U1879" s="38"/>
      <c r="V1879" s="38"/>
      <c r="Y1879" s="38"/>
      <c r="Z1879" s="38"/>
      <c r="AF1879" s="38"/>
      <c r="AK1879" s="14"/>
      <c r="AO1879" s="28"/>
    </row>
    <row r="1880" spans="1:41" ht="12.5">
      <c r="A1880" s="28"/>
      <c r="B1880" s="37"/>
      <c r="C1880" s="29"/>
      <c r="D1880" s="38"/>
      <c r="E1880" s="38"/>
      <c r="G1880" s="38"/>
      <c r="H1880" s="38"/>
      <c r="I1880" s="38"/>
      <c r="J1880" s="38"/>
      <c r="K1880" s="38"/>
      <c r="L1880" s="30"/>
      <c r="M1880" s="38"/>
      <c r="N1880" s="38"/>
      <c r="O1880" s="31"/>
      <c r="P1880" s="28"/>
      <c r="Q1880" s="38"/>
      <c r="R1880" s="38"/>
      <c r="S1880" s="38"/>
      <c r="T1880" s="38"/>
      <c r="U1880" s="38"/>
      <c r="V1880" s="38"/>
      <c r="Y1880" s="38"/>
      <c r="Z1880" s="38"/>
      <c r="AF1880" s="38"/>
      <c r="AK1880" s="14"/>
      <c r="AO1880" s="28"/>
    </row>
    <row r="1881" spans="1:41" ht="12.5">
      <c r="A1881" s="28"/>
      <c r="B1881" s="37"/>
      <c r="C1881" s="29"/>
      <c r="D1881" s="38"/>
      <c r="E1881" s="38"/>
      <c r="G1881" s="38"/>
      <c r="H1881" s="38"/>
      <c r="I1881" s="38"/>
      <c r="J1881" s="38"/>
      <c r="K1881" s="38"/>
      <c r="L1881" s="30"/>
      <c r="M1881" s="38"/>
      <c r="N1881" s="38"/>
      <c r="O1881" s="31"/>
      <c r="P1881" s="28"/>
      <c r="Q1881" s="38"/>
      <c r="R1881" s="38"/>
      <c r="S1881" s="38"/>
      <c r="T1881" s="38"/>
      <c r="U1881" s="38"/>
      <c r="V1881" s="38"/>
      <c r="Y1881" s="38"/>
      <c r="Z1881" s="38"/>
      <c r="AF1881" s="38"/>
      <c r="AK1881" s="14"/>
      <c r="AO1881" s="28"/>
    </row>
    <row r="1882" spans="1:41" ht="12.5">
      <c r="A1882" s="28"/>
      <c r="B1882" s="37"/>
      <c r="C1882" s="29"/>
      <c r="D1882" s="38"/>
      <c r="E1882" s="38"/>
      <c r="G1882" s="38"/>
      <c r="H1882" s="38"/>
      <c r="I1882" s="38"/>
      <c r="J1882" s="38"/>
      <c r="K1882" s="38"/>
      <c r="L1882" s="30"/>
      <c r="M1882" s="38"/>
      <c r="N1882" s="38"/>
      <c r="O1882" s="31"/>
      <c r="P1882" s="28"/>
      <c r="Q1882" s="38"/>
      <c r="R1882" s="38"/>
      <c r="S1882" s="38"/>
      <c r="T1882" s="38"/>
      <c r="U1882" s="38"/>
      <c r="V1882" s="38"/>
      <c r="Y1882" s="38"/>
      <c r="Z1882" s="38"/>
      <c r="AF1882" s="38"/>
      <c r="AK1882" s="14"/>
      <c r="AO1882" s="28"/>
    </row>
    <row r="1883" spans="1:41" ht="12.5">
      <c r="A1883" s="28"/>
      <c r="B1883" s="37"/>
      <c r="C1883" s="29"/>
      <c r="D1883" s="38"/>
      <c r="E1883" s="38"/>
      <c r="G1883" s="38"/>
      <c r="H1883" s="38"/>
      <c r="I1883" s="38"/>
      <c r="J1883" s="38"/>
      <c r="K1883" s="38"/>
      <c r="L1883" s="30"/>
      <c r="M1883" s="38"/>
      <c r="N1883" s="38"/>
      <c r="O1883" s="31"/>
      <c r="P1883" s="28"/>
      <c r="Q1883" s="38"/>
      <c r="R1883" s="38"/>
      <c r="S1883" s="38"/>
      <c r="T1883" s="38"/>
      <c r="U1883" s="38"/>
      <c r="V1883" s="38"/>
      <c r="Y1883" s="38"/>
      <c r="Z1883" s="38"/>
      <c r="AF1883" s="38"/>
      <c r="AK1883" s="14"/>
      <c r="AO1883" s="28"/>
    </row>
    <row r="1884" spans="1:41" ht="12.5">
      <c r="A1884" s="28"/>
      <c r="B1884" s="37"/>
      <c r="C1884" s="29"/>
      <c r="D1884" s="38"/>
      <c r="E1884" s="38"/>
      <c r="G1884" s="38"/>
      <c r="H1884" s="38"/>
      <c r="I1884" s="38"/>
      <c r="J1884" s="38"/>
      <c r="K1884" s="38"/>
      <c r="L1884" s="30"/>
      <c r="M1884" s="38"/>
      <c r="N1884" s="38"/>
      <c r="O1884" s="31"/>
      <c r="P1884" s="28"/>
      <c r="Q1884" s="38"/>
      <c r="R1884" s="38"/>
      <c r="S1884" s="38"/>
      <c r="T1884" s="38"/>
      <c r="U1884" s="38"/>
      <c r="V1884" s="38"/>
      <c r="Y1884" s="38"/>
      <c r="Z1884" s="38"/>
      <c r="AF1884" s="38"/>
      <c r="AK1884" s="14"/>
      <c r="AO1884" s="28"/>
    </row>
    <row r="1885" spans="1:41" ht="12.5">
      <c r="A1885" s="28"/>
      <c r="B1885" s="37"/>
      <c r="C1885" s="29"/>
      <c r="D1885" s="38"/>
      <c r="E1885" s="38"/>
      <c r="G1885" s="38"/>
      <c r="H1885" s="38"/>
      <c r="I1885" s="38"/>
      <c r="J1885" s="38"/>
      <c r="K1885" s="38"/>
      <c r="L1885" s="30"/>
      <c r="M1885" s="38"/>
      <c r="N1885" s="38"/>
      <c r="O1885" s="31"/>
      <c r="P1885" s="28"/>
      <c r="Q1885" s="38"/>
      <c r="R1885" s="38"/>
      <c r="S1885" s="38"/>
      <c r="T1885" s="38"/>
      <c r="U1885" s="38"/>
      <c r="V1885" s="38"/>
      <c r="Y1885" s="38"/>
      <c r="Z1885" s="38"/>
      <c r="AF1885" s="38"/>
      <c r="AK1885" s="14"/>
      <c r="AO1885" s="28"/>
    </row>
    <row r="1886" spans="1:41" ht="12.5">
      <c r="A1886" s="28"/>
      <c r="B1886" s="37"/>
      <c r="C1886" s="29"/>
      <c r="D1886" s="38"/>
      <c r="E1886" s="38"/>
      <c r="G1886" s="38"/>
      <c r="H1886" s="38"/>
      <c r="I1886" s="38"/>
      <c r="J1886" s="38"/>
      <c r="K1886" s="38"/>
      <c r="L1886" s="30"/>
      <c r="M1886" s="38"/>
      <c r="N1886" s="38"/>
      <c r="O1886" s="31"/>
      <c r="P1886" s="28"/>
      <c r="Q1886" s="38"/>
      <c r="R1886" s="38"/>
      <c r="S1886" s="38"/>
      <c r="T1886" s="38"/>
      <c r="U1886" s="38"/>
      <c r="V1886" s="38"/>
      <c r="Y1886" s="38"/>
      <c r="Z1886" s="38"/>
      <c r="AF1886" s="38"/>
      <c r="AK1886" s="14"/>
      <c r="AO1886" s="28"/>
    </row>
    <row r="1887" spans="1:41" ht="12.5">
      <c r="A1887" s="28"/>
      <c r="B1887" s="37"/>
      <c r="C1887" s="29"/>
      <c r="D1887" s="38"/>
      <c r="E1887" s="38"/>
      <c r="G1887" s="38"/>
      <c r="H1887" s="38"/>
      <c r="I1887" s="38"/>
      <c r="J1887" s="38"/>
      <c r="K1887" s="38"/>
      <c r="L1887" s="30"/>
      <c r="M1887" s="38"/>
      <c r="N1887" s="38"/>
      <c r="O1887" s="31"/>
      <c r="P1887" s="28"/>
      <c r="Q1887" s="38"/>
      <c r="R1887" s="38"/>
      <c r="S1887" s="38"/>
      <c r="T1887" s="38"/>
      <c r="U1887" s="38"/>
      <c r="V1887" s="38"/>
      <c r="Y1887" s="38"/>
      <c r="Z1887" s="38"/>
      <c r="AF1887" s="38"/>
      <c r="AK1887" s="14"/>
      <c r="AO1887" s="28"/>
    </row>
    <row r="1888" spans="1:41" ht="12.5">
      <c r="A1888" s="28"/>
      <c r="B1888" s="37"/>
      <c r="C1888" s="29"/>
      <c r="D1888" s="38"/>
      <c r="E1888" s="38"/>
      <c r="G1888" s="38"/>
      <c r="H1888" s="38"/>
      <c r="I1888" s="38"/>
      <c r="J1888" s="38"/>
      <c r="K1888" s="38"/>
      <c r="L1888" s="30"/>
      <c r="M1888" s="38"/>
      <c r="N1888" s="38"/>
      <c r="O1888" s="31"/>
      <c r="P1888" s="28"/>
      <c r="Q1888" s="38"/>
      <c r="R1888" s="38"/>
      <c r="S1888" s="38"/>
      <c r="T1888" s="38"/>
      <c r="U1888" s="38"/>
      <c r="V1888" s="38"/>
      <c r="Y1888" s="38"/>
      <c r="Z1888" s="38"/>
      <c r="AF1888" s="38"/>
      <c r="AK1888" s="14"/>
      <c r="AO1888" s="28"/>
    </row>
    <row r="1889" spans="1:41" ht="12.5">
      <c r="A1889" s="28"/>
      <c r="B1889" s="37"/>
      <c r="C1889" s="29"/>
      <c r="D1889" s="38"/>
      <c r="E1889" s="38"/>
      <c r="G1889" s="38"/>
      <c r="H1889" s="38"/>
      <c r="I1889" s="38"/>
      <c r="J1889" s="38"/>
      <c r="K1889" s="38"/>
      <c r="L1889" s="30"/>
      <c r="M1889" s="38"/>
      <c r="N1889" s="38"/>
      <c r="O1889" s="31"/>
      <c r="P1889" s="28"/>
      <c r="Q1889" s="38"/>
      <c r="R1889" s="38"/>
      <c r="S1889" s="38"/>
      <c r="T1889" s="38"/>
      <c r="U1889" s="38"/>
      <c r="V1889" s="38"/>
      <c r="Y1889" s="38"/>
      <c r="Z1889" s="38"/>
      <c r="AF1889" s="38"/>
      <c r="AK1889" s="14"/>
      <c r="AO1889" s="28"/>
    </row>
    <row r="1890" spans="1:41" ht="12.5">
      <c r="A1890" s="28"/>
      <c r="B1890" s="37"/>
      <c r="C1890" s="29"/>
      <c r="D1890" s="38"/>
      <c r="E1890" s="38"/>
      <c r="G1890" s="38"/>
      <c r="H1890" s="38"/>
      <c r="I1890" s="38"/>
      <c r="J1890" s="38"/>
      <c r="K1890" s="38"/>
      <c r="L1890" s="30"/>
      <c r="M1890" s="38"/>
      <c r="N1890" s="38"/>
      <c r="O1890" s="31"/>
      <c r="P1890" s="28"/>
      <c r="Q1890" s="38"/>
      <c r="R1890" s="38"/>
      <c r="S1890" s="38"/>
      <c r="T1890" s="38"/>
      <c r="U1890" s="38"/>
      <c r="V1890" s="38"/>
      <c r="Y1890" s="38"/>
      <c r="Z1890" s="38"/>
      <c r="AF1890" s="38"/>
      <c r="AK1890" s="14"/>
      <c r="AO1890" s="28"/>
    </row>
    <row r="1891" spans="1:41" ht="12.5">
      <c r="A1891" s="28"/>
      <c r="B1891" s="37"/>
      <c r="C1891" s="29"/>
      <c r="D1891" s="38"/>
      <c r="E1891" s="38"/>
      <c r="G1891" s="38"/>
      <c r="H1891" s="38"/>
      <c r="I1891" s="38"/>
      <c r="J1891" s="38"/>
      <c r="K1891" s="38"/>
      <c r="L1891" s="30"/>
      <c r="M1891" s="38"/>
      <c r="N1891" s="38"/>
      <c r="O1891" s="31"/>
      <c r="P1891" s="28"/>
      <c r="Q1891" s="38"/>
      <c r="R1891" s="38"/>
      <c r="S1891" s="38"/>
      <c r="T1891" s="38"/>
      <c r="U1891" s="38"/>
      <c r="V1891" s="38"/>
      <c r="Y1891" s="38"/>
      <c r="Z1891" s="38"/>
      <c r="AF1891" s="38"/>
      <c r="AK1891" s="14"/>
      <c r="AO1891" s="28"/>
    </row>
    <row r="1892" spans="1:41" ht="12.5">
      <c r="A1892" s="28"/>
      <c r="B1892" s="37"/>
      <c r="C1892" s="29"/>
      <c r="D1892" s="38"/>
      <c r="E1892" s="38"/>
      <c r="G1892" s="38"/>
      <c r="H1892" s="38"/>
      <c r="I1892" s="38"/>
      <c r="J1892" s="38"/>
      <c r="K1892" s="38"/>
      <c r="L1892" s="30"/>
      <c r="M1892" s="38"/>
      <c r="N1892" s="38"/>
      <c r="O1892" s="31"/>
      <c r="P1892" s="28"/>
      <c r="Q1892" s="38"/>
      <c r="R1892" s="38"/>
      <c r="S1892" s="38"/>
      <c r="T1892" s="38"/>
      <c r="U1892" s="38"/>
      <c r="V1892" s="38"/>
      <c r="Y1892" s="38"/>
      <c r="Z1892" s="38"/>
      <c r="AF1892" s="38"/>
      <c r="AK1892" s="14"/>
      <c r="AO1892" s="28"/>
    </row>
    <row r="1893" spans="1:41" ht="12.5">
      <c r="A1893" s="28"/>
      <c r="B1893" s="37"/>
      <c r="C1893" s="29"/>
      <c r="D1893" s="38"/>
      <c r="E1893" s="38"/>
      <c r="G1893" s="38"/>
      <c r="H1893" s="38"/>
      <c r="I1893" s="38"/>
      <c r="J1893" s="38"/>
      <c r="K1893" s="38"/>
      <c r="L1893" s="30"/>
      <c r="M1893" s="38"/>
      <c r="N1893" s="38"/>
      <c r="O1893" s="31"/>
      <c r="P1893" s="28"/>
      <c r="Q1893" s="38"/>
      <c r="R1893" s="38"/>
      <c r="S1893" s="38"/>
      <c r="T1893" s="38"/>
      <c r="U1893" s="38"/>
      <c r="V1893" s="38"/>
      <c r="Y1893" s="38"/>
      <c r="Z1893" s="38"/>
      <c r="AF1893" s="38"/>
      <c r="AK1893" s="14"/>
      <c r="AO1893" s="28"/>
    </row>
    <row r="1894" spans="1:41" ht="12.5">
      <c r="A1894" s="28"/>
      <c r="B1894" s="37"/>
      <c r="C1894" s="29"/>
      <c r="D1894" s="38"/>
      <c r="E1894" s="38"/>
      <c r="G1894" s="38"/>
      <c r="H1894" s="38"/>
      <c r="I1894" s="38"/>
      <c r="J1894" s="38"/>
      <c r="K1894" s="38"/>
      <c r="L1894" s="30"/>
      <c r="M1894" s="38"/>
      <c r="N1894" s="38"/>
      <c r="O1894" s="31"/>
      <c r="P1894" s="28"/>
      <c r="Q1894" s="38"/>
      <c r="R1894" s="38"/>
      <c r="S1894" s="38"/>
      <c r="T1894" s="38"/>
      <c r="U1894" s="38"/>
      <c r="V1894" s="38"/>
      <c r="Y1894" s="38"/>
      <c r="Z1894" s="38"/>
      <c r="AF1894" s="38"/>
      <c r="AK1894" s="14"/>
      <c r="AO1894" s="28"/>
    </row>
    <row r="1895" spans="1:41" ht="12.5">
      <c r="A1895" s="28"/>
      <c r="B1895" s="37"/>
      <c r="C1895" s="29"/>
      <c r="D1895" s="38"/>
      <c r="E1895" s="38"/>
      <c r="G1895" s="38"/>
      <c r="H1895" s="38"/>
      <c r="I1895" s="38"/>
      <c r="J1895" s="38"/>
      <c r="K1895" s="38"/>
      <c r="L1895" s="30"/>
      <c r="M1895" s="38"/>
      <c r="N1895" s="38"/>
      <c r="O1895" s="31"/>
      <c r="P1895" s="28"/>
      <c r="Q1895" s="38"/>
      <c r="R1895" s="38"/>
      <c r="S1895" s="38"/>
      <c r="T1895" s="38"/>
      <c r="U1895" s="38"/>
      <c r="V1895" s="38"/>
      <c r="Y1895" s="38"/>
      <c r="Z1895" s="38"/>
      <c r="AF1895" s="38"/>
      <c r="AK1895" s="14"/>
      <c r="AO1895" s="28"/>
    </row>
    <row r="1896" spans="1:41" ht="12.5">
      <c r="A1896" s="28"/>
      <c r="B1896" s="37"/>
      <c r="C1896" s="29"/>
      <c r="D1896" s="38"/>
      <c r="E1896" s="38"/>
      <c r="G1896" s="38"/>
      <c r="H1896" s="38"/>
      <c r="I1896" s="38"/>
      <c r="J1896" s="38"/>
      <c r="K1896" s="38"/>
      <c r="L1896" s="30"/>
      <c r="M1896" s="38"/>
      <c r="N1896" s="38"/>
      <c r="O1896" s="31"/>
      <c r="P1896" s="28"/>
      <c r="Q1896" s="38"/>
      <c r="R1896" s="38"/>
      <c r="S1896" s="38"/>
      <c r="T1896" s="38"/>
      <c r="U1896" s="38"/>
      <c r="V1896" s="38"/>
      <c r="Y1896" s="38"/>
      <c r="Z1896" s="38"/>
      <c r="AF1896" s="38"/>
      <c r="AK1896" s="14"/>
      <c r="AO1896" s="28"/>
    </row>
    <row r="1897" spans="1:41" ht="12.5">
      <c r="A1897" s="28"/>
      <c r="B1897" s="37"/>
      <c r="C1897" s="29"/>
      <c r="D1897" s="38"/>
      <c r="E1897" s="38"/>
      <c r="G1897" s="38"/>
      <c r="H1897" s="38"/>
      <c r="I1897" s="38"/>
      <c r="J1897" s="38"/>
      <c r="K1897" s="38"/>
      <c r="L1897" s="30"/>
      <c r="M1897" s="38"/>
      <c r="N1897" s="38"/>
      <c r="O1897" s="31"/>
      <c r="P1897" s="28"/>
      <c r="Q1897" s="38"/>
      <c r="R1897" s="38"/>
      <c r="S1897" s="38"/>
      <c r="T1897" s="38"/>
      <c r="U1897" s="38"/>
      <c r="V1897" s="38"/>
      <c r="Y1897" s="38"/>
      <c r="Z1897" s="38"/>
      <c r="AF1897" s="38"/>
      <c r="AK1897" s="14"/>
      <c r="AO1897" s="28"/>
    </row>
    <row r="1898" spans="1:41" ht="12.5">
      <c r="A1898" s="28"/>
      <c r="B1898" s="37"/>
      <c r="C1898" s="29"/>
      <c r="D1898" s="38"/>
      <c r="E1898" s="38"/>
      <c r="G1898" s="38"/>
      <c r="H1898" s="38"/>
      <c r="I1898" s="38"/>
      <c r="J1898" s="38"/>
      <c r="K1898" s="38"/>
      <c r="L1898" s="30"/>
      <c r="M1898" s="38"/>
      <c r="N1898" s="38"/>
      <c r="O1898" s="31"/>
      <c r="P1898" s="28"/>
      <c r="Q1898" s="38"/>
      <c r="R1898" s="38"/>
      <c r="S1898" s="38"/>
      <c r="T1898" s="38"/>
      <c r="U1898" s="38"/>
      <c r="V1898" s="38"/>
      <c r="Y1898" s="38"/>
      <c r="Z1898" s="38"/>
      <c r="AF1898" s="38"/>
      <c r="AK1898" s="14"/>
      <c r="AO1898" s="28"/>
    </row>
    <row r="1899" spans="1:41" ht="12.5">
      <c r="A1899" s="28"/>
      <c r="B1899" s="37"/>
      <c r="C1899" s="29"/>
      <c r="D1899" s="38"/>
      <c r="E1899" s="38"/>
      <c r="G1899" s="38"/>
      <c r="H1899" s="38"/>
      <c r="I1899" s="38"/>
      <c r="J1899" s="38"/>
      <c r="K1899" s="38"/>
      <c r="L1899" s="30"/>
      <c r="M1899" s="38"/>
      <c r="N1899" s="38"/>
      <c r="O1899" s="31"/>
      <c r="P1899" s="28"/>
      <c r="Q1899" s="38"/>
      <c r="R1899" s="38"/>
      <c r="S1899" s="38"/>
      <c r="T1899" s="38"/>
      <c r="U1899" s="38"/>
      <c r="V1899" s="38"/>
      <c r="Y1899" s="38"/>
      <c r="Z1899" s="38"/>
      <c r="AF1899" s="38"/>
      <c r="AK1899" s="14"/>
      <c r="AO1899" s="28"/>
    </row>
    <row r="1900" spans="1:41" ht="12.5">
      <c r="A1900" s="28"/>
      <c r="B1900" s="37"/>
      <c r="C1900" s="29"/>
      <c r="D1900" s="38"/>
      <c r="E1900" s="38"/>
      <c r="G1900" s="38"/>
      <c r="H1900" s="38"/>
      <c r="I1900" s="38"/>
      <c r="J1900" s="38"/>
      <c r="K1900" s="38"/>
      <c r="L1900" s="30"/>
      <c r="M1900" s="38"/>
      <c r="N1900" s="38"/>
      <c r="O1900" s="31"/>
      <c r="P1900" s="28"/>
      <c r="Q1900" s="38"/>
      <c r="R1900" s="38"/>
      <c r="S1900" s="38"/>
      <c r="T1900" s="38"/>
      <c r="U1900" s="38"/>
      <c r="V1900" s="38"/>
      <c r="Y1900" s="38"/>
      <c r="Z1900" s="38"/>
      <c r="AF1900" s="38"/>
      <c r="AK1900" s="14"/>
      <c r="AO1900" s="28"/>
    </row>
    <row r="1901" spans="1:41" ht="12.5">
      <c r="A1901" s="28"/>
      <c r="B1901" s="37"/>
      <c r="C1901" s="29"/>
      <c r="D1901" s="38"/>
      <c r="E1901" s="38"/>
      <c r="G1901" s="38"/>
      <c r="H1901" s="38"/>
      <c r="I1901" s="38"/>
      <c r="J1901" s="38"/>
      <c r="K1901" s="38"/>
      <c r="L1901" s="30"/>
      <c r="M1901" s="38"/>
      <c r="N1901" s="38"/>
      <c r="O1901" s="31"/>
      <c r="P1901" s="28"/>
      <c r="Q1901" s="38"/>
      <c r="R1901" s="38"/>
      <c r="S1901" s="38"/>
      <c r="T1901" s="38"/>
      <c r="U1901" s="38"/>
      <c r="V1901" s="38"/>
      <c r="Y1901" s="38"/>
      <c r="Z1901" s="38"/>
      <c r="AF1901" s="38"/>
      <c r="AK1901" s="14"/>
      <c r="AO1901" s="28"/>
    </row>
    <row r="1902" spans="1:41" ht="12.5">
      <c r="A1902" s="28"/>
      <c r="B1902" s="37"/>
      <c r="C1902" s="29"/>
      <c r="D1902" s="38"/>
      <c r="E1902" s="38"/>
      <c r="G1902" s="38"/>
      <c r="H1902" s="38"/>
      <c r="I1902" s="38"/>
      <c r="J1902" s="38"/>
      <c r="K1902" s="38"/>
      <c r="L1902" s="30"/>
      <c r="M1902" s="38"/>
      <c r="N1902" s="38"/>
      <c r="O1902" s="31"/>
      <c r="P1902" s="28"/>
      <c r="Q1902" s="38"/>
      <c r="R1902" s="38"/>
      <c r="S1902" s="38"/>
      <c r="T1902" s="38"/>
      <c r="U1902" s="38"/>
      <c r="V1902" s="38"/>
      <c r="Y1902" s="38"/>
      <c r="Z1902" s="38"/>
      <c r="AF1902" s="38"/>
      <c r="AK1902" s="14"/>
      <c r="AO1902" s="28"/>
    </row>
    <row r="1903" spans="1:41" ht="12.5">
      <c r="A1903" s="28"/>
      <c r="B1903" s="37"/>
      <c r="C1903" s="29"/>
      <c r="D1903" s="38"/>
      <c r="E1903" s="38"/>
      <c r="G1903" s="38"/>
      <c r="H1903" s="38"/>
      <c r="I1903" s="38"/>
      <c r="J1903" s="38"/>
      <c r="K1903" s="38"/>
      <c r="L1903" s="30"/>
      <c r="M1903" s="38"/>
      <c r="N1903" s="38"/>
      <c r="O1903" s="31"/>
      <c r="P1903" s="28"/>
      <c r="Q1903" s="38"/>
      <c r="R1903" s="38"/>
      <c r="S1903" s="38"/>
      <c r="T1903" s="38"/>
      <c r="U1903" s="38"/>
      <c r="V1903" s="38"/>
      <c r="Y1903" s="38"/>
      <c r="Z1903" s="38"/>
      <c r="AF1903" s="38"/>
      <c r="AK1903" s="14"/>
      <c r="AO1903" s="28"/>
    </row>
    <row r="1904" spans="1:41" ht="12.5">
      <c r="A1904" s="28"/>
      <c r="B1904" s="37"/>
      <c r="C1904" s="29"/>
      <c r="D1904" s="38"/>
      <c r="E1904" s="38"/>
      <c r="G1904" s="38"/>
      <c r="H1904" s="38"/>
      <c r="I1904" s="38"/>
      <c r="J1904" s="38"/>
      <c r="K1904" s="38"/>
      <c r="L1904" s="30"/>
      <c r="M1904" s="38"/>
      <c r="N1904" s="38"/>
      <c r="O1904" s="31"/>
      <c r="P1904" s="28"/>
      <c r="Q1904" s="38"/>
      <c r="R1904" s="38"/>
      <c r="S1904" s="38"/>
      <c r="T1904" s="38"/>
      <c r="U1904" s="38"/>
      <c r="V1904" s="38"/>
      <c r="Y1904" s="38"/>
      <c r="Z1904" s="38"/>
      <c r="AF1904" s="38"/>
      <c r="AK1904" s="14"/>
      <c r="AO1904" s="28"/>
    </row>
    <row r="1905" spans="1:41" ht="12.5">
      <c r="A1905" s="28"/>
      <c r="B1905" s="37"/>
      <c r="C1905" s="29"/>
      <c r="D1905" s="38"/>
      <c r="E1905" s="38"/>
      <c r="G1905" s="38"/>
      <c r="H1905" s="38"/>
      <c r="I1905" s="38"/>
      <c r="J1905" s="38"/>
      <c r="K1905" s="38"/>
      <c r="L1905" s="30"/>
      <c r="M1905" s="38"/>
      <c r="N1905" s="38"/>
      <c r="O1905" s="31"/>
      <c r="P1905" s="28"/>
      <c r="Q1905" s="38"/>
      <c r="R1905" s="38"/>
      <c r="S1905" s="38"/>
      <c r="T1905" s="38"/>
      <c r="U1905" s="38"/>
      <c r="V1905" s="38"/>
      <c r="Y1905" s="38"/>
      <c r="Z1905" s="38"/>
      <c r="AF1905" s="38"/>
      <c r="AK1905" s="14"/>
      <c r="AO1905" s="28"/>
    </row>
    <row r="1906" spans="1:41" ht="12.5">
      <c r="A1906" s="28"/>
      <c r="B1906" s="37"/>
      <c r="C1906" s="29"/>
      <c r="D1906" s="38"/>
      <c r="E1906" s="38"/>
      <c r="G1906" s="38"/>
      <c r="H1906" s="38"/>
      <c r="I1906" s="38"/>
      <c r="J1906" s="38"/>
      <c r="K1906" s="38"/>
      <c r="L1906" s="30"/>
      <c r="M1906" s="38"/>
      <c r="N1906" s="38"/>
      <c r="O1906" s="31"/>
      <c r="P1906" s="28"/>
      <c r="Q1906" s="38"/>
      <c r="R1906" s="38"/>
      <c r="S1906" s="38"/>
      <c r="T1906" s="38"/>
      <c r="U1906" s="38"/>
      <c r="V1906" s="38"/>
      <c r="Y1906" s="38"/>
      <c r="Z1906" s="38"/>
      <c r="AF1906" s="38"/>
      <c r="AK1906" s="14"/>
      <c r="AO1906" s="28"/>
    </row>
    <row r="1907" spans="1:41" ht="12.5">
      <c r="A1907" s="28"/>
      <c r="B1907" s="37"/>
      <c r="C1907" s="29"/>
      <c r="D1907" s="38"/>
      <c r="E1907" s="38"/>
      <c r="G1907" s="38"/>
      <c r="H1907" s="38"/>
      <c r="I1907" s="38"/>
      <c r="J1907" s="38"/>
      <c r="K1907" s="38"/>
      <c r="L1907" s="30"/>
      <c r="M1907" s="38"/>
      <c r="N1907" s="38"/>
      <c r="O1907" s="31"/>
      <c r="P1907" s="28"/>
      <c r="Q1907" s="38"/>
      <c r="R1907" s="38"/>
      <c r="S1907" s="38"/>
      <c r="T1907" s="38"/>
      <c r="U1907" s="38"/>
      <c r="V1907" s="38"/>
      <c r="Y1907" s="38"/>
      <c r="Z1907" s="38"/>
      <c r="AF1907" s="38"/>
      <c r="AK1907" s="14"/>
      <c r="AO1907" s="28"/>
    </row>
    <row r="1908" spans="1:41" ht="12.5">
      <c r="A1908" s="28"/>
      <c r="B1908" s="37"/>
      <c r="C1908" s="29"/>
      <c r="D1908" s="38"/>
      <c r="E1908" s="38"/>
      <c r="G1908" s="38"/>
      <c r="H1908" s="38"/>
      <c r="I1908" s="38"/>
      <c r="J1908" s="38"/>
      <c r="K1908" s="38"/>
      <c r="L1908" s="30"/>
      <c r="M1908" s="38"/>
      <c r="N1908" s="38"/>
      <c r="O1908" s="31"/>
      <c r="P1908" s="28"/>
      <c r="Q1908" s="38"/>
      <c r="R1908" s="38"/>
      <c r="S1908" s="38"/>
      <c r="T1908" s="38"/>
      <c r="U1908" s="38"/>
      <c r="V1908" s="38"/>
      <c r="Y1908" s="38"/>
      <c r="Z1908" s="38"/>
      <c r="AF1908" s="38"/>
      <c r="AK1908" s="14"/>
      <c r="AO1908" s="28"/>
    </row>
    <row r="1909" spans="1:41" ht="12.5">
      <c r="A1909" s="28"/>
      <c r="B1909" s="37"/>
      <c r="C1909" s="29"/>
      <c r="D1909" s="38"/>
      <c r="E1909" s="38"/>
      <c r="G1909" s="38"/>
      <c r="H1909" s="38"/>
      <c r="I1909" s="38"/>
      <c r="J1909" s="38"/>
      <c r="K1909" s="38"/>
      <c r="L1909" s="30"/>
      <c r="M1909" s="38"/>
      <c r="N1909" s="38"/>
      <c r="O1909" s="31"/>
      <c r="P1909" s="28"/>
      <c r="Q1909" s="38"/>
      <c r="R1909" s="38"/>
      <c r="S1909" s="38"/>
      <c r="T1909" s="38"/>
      <c r="U1909" s="38"/>
      <c r="V1909" s="38"/>
      <c r="Y1909" s="38"/>
      <c r="Z1909" s="38"/>
      <c r="AF1909" s="38"/>
      <c r="AK1909" s="14"/>
      <c r="AO1909" s="28"/>
    </row>
    <row r="1910" spans="1:41" ht="12.5">
      <c r="A1910" s="28"/>
      <c r="B1910" s="37"/>
      <c r="C1910" s="29"/>
      <c r="D1910" s="38"/>
      <c r="E1910" s="38"/>
      <c r="G1910" s="38"/>
      <c r="H1910" s="38"/>
      <c r="I1910" s="38"/>
      <c r="J1910" s="38"/>
      <c r="K1910" s="38"/>
      <c r="L1910" s="30"/>
      <c r="M1910" s="38"/>
      <c r="N1910" s="38"/>
      <c r="O1910" s="31"/>
      <c r="P1910" s="28"/>
      <c r="Q1910" s="38"/>
      <c r="R1910" s="38"/>
      <c r="S1910" s="38"/>
      <c r="T1910" s="38"/>
      <c r="U1910" s="38"/>
      <c r="V1910" s="38"/>
      <c r="Y1910" s="38"/>
      <c r="Z1910" s="38"/>
      <c r="AF1910" s="38"/>
      <c r="AK1910" s="14"/>
      <c r="AO1910" s="28"/>
    </row>
    <row r="1911" spans="1:41" ht="12.5">
      <c r="A1911" s="28"/>
      <c r="B1911" s="37"/>
      <c r="C1911" s="29"/>
      <c r="D1911" s="38"/>
      <c r="E1911" s="38"/>
      <c r="G1911" s="38"/>
      <c r="H1911" s="38"/>
      <c r="I1911" s="38"/>
      <c r="J1911" s="38"/>
      <c r="K1911" s="38"/>
      <c r="L1911" s="30"/>
      <c r="M1911" s="38"/>
      <c r="N1911" s="38"/>
      <c r="O1911" s="31"/>
      <c r="P1911" s="28"/>
      <c r="Q1911" s="38"/>
      <c r="R1911" s="38"/>
      <c r="S1911" s="38"/>
      <c r="T1911" s="38"/>
      <c r="U1911" s="38"/>
      <c r="V1911" s="38"/>
      <c r="Y1911" s="38"/>
      <c r="Z1911" s="38"/>
      <c r="AF1911" s="38"/>
      <c r="AK1911" s="14"/>
      <c r="AO1911" s="28"/>
    </row>
    <row r="1912" spans="1:41" ht="12.5">
      <c r="A1912" s="28"/>
      <c r="B1912" s="37"/>
      <c r="C1912" s="29"/>
      <c r="D1912" s="38"/>
      <c r="E1912" s="38"/>
      <c r="G1912" s="38"/>
      <c r="H1912" s="38"/>
      <c r="I1912" s="38"/>
      <c r="J1912" s="38"/>
      <c r="K1912" s="38"/>
      <c r="L1912" s="30"/>
      <c r="M1912" s="38"/>
      <c r="N1912" s="38"/>
      <c r="O1912" s="31"/>
      <c r="P1912" s="28"/>
      <c r="Q1912" s="38"/>
      <c r="R1912" s="38"/>
      <c r="S1912" s="38"/>
      <c r="T1912" s="38"/>
      <c r="U1912" s="38"/>
      <c r="V1912" s="38"/>
      <c r="Y1912" s="38"/>
      <c r="Z1912" s="38"/>
      <c r="AF1912" s="38"/>
      <c r="AK1912" s="14"/>
      <c r="AO1912" s="28"/>
    </row>
    <row r="1913" spans="1:41" ht="12.5">
      <c r="A1913" s="28"/>
      <c r="B1913" s="37"/>
      <c r="C1913" s="29"/>
      <c r="D1913" s="38"/>
      <c r="E1913" s="38"/>
      <c r="G1913" s="38"/>
      <c r="H1913" s="38"/>
      <c r="I1913" s="38"/>
      <c r="J1913" s="38"/>
      <c r="K1913" s="38"/>
      <c r="L1913" s="30"/>
      <c r="M1913" s="38"/>
      <c r="N1913" s="38"/>
      <c r="O1913" s="31"/>
      <c r="P1913" s="28"/>
      <c r="Q1913" s="38"/>
      <c r="R1913" s="38"/>
      <c r="S1913" s="38"/>
      <c r="T1913" s="38"/>
      <c r="U1913" s="38"/>
      <c r="V1913" s="38"/>
      <c r="Y1913" s="38"/>
      <c r="Z1913" s="38"/>
      <c r="AF1913" s="38"/>
      <c r="AK1913" s="14"/>
      <c r="AO1913" s="28"/>
    </row>
    <row r="1914" spans="1:41" ht="12.5">
      <c r="A1914" s="28"/>
      <c r="B1914" s="37"/>
      <c r="C1914" s="29"/>
      <c r="D1914" s="38"/>
      <c r="E1914" s="38"/>
      <c r="G1914" s="38"/>
      <c r="H1914" s="38"/>
      <c r="I1914" s="38"/>
      <c r="J1914" s="38"/>
      <c r="K1914" s="38"/>
      <c r="L1914" s="30"/>
      <c r="M1914" s="38"/>
      <c r="N1914" s="38"/>
      <c r="O1914" s="31"/>
      <c r="P1914" s="28"/>
      <c r="Q1914" s="38"/>
      <c r="R1914" s="38"/>
      <c r="S1914" s="38"/>
      <c r="T1914" s="38"/>
      <c r="U1914" s="38"/>
      <c r="V1914" s="38"/>
      <c r="Y1914" s="38"/>
      <c r="Z1914" s="38"/>
      <c r="AF1914" s="38"/>
      <c r="AK1914" s="14"/>
      <c r="AO1914" s="28"/>
    </row>
    <row r="1915" spans="1:41" ht="12.5">
      <c r="A1915" s="28"/>
      <c r="B1915" s="37"/>
      <c r="C1915" s="29"/>
      <c r="D1915" s="38"/>
      <c r="E1915" s="38"/>
      <c r="G1915" s="38"/>
      <c r="H1915" s="38"/>
      <c r="I1915" s="38"/>
      <c r="J1915" s="38"/>
      <c r="K1915" s="38"/>
      <c r="L1915" s="30"/>
      <c r="M1915" s="38"/>
      <c r="N1915" s="38"/>
      <c r="O1915" s="31"/>
      <c r="P1915" s="28"/>
      <c r="Q1915" s="38"/>
      <c r="R1915" s="38"/>
      <c r="S1915" s="38"/>
      <c r="T1915" s="38"/>
      <c r="U1915" s="38"/>
      <c r="V1915" s="38"/>
      <c r="Y1915" s="38"/>
      <c r="Z1915" s="38"/>
      <c r="AF1915" s="38"/>
      <c r="AK1915" s="14"/>
      <c r="AO1915" s="28"/>
    </row>
    <row r="1916" spans="1:41" ht="12.5">
      <c r="A1916" s="28"/>
      <c r="B1916" s="37"/>
      <c r="C1916" s="29"/>
      <c r="D1916" s="38"/>
      <c r="E1916" s="38"/>
      <c r="G1916" s="38"/>
      <c r="H1916" s="38"/>
      <c r="I1916" s="38"/>
      <c r="J1916" s="38"/>
      <c r="K1916" s="38"/>
      <c r="L1916" s="30"/>
      <c r="M1916" s="38"/>
      <c r="N1916" s="38"/>
      <c r="O1916" s="31"/>
      <c r="P1916" s="28"/>
      <c r="Q1916" s="38"/>
      <c r="R1916" s="38"/>
      <c r="S1916" s="38"/>
      <c r="T1916" s="38"/>
      <c r="U1916" s="38"/>
      <c r="V1916" s="38"/>
      <c r="Y1916" s="38"/>
      <c r="Z1916" s="38"/>
      <c r="AF1916" s="38"/>
      <c r="AK1916" s="14"/>
      <c r="AO1916" s="28"/>
    </row>
    <row r="1917" spans="1:41" ht="12.5">
      <c r="A1917" s="28"/>
      <c r="B1917" s="37"/>
      <c r="C1917" s="29"/>
      <c r="D1917" s="38"/>
      <c r="E1917" s="38"/>
      <c r="G1917" s="38"/>
      <c r="H1917" s="38"/>
      <c r="I1917" s="38"/>
      <c r="J1917" s="38"/>
      <c r="K1917" s="38"/>
      <c r="L1917" s="30"/>
      <c r="M1917" s="38"/>
      <c r="N1917" s="38"/>
      <c r="O1917" s="31"/>
      <c r="P1917" s="28"/>
      <c r="Q1917" s="38"/>
      <c r="R1917" s="38"/>
      <c r="S1917" s="38"/>
      <c r="T1917" s="38"/>
      <c r="U1917" s="38"/>
      <c r="V1917" s="38"/>
      <c r="Y1917" s="38"/>
      <c r="Z1917" s="38"/>
      <c r="AF1917" s="38"/>
      <c r="AK1917" s="14"/>
      <c r="AO1917" s="28"/>
    </row>
    <row r="1918" spans="1:41" ht="12.5">
      <c r="A1918" s="28"/>
      <c r="B1918" s="37"/>
      <c r="C1918" s="29"/>
      <c r="D1918" s="38"/>
      <c r="E1918" s="38"/>
      <c r="G1918" s="38"/>
      <c r="H1918" s="38"/>
      <c r="I1918" s="38"/>
      <c r="J1918" s="38"/>
      <c r="K1918" s="38"/>
      <c r="L1918" s="30"/>
      <c r="M1918" s="38"/>
      <c r="N1918" s="38"/>
      <c r="O1918" s="31"/>
      <c r="P1918" s="28"/>
      <c r="Q1918" s="38"/>
      <c r="R1918" s="38"/>
      <c r="S1918" s="38"/>
      <c r="T1918" s="38"/>
      <c r="U1918" s="38"/>
      <c r="V1918" s="38"/>
      <c r="Y1918" s="38"/>
      <c r="Z1918" s="38"/>
      <c r="AF1918" s="38"/>
      <c r="AK1918" s="14"/>
      <c r="AO1918" s="28"/>
    </row>
    <row r="1919" spans="1:41" ht="12.5">
      <c r="A1919" s="28"/>
      <c r="B1919" s="37"/>
      <c r="C1919" s="29"/>
      <c r="D1919" s="38"/>
      <c r="E1919" s="38"/>
      <c r="G1919" s="38"/>
      <c r="H1919" s="38"/>
      <c r="I1919" s="38"/>
      <c r="J1919" s="38"/>
      <c r="K1919" s="38"/>
      <c r="L1919" s="30"/>
      <c r="M1919" s="38"/>
      <c r="N1919" s="38"/>
      <c r="O1919" s="31"/>
      <c r="P1919" s="28"/>
      <c r="Q1919" s="38"/>
      <c r="R1919" s="38"/>
      <c r="S1919" s="38"/>
      <c r="T1919" s="38"/>
      <c r="U1919" s="38"/>
      <c r="V1919" s="38"/>
      <c r="Y1919" s="38"/>
      <c r="Z1919" s="38"/>
      <c r="AF1919" s="38"/>
      <c r="AK1919" s="14"/>
      <c r="AO1919" s="28"/>
    </row>
    <row r="1920" spans="1:41" ht="12.5">
      <c r="A1920" s="28"/>
      <c r="B1920" s="37"/>
      <c r="C1920" s="29"/>
      <c r="D1920" s="38"/>
      <c r="E1920" s="38"/>
      <c r="G1920" s="38"/>
      <c r="H1920" s="38"/>
      <c r="I1920" s="38"/>
      <c r="J1920" s="38"/>
      <c r="K1920" s="38"/>
      <c r="L1920" s="30"/>
      <c r="M1920" s="38"/>
      <c r="N1920" s="38"/>
      <c r="O1920" s="31"/>
      <c r="P1920" s="28"/>
      <c r="Q1920" s="38"/>
      <c r="R1920" s="38"/>
      <c r="S1920" s="38"/>
      <c r="T1920" s="38"/>
      <c r="U1920" s="38"/>
      <c r="V1920" s="38"/>
      <c r="Y1920" s="38"/>
      <c r="Z1920" s="38"/>
      <c r="AF1920" s="38"/>
      <c r="AK1920" s="14"/>
      <c r="AO1920" s="28"/>
    </row>
    <row r="1921" spans="1:41" ht="12.5">
      <c r="A1921" s="28"/>
      <c r="B1921" s="37"/>
      <c r="C1921" s="29"/>
      <c r="D1921" s="38"/>
      <c r="E1921" s="38"/>
      <c r="G1921" s="38"/>
      <c r="H1921" s="38"/>
      <c r="I1921" s="38"/>
      <c r="J1921" s="38"/>
      <c r="K1921" s="38"/>
      <c r="L1921" s="30"/>
      <c r="M1921" s="38"/>
      <c r="N1921" s="38"/>
      <c r="O1921" s="31"/>
      <c r="P1921" s="28"/>
      <c r="Q1921" s="38"/>
      <c r="R1921" s="38"/>
      <c r="S1921" s="38"/>
      <c r="T1921" s="38"/>
      <c r="U1921" s="38"/>
      <c r="V1921" s="38"/>
      <c r="Y1921" s="38"/>
      <c r="Z1921" s="38"/>
      <c r="AF1921" s="38"/>
      <c r="AK1921" s="14"/>
      <c r="AO1921" s="28"/>
    </row>
    <row r="1922" spans="1:41" ht="12.5">
      <c r="A1922" s="28"/>
      <c r="B1922" s="37"/>
      <c r="C1922" s="29"/>
      <c r="D1922" s="38"/>
      <c r="E1922" s="38"/>
      <c r="G1922" s="38"/>
      <c r="H1922" s="38"/>
      <c r="I1922" s="38"/>
      <c r="J1922" s="38"/>
      <c r="K1922" s="38"/>
      <c r="L1922" s="30"/>
      <c r="M1922" s="38"/>
      <c r="N1922" s="38"/>
      <c r="O1922" s="31"/>
      <c r="P1922" s="28"/>
      <c r="Q1922" s="38"/>
      <c r="R1922" s="38"/>
      <c r="S1922" s="38"/>
      <c r="T1922" s="38"/>
      <c r="U1922" s="38"/>
      <c r="V1922" s="38"/>
      <c r="Y1922" s="38"/>
      <c r="Z1922" s="38"/>
      <c r="AF1922" s="38"/>
      <c r="AK1922" s="14"/>
      <c r="AO1922" s="28"/>
    </row>
    <row r="1923" spans="1:41" ht="12.5">
      <c r="A1923" s="28"/>
      <c r="B1923" s="37"/>
      <c r="C1923" s="29"/>
      <c r="D1923" s="38"/>
      <c r="E1923" s="38"/>
      <c r="G1923" s="38"/>
      <c r="H1923" s="38"/>
      <c r="I1923" s="38"/>
      <c r="J1923" s="38"/>
      <c r="K1923" s="38"/>
      <c r="L1923" s="30"/>
      <c r="M1923" s="38"/>
      <c r="N1923" s="38"/>
      <c r="O1923" s="31"/>
      <c r="P1923" s="28"/>
      <c r="Q1923" s="38"/>
      <c r="R1923" s="38"/>
      <c r="S1923" s="38"/>
      <c r="T1923" s="38"/>
      <c r="U1923" s="38"/>
      <c r="V1923" s="38"/>
      <c r="Y1923" s="38"/>
      <c r="Z1923" s="38"/>
      <c r="AF1923" s="38"/>
      <c r="AK1923" s="14"/>
      <c r="AO1923" s="28"/>
    </row>
    <row r="1924" spans="1:41" ht="12.5">
      <c r="A1924" s="28"/>
      <c r="B1924" s="37"/>
      <c r="C1924" s="29"/>
      <c r="D1924" s="38"/>
      <c r="E1924" s="38"/>
      <c r="G1924" s="38"/>
      <c r="H1924" s="38"/>
      <c r="I1924" s="38"/>
      <c r="J1924" s="38"/>
      <c r="K1924" s="38"/>
      <c r="L1924" s="30"/>
      <c r="M1924" s="38"/>
      <c r="N1924" s="38"/>
      <c r="O1924" s="31"/>
      <c r="P1924" s="28"/>
      <c r="Q1924" s="38"/>
      <c r="R1924" s="38"/>
      <c r="S1924" s="38"/>
      <c r="T1924" s="38"/>
      <c r="U1924" s="38"/>
      <c r="V1924" s="38"/>
      <c r="Y1924" s="38"/>
      <c r="Z1924" s="38"/>
      <c r="AF1924" s="38"/>
      <c r="AK1924" s="14"/>
      <c r="AO1924" s="28"/>
    </row>
    <row r="1925" spans="1:41" ht="12.5">
      <c r="A1925" s="28"/>
      <c r="B1925" s="37"/>
      <c r="C1925" s="29"/>
      <c r="D1925" s="38"/>
      <c r="E1925" s="38"/>
      <c r="G1925" s="38"/>
      <c r="H1925" s="38"/>
      <c r="I1925" s="38"/>
      <c r="J1925" s="38"/>
      <c r="K1925" s="38"/>
      <c r="L1925" s="30"/>
      <c r="M1925" s="38"/>
      <c r="N1925" s="38"/>
      <c r="O1925" s="31"/>
      <c r="P1925" s="28"/>
      <c r="Q1925" s="38"/>
      <c r="R1925" s="38"/>
      <c r="S1925" s="38"/>
      <c r="T1925" s="38"/>
      <c r="U1925" s="38"/>
      <c r="V1925" s="38"/>
      <c r="Y1925" s="38"/>
      <c r="Z1925" s="38"/>
      <c r="AF1925" s="38"/>
      <c r="AK1925" s="14"/>
      <c r="AO1925" s="28"/>
    </row>
    <row r="1926" spans="1:41" ht="12.5">
      <c r="A1926" s="28"/>
      <c r="B1926" s="37"/>
      <c r="C1926" s="29"/>
      <c r="D1926" s="38"/>
      <c r="E1926" s="38"/>
      <c r="G1926" s="38"/>
      <c r="H1926" s="38"/>
      <c r="I1926" s="38"/>
      <c r="J1926" s="38"/>
      <c r="K1926" s="38"/>
      <c r="L1926" s="30"/>
      <c r="M1926" s="38"/>
      <c r="N1926" s="38"/>
      <c r="O1926" s="31"/>
      <c r="P1926" s="28"/>
      <c r="Q1926" s="38"/>
      <c r="R1926" s="38"/>
      <c r="S1926" s="38"/>
      <c r="T1926" s="38"/>
      <c r="U1926" s="38"/>
      <c r="V1926" s="38"/>
      <c r="Y1926" s="38"/>
      <c r="Z1926" s="38"/>
      <c r="AF1926" s="38"/>
      <c r="AK1926" s="14"/>
      <c r="AO1926" s="28"/>
    </row>
    <row r="1927" spans="1:41" ht="12.5">
      <c r="A1927" s="28"/>
      <c r="B1927" s="37"/>
      <c r="C1927" s="29"/>
      <c r="D1927" s="38"/>
      <c r="E1927" s="38"/>
      <c r="G1927" s="38"/>
      <c r="H1927" s="38"/>
      <c r="I1927" s="38"/>
      <c r="J1927" s="38"/>
      <c r="K1927" s="38"/>
      <c r="L1927" s="30"/>
      <c r="M1927" s="38"/>
      <c r="N1927" s="38"/>
      <c r="O1927" s="31"/>
      <c r="P1927" s="28"/>
      <c r="Q1927" s="38"/>
      <c r="R1927" s="38"/>
      <c r="S1927" s="38"/>
      <c r="T1927" s="38"/>
      <c r="U1927" s="38"/>
      <c r="V1927" s="38"/>
      <c r="Y1927" s="38"/>
      <c r="Z1927" s="38"/>
      <c r="AF1927" s="38"/>
      <c r="AK1927" s="14"/>
      <c r="AO1927" s="28"/>
    </row>
    <row r="1928" spans="1:41" ht="12.5">
      <c r="A1928" s="28"/>
      <c r="B1928" s="37"/>
      <c r="C1928" s="29"/>
      <c r="D1928" s="38"/>
      <c r="E1928" s="38"/>
      <c r="G1928" s="38"/>
      <c r="H1928" s="38"/>
      <c r="I1928" s="38"/>
      <c r="J1928" s="38"/>
      <c r="K1928" s="38"/>
      <c r="L1928" s="30"/>
      <c r="M1928" s="38"/>
      <c r="N1928" s="38"/>
      <c r="O1928" s="31"/>
      <c r="P1928" s="28"/>
      <c r="Q1928" s="38"/>
      <c r="R1928" s="38"/>
      <c r="S1928" s="38"/>
      <c r="T1928" s="38"/>
      <c r="U1928" s="38"/>
      <c r="V1928" s="38"/>
      <c r="Y1928" s="38"/>
      <c r="Z1928" s="38"/>
      <c r="AF1928" s="38"/>
      <c r="AK1928" s="14"/>
      <c r="AO1928" s="28"/>
    </row>
    <row r="1929" spans="1:41" ht="12.5">
      <c r="A1929" s="28"/>
      <c r="B1929" s="37"/>
      <c r="C1929" s="29"/>
      <c r="D1929" s="38"/>
      <c r="E1929" s="38"/>
      <c r="G1929" s="38"/>
      <c r="H1929" s="38"/>
      <c r="I1929" s="38"/>
      <c r="J1929" s="38"/>
      <c r="K1929" s="38"/>
      <c r="L1929" s="30"/>
      <c r="M1929" s="38"/>
      <c r="N1929" s="38"/>
      <c r="O1929" s="31"/>
      <c r="P1929" s="28"/>
      <c r="Q1929" s="38"/>
      <c r="R1929" s="38"/>
      <c r="S1929" s="38"/>
      <c r="T1929" s="38"/>
      <c r="U1929" s="38"/>
      <c r="V1929" s="38"/>
      <c r="Y1929" s="38"/>
      <c r="Z1929" s="38"/>
      <c r="AF1929" s="38"/>
      <c r="AK1929" s="14"/>
      <c r="AO1929" s="28"/>
    </row>
    <row r="1930" spans="1:41" ht="12.5">
      <c r="A1930" s="28"/>
      <c r="B1930" s="37"/>
      <c r="C1930" s="29"/>
      <c r="D1930" s="38"/>
      <c r="E1930" s="38"/>
      <c r="G1930" s="38"/>
      <c r="H1930" s="38"/>
      <c r="I1930" s="38"/>
      <c r="J1930" s="38"/>
      <c r="K1930" s="38"/>
      <c r="L1930" s="30"/>
      <c r="M1930" s="38"/>
      <c r="N1930" s="38"/>
      <c r="O1930" s="31"/>
      <c r="P1930" s="28"/>
      <c r="Q1930" s="38"/>
      <c r="R1930" s="38"/>
      <c r="S1930" s="38"/>
      <c r="T1930" s="38"/>
      <c r="U1930" s="38"/>
      <c r="V1930" s="38"/>
      <c r="Y1930" s="38"/>
      <c r="Z1930" s="38"/>
      <c r="AF1930" s="38"/>
      <c r="AK1930" s="14"/>
      <c r="AO1930" s="28"/>
    </row>
    <row r="1931" spans="1:41" ht="12.5">
      <c r="A1931" s="28"/>
      <c r="B1931" s="37"/>
      <c r="C1931" s="29"/>
      <c r="D1931" s="38"/>
      <c r="E1931" s="38"/>
      <c r="G1931" s="38"/>
      <c r="H1931" s="38"/>
      <c r="I1931" s="38"/>
      <c r="J1931" s="38"/>
      <c r="K1931" s="38"/>
      <c r="L1931" s="30"/>
      <c r="M1931" s="38"/>
      <c r="N1931" s="38"/>
      <c r="O1931" s="31"/>
      <c r="P1931" s="28"/>
      <c r="Q1931" s="38"/>
      <c r="R1931" s="38"/>
      <c r="S1931" s="38"/>
      <c r="T1931" s="38"/>
      <c r="U1931" s="38"/>
      <c r="V1931" s="38"/>
      <c r="Y1931" s="38"/>
      <c r="Z1931" s="38"/>
      <c r="AF1931" s="38"/>
      <c r="AK1931" s="14"/>
      <c r="AO1931" s="28"/>
    </row>
    <row r="1932" spans="1:41" ht="12.5">
      <c r="A1932" s="28"/>
      <c r="B1932" s="37"/>
      <c r="C1932" s="29"/>
      <c r="D1932" s="38"/>
      <c r="E1932" s="38"/>
      <c r="G1932" s="38"/>
      <c r="H1932" s="38"/>
      <c r="I1932" s="38"/>
      <c r="J1932" s="38"/>
      <c r="K1932" s="38"/>
      <c r="L1932" s="30"/>
      <c r="M1932" s="38"/>
      <c r="N1932" s="38"/>
      <c r="O1932" s="31"/>
      <c r="P1932" s="28"/>
      <c r="Q1932" s="38"/>
      <c r="R1932" s="38"/>
      <c r="S1932" s="38"/>
      <c r="T1932" s="38"/>
      <c r="U1932" s="38"/>
      <c r="V1932" s="38"/>
      <c r="Y1932" s="38"/>
      <c r="Z1932" s="38"/>
      <c r="AF1932" s="38"/>
      <c r="AK1932" s="14"/>
      <c r="AO1932" s="28"/>
    </row>
    <row r="1933" spans="1:41" ht="12.5">
      <c r="A1933" s="28"/>
      <c r="B1933" s="37"/>
      <c r="C1933" s="29"/>
      <c r="D1933" s="38"/>
      <c r="E1933" s="38"/>
      <c r="G1933" s="38"/>
      <c r="H1933" s="38"/>
      <c r="I1933" s="38"/>
      <c r="J1933" s="38"/>
      <c r="K1933" s="38"/>
      <c r="L1933" s="30"/>
      <c r="M1933" s="38"/>
      <c r="N1933" s="38"/>
      <c r="O1933" s="31"/>
      <c r="P1933" s="28"/>
      <c r="Q1933" s="38"/>
      <c r="R1933" s="38"/>
      <c r="S1933" s="38"/>
      <c r="T1933" s="38"/>
      <c r="U1933" s="38"/>
      <c r="V1933" s="38"/>
      <c r="Y1933" s="38"/>
      <c r="Z1933" s="38"/>
      <c r="AF1933" s="38"/>
      <c r="AK1933" s="14"/>
      <c r="AO1933" s="28"/>
    </row>
    <row r="1934" spans="1:41" ht="12.5">
      <c r="A1934" s="28"/>
      <c r="B1934" s="37"/>
      <c r="C1934" s="29"/>
      <c r="D1934" s="38"/>
      <c r="E1934" s="38"/>
      <c r="G1934" s="38"/>
      <c r="H1934" s="38"/>
      <c r="I1934" s="38"/>
      <c r="J1934" s="38"/>
      <c r="K1934" s="38"/>
      <c r="L1934" s="30"/>
      <c r="M1934" s="38"/>
      <c r="N1934" s="38"/>
      <c r="O1934" s="31"/>
      <c r="P1934" s="28"/>
      <c r="Q1934" s="38"/>
      <c r="R1934" s="38"/>
      <c r="S1934" s="38"/>
      <c r="T1934" s="38"/>
      <c r="U1934" s="38"/>
      <c r="V1934" s="38"/>
      <c r="Y1934" s="38"/>
      <c r="Z1934" s="38"/>
      <c r="AF1934" s="38"/>
      <c r="AK1934" s="14"/>
      <c r="AO1934" s="28"/>
    </row>
    <row r="1935" spans="1:41" ht="12.5">
      <c r="A1935" s="28"/>
      <c r="B1935" s="37"/>
      <c r="C1935" s="29"/>
      <c r="D1935" s="38"/>
      <c r="E1935" s="38"/>
      <c r="G1935" s="38"/>
      <c r="H1935" s="38"/>
      <c r="I1935" s="38"/>
      <c r="J1935" s="38"/>
      <c r="K1935" s="38"/>
      <c r="L1935" s="30"/>
      <c r="M1935" s="38"/>
      <c r="N1935" s="38"/>
      <c r="O1935" s="31"/>
      <c r="P1935" s="28"/>
      <c r="Q1935" s="38"/>
      <c r="R1935" s="38"/>
      <c r="S1935" s="38"/>
      <c r="T1935" s="38"/>
      <c r="U1935" s="38"/>
      <c r="V1935" s="38"/>
      <c r="Y1935" s="38"/>
      <c r="Z1935" s="38"/>
      <c r="AF1935" s="38"/>
      <c r="AK1935" s="14"/>
      <c r="AO1935" s="28"/>
    </row>
    <row r="1936" spans="1:41" ht="12.5">
      <c r="A1936" s="28"/>
      <c r="B1936" s="37"/>
      <c r="C1936" s="29"/>
      <c r="D1936" s="38"/>
      <c r="E1936" s="38"/>
      <c r="G1936" s="38"/>
      <c r="H1936" s="38"/>
      <c r="I1936" s="38"/>
      <c r="J1936" s="38"/>
      <c r="K1936" s="38"/>
      <c r="L1936" s="30"/>
      <c r="M1936" s="38"/>
      <c r="N1936" s="38"/>
      <c r="O1936" s="31"/>
      <c r="P1936" s="28"/>
      <c r="Q1936" s="38"/>
      <c r="R1936" s="38"/>
      <c r="S1936" s="38"/>
      <c r="T1936" s="38"/>
      <c r="U1936" s="38"/>
      <c r="V1936" s="38"/>
      <c r="Y1936" s="38"/>
      <c r="Z1936" s="38"/>
      <c r="AF1936" s="38"/>
      <c r="AK1936" s="14"/>
      <c r="AO1936" s="28"/>
    </row>
    <row r="1937" spans="1:41" ht="12.5">
      <c r="A1937" s="28"/>
      <c r="B1937" s="37"/>
      <c r="C1937" s="29"/>
      <c r="D1937" s="38"/>
      <c r="E1937" s="38"/>
      <c r="G1937" s="38"/>
      <c r="H1937" s="38"/>
      <c r="I1937" s="38"/>
      <c r="J1937" s="38"/>
      <c r="K1937" s="38"/>
      <c r="L1937" s="30"/>
      <c r="M1937" s="38"/>
      <c r="N1937" s="38"/>
      <c r="O1937" s="31"/>
      <c r="P1937" s="28"/>
      <c r="Q1937" s="38"/>
      <c r="R1937" s="38"/>
      <c r="S1937" s="38"/>
      <c r="T1937" s="38"/>
      <c r="U1937" s="38"/>
      <c r="V1937" s="38"/>
      <c r="Y1937" s="38"/>
      <c r="Z1937" s="38"/>
      <c r="AF1937" s="38"/>
      <c r="AK1937" s="14"/>
      <c r="AO1937" s="28"/>
    </row>
    <row r="1938" spans="1:41" ht="12.5">
      <c r="A1938" s="28"/>
      <c r="B1938" s="37"/>
      <c r="C1938" s="29"/>
      <c r="D1938" s="38"/>
      <c r="E1938" s="38"/>
      <c r="G1938" s="38"/>
      <c r="H1938" s="38"/>
      <c r="I1938" s="38"/>
      <c r="J1938" s="38"/>
      <c r="K1938" s="38"/>
      <c r="L1938" s="30"/>
      <c r="M1938" s="38"/>
      <c r="N1938" s="38"/>
      <c r="O1938" s="31"/>
      <c r="P1938" s="28"/>
      <c r="Q1938" s="38"/>
      <c r="R1938" s="38"/>
      <c r="S1938" s="38"/>
      <c r="T1938" s="38"/>
      <c r="U1938" s="38"/>
      <c r="V1938" s="38"/>
      <c r="Y1938" s="38"/>
      <c r="Z1938" s="38"/>
      <c r="AF1938" s="38"/>
      <c r="AK1938" s="14"/>
      <c r="AO1938" s="28"/>
    </row>
    <row r="1939" spans="1:41" ht="12.5">
      <c r="A1939" s="28"/>
      <c r="B1939" s="37"/>
      <c r="C1939" s="29"/>
      <c r="D1939" s="38"/>
      <c r="E1939" s="38"/>
      <c r="G1939" s="38"/>
      <c r="H1939" s="38"/>
      <c r="I1939" s="38"/>
      <c r="J1939" s="38"/>
      <c r="K1939" s="38"/>
      <c r="L1939" s="30"/>
      <c r="M1939" s="38"/>
      <c r="N1939" s="38"/>
      <c r="O1939" s="31"/>
      <c r="P1939" s="28"/>
      <c r="Q1939" s="38"/>
      <c r="R1939" s="38"/>
      <c r="S1939" s="38"/>
      <c r="T1939" s="38"/>
      <c r="U1939" s="38"/>
      <c r="V1939" s="38"/>
      <c r="Y1939" s="38"/>
      <c r="Z1939" s="38"/>
      <c r="AF1939" s="38"/>
      <c r="AK1939" s="14"/>
      <c r="AO1939" s="28"/>
    </row>
    <row r="1940" spans="1:41" ht="12.5">
      <c r="A1940" s="28"/>
      <c r="B1940" s="37"/>
      <c r="C1940" s="29"/>
      <c r="D1940" s="38"/>
      <c r="E1940" s="38"/>
      <c r="G1940" s="38"/>
      <c r="H1940" s="38"/>
      <c r="I1940" s="38"/>
      <c r="J1940" s="38"/>
      <c r="K1940" s="38"/>
      <c r="L1940" s="30"/>
      <c r="M1940" s="38"/>
      <c r="N1940" s="38"/>
      <c r="O1940" s="31"/>
      <c r="P1940" s="28"/>
      <c r="Q1940" s="38"/>
      <c r="R1940" s="38"/>
      <c r="S1940" s="38"/>
      <c r="T1940" s="38"/>
      <c r="U1940" s="38"/>
      <c r="V1940" s="38"/>
      <c r="Y1940" s="38"/>
      <c r="Z1940" s="38"/>
      <c r="AF1940" s="38"/>
      <c r="AK1940" s="14"/>
      <c r="AO1940" s="28"/>
    </row>
    <row r="1941" spans="1:41" ht="12.5">
      <c r="A1941" s="28"/>
      <c r="B1941" s="37"/>
      <c r="C1941" s="29"/>
      <c r="D1941" s="38"/>
      <c r="E1941" s="38"/>
      <c r="G1941" s="38"/>
      <c r="H1941" s="38"/>
      <c r="I1941" s="38"/>
      <c r="J1941" s="38"/>
      <c r="K1941" s="38"/>
      <c r="L1941" s="30"/>
      <c r="M1941" s="38"/>
      <c r="N1941" s="38"/>
      <c r="O1941" s="31"/>
      <c r="P1941" s="28"/>
      <c r="Q1941" s="38"/>
      <c r="R1941" s="38"/>
      <c r="S1941" s="38"/>
      <c r="T1941" s="38"/>
      <c r="U1941" s="38"/>
      <c r="V1941" s="38"/>
      <c r="Y1941" s="38"/>
      <c r="Z1941" s="38"/>
      <c r="AF1941" s="38"/>
      <c r="AK1941" s="14"/>
      <c r="AO1941" s="28"/>
    </row>
    <row r="1942" spans="1:41" ht="12.5">
      <c r="A1942" s="28"/>
      <c r="B1942" s="37"/>
      <c r="C1942" s="29"/>
      <c r="D1942" s="38"/>
      <c r="E1942" s="38"/>
      <c r="G1942" s="38"/>
      <c r="H1942" s="38"/>
      <c r="I1942" s="38"/>
      <c r="J1942" s="38"/>
      <c r="K1942" s="38"/>
      <c r="L1942" s="30"/>
      <c r="M1942" s="38"/>
      <c r="N1942" s="38"/>
      <c r="O1942" s="31"/>
      <c r="P1942" s="28"/>
      <c r="Q1942" s="38"/>
      <c r="R1942" s="38"/>
      <c r="S1942" s="38"/>
      <c r="T1942" s="38"/>
      <c r="U1942" s="38"/>
      <c r="V1942" s="38"/>
      <c r="Y1942" s="38"/>
      <c r="Z1942" s="38"/>
      <c r="AF1942" s="38"/>
      <c r="AK1942" s="14"/>
      <c r="AO1942" s="28"/>
    </row>
    <row r="1943" spans="1:41" ht="12.5">
      <c r="A1943" s="28"/>
      <c r="B1943" s="37"/>
      <c r="C1943" s="29"/>
      <c r="D1943" s="38"/>
      <c r="E1943" s="38"/>
      <c r="G1943" s="38"/>
      <c r="H1943" s="38"/>
      <c r="I1943" s="38"/>
      <c r="J1943" s="38"/>
      <c r="K1943" s="38"/>
      <c r="L1943" s="30"/>
      <c r="M1943" s="38"/>
      <c r="N1943" s="38"/>
      <c r="O1943" s="31"/>
      <c r="P1943" s="28"/>
      <c r="Q1943" s="38"/>
      <c r="R1943" s="38"/>
      <c r="S1943" s="38"/>
      <c r="T1943" s="38"/>
      <c r="U1943" s="38"/>
      <c r="V1943" s="38"/>
      <c r="Y1943" s="38"/>
      <c r="Z1943" s="38"/>
      <c r="AF1943" s="38"/>
      <c r="AK1943" s="14"/>
      <c r="AO1943" s="28"/>
    </row>
    <row r="1944" spans="1:41" ht="12.5">
      <c r="A1944" s="28"/>
      <c r="B1944" s="37"/>
      <c r="C1944" s="29"/>
      <c r="D1944" s="38"/>
      <c r="E1944" s="38"/>
      <c r="G1944" s="38"/>
      <c r="H1944" s="38"/>
      <c r="I1944" s="38"/>
      <c r="J1944" s="38"/>
      <c r="K1944" s="38"/>
      <c r="L1944" s="30"/>
      <c r="M1944" s="38"/>
      <c r="N1944" s="38"/>
      <c r="O1944" s="31"/>
      <c r="P1944" s="28"/>
      <c r="Q1944" s="38"/>
      <c r="R1944" s="38"/>
      <c r="S1944" s="38"/>
      <c r="T1944" s="38"/>
      <c r="U1944" s="38"/>
      <c r="V1944" s="38"/>
      <c r="Y1944" s="38"/>
      <c r="Z1944" s="38"/>
      <c r="AF1944" s="38"/>
      <c r="AK1944" s="14"/>
      <c r="AO1944" s="28"/>
    </row>
    <row r="1945" spans="1:41" ht="12.5">
      <c r="A1945" s="28"/>
      <c r="B1945" s="37"/>
      <c r="C1945" s="29"/>
      <c r="D1945" s="38"/>
      <c r="E1945" s="38"/>
      <c r="G1945" s="38"/>
      <c r="H1945" s="38"/>
      <c r="I1945" s="38"/>
      <c r="J1945" s="38"/>
      <c r="K1945" s="38"/>
      <c r="L1945" s="30"/>
      <c r="M1945" s="38"/>
      <c r="N1945" s="38"/>
      <c r="O1945" s="31"/>
      <c r="P1945" s="28"/>
      <c r="Q1945" s="38"/>
      <c r="R1945" s="38"/>
      <c r="S1945" s="38"/>
      <c r="T1945" s="38"/>
      <c r="U1945" s="38"/>
      <c r="V1945" s="38"/>
      <c r="Y1945" s="38"/>
      <c r="Z1945" s="38"/>
      <c r="AF1945" s="38"/>
      <c r="AK1945" s="14"/>
      <c r="AO1945" s="28"/>
    </row>
    <row r="1946" spans="1:41" ht="12.5">
      <c r="A1946" s="28"/>
      <c r="B1946" s="37"/>
      <c r="C1946" s="29"/>
      <c r="D1946" s="38"/>
      <c r="E1946" s="38"/>
      <c r="G1946" s="38"/>
      <c r="H1946" s="38"/>
      <c r="I1946" s="38"/>
      <c r="J1946" s="38"/>
      <c r="K1946" s="38"/>
      <c r="L1946" s="30"/>
      <c r="M1946" s="38"/>
      <c r="N1946" s="38"/>
      <c r="O1946" s="31"/>
      <c r="P1946" s="28"/>
      <c r="Q1946" s="38"/>
      <c r="R1946" s="38"/>
      <c r="S1946" s="38"/>
      <c r="T1946" s="38"/>
      <c r="U1946" s="38"/>
      <c r="V1946" s="38"/>
      <c r="Y1946" s="38"/>
      <c r="Z1946" s="38"/>
      <c r="AF1946" s="38"/>
      <c r="AK1946" s="14"/>
      <c r="AO1946" s="28"/>
    </row>
    <row r="1947" spans="1:41" ht="12.5">
      <c r="A1947" s="28"/>
      <c r="B1947" s="37"/>
      <c r="C1947" s="29"/>
      <c r="D1947" s="38"/>
      <c r="E1947" s="38"/>
      <c r="G1947" s="38"/>
      <c r="H1947" s="38"/>
      <c r="I1947" s="38"/>
      <c r="J1947" s="38"/>
      <c r="K1947" s="38"/>
      <c r="L1947" s="30"/>
      <c r="M1947" s="38"/>
      <c r="N1947" s="38"/>
      <c r="O1947" s="31"/>
      <c r="P1947" s="28"/>
      <c r="Q1947" s="38"/>
      <c r="R1947" s="38"/>
      <c r="S1947" s="38"/>
      <c r="T1947" s="38"/>
      <c r="U1947" s="38"/>
      <c r="V1947" s="38"/>
      <c r="Y1947" s="38"/>
      <c r="Z1947" s="38"/>
      <c r="AF1947" s="38"/>
      <c r="AK1947" s="14"/>
      <c r="AO1947" s="28"/>
    </row>
    <row r="1948" spans="1:41" ht="12.5">
      <c r="A1948" s="28"/>
      <c r="B1948" s="37"/>
      <c r="C1948" s="29"/>
      <c r="D1948" s="38"/>
      <c r="E1948" s="38"/>
      <c r="G1948" s="38"/>
      <c r="H1948" s="38"/>
      <c r="I1948" s="38"/>
      <c r="J1948" s="38"/>
      <c r="K1948" s="38"/>
      <c r="L1948" s="30"/>
      <c r="M1948" s="38"/>
      <c r="N1948" s="38"/>
      <c r="O1948" s="31"/>
      <c r="P1948" s="28"/>
      <c r="Q1948" s="38"/>
      <c r="R1948" s="38"/>
      <c r="S1948" s="38"/>
      <c r="T1948" s="38"/>
      <c r="U1948" s="38"/>
      <c r="V1948" s="38"/>
      <c r="Y1948" s="38"/>
      <c r="Z1948" s="38"/>
      <c r="AF1948" s="38"/>
      <c r="AK1948" s="14"/>
      <c r="AO1948" s="28"/>
    </row>
    <row r="1949" spans="1:41" ht="12.5">
      <c r="A1949" s="28"/>
      <c r="B1949" s="37"/>
      <c r="C1949" s="29"/>
      <c r="D1949" s="38"/>
      <c r="E1949" s="38"/>
      <c r="G1949" s="38"/>
      <c r="H1949" s="38"/>
      <c r="I1949" s="38"/>
      <c r="J1949" s="38"/>
      <c r="K1949" s="38"/>
      <c r="L1949" s="30"/>
      <c r="M1949" s="38"/>
      <c r="N1949" s="38"/>
      <c r="O1949" s="31"/>
      <c r="P1949" s="28"/>
      <c r="Q1949" s="38"/>
      <c r="R1949" s="38"/>
      <c r="S1949" s="38"/>
      <c r="T1949" s="38"/>
      <c r="U1949" s="38"/>
      <c r="V1949" s="38"/>
      <c r="Y1949" s="38"/>
      <c r="Z1949" s="38"/>
      <c r="AF1949" s="38"/>
      <c r="AK1949" s="14"/>
      <c r="AO1949" s="28"/>
    </row>
    <row r="1950" spans="1:41" ht="12.5">
      <c r="A1950" s="28"/>
      <c r="B1950" s="37"/>
      <c r="C1950" s="29"/>
      <c r="D1950" s="38"/>
      <c r="E1950" s="38"/>
      <c r="G1950" s="38"/>
      <c r="H1950" s="38"/>
      <c r="I1950" s="38"/>
      <c r="J1950" s="38"/>
      <c r="K1950" s="38"/>
      <c r="L1950" s="30"/>
      <c r="M1950" s="38"/>
      <c r="N1950" s="38"/>
      <c r="O1950" s="31"/>
      <c r="P1950" s="28"/>
      <c r="Q1950" s="38"/>
      <c r="R1950" s="38"/>
      <c r="S1950" s="38"/>
      <c r="T1950" s="38"/>
      <c r="U1950" s="38"/>
      <c r="V1950" s="38"/>
      <c r="Y1950" s="38"/>
      <c r="Z1950" s="38"/>
      <c r="AF1950" s="38"/>
      <c r="AK1950" s="14"/>
      <c r="AO1950" s="28"/>
    </row>
    <row r="1951" spans="1:41" ht="12.5">
      <c r="A1951" s="28"/>
      <c r="B1951" s="37"/>
      <c r="C1951" s="29"/>
      <c r="D1951" s="38"/>
      <c r="E1951" s="38"/>
      <c r="G1951" s="38"/>
      <c r="H1951" s="38"/>
      <c r="I1951" s="38"/>
      <c r="J1951" s="38"/>
      <c r="K1951" s="38"/>
      <c r="L1951" s="30"/>
      <c r="M1951" s="38"/>
      <c r="N1951" s="38"/>
      <c r="O1951" s="31"/>
      <c r="P1951" s="28"/>
      <c r="Q1951" s="38"/>
      <c r="R1951" s="38"/>
      <c r="S1951" s="38"/>
      <c r="T1951" s="38"/>
      <c r="U1951" s="38"/>
      <c r="V1951" s="38"/>
      <c r="Y1951" s="38"/>
      <c r="Z1951" s="38"/>
      <c r="AF1951" s="38"/>
      <c r="AK1951" s="14"/>
      <c r="AO1951" s="28"/>
    </row>
    <row r="1952" spans="1:41" ht="12.5">
      <c r="A1952" s="28"/>
      <c r="B1952" s="37"/>
      <c r="C1952" s="29"/>
      <c r="D1952" s="38"/>
      <c r="E1952" s="38"/>
      <c r="G1952" s="38"/>
      <c r="H1952" s="38"/>
      <c r="I1952" s="38"/>
      <c r="J1952" s="38"/>
      <c r="K1952" s="38"/>
      <c r="L1952" s="30"/>
      <c r="M1952" s="38"/>
      <c r="N1952" s="38"/>
      <c r="O1952" s="31"/>
      <c r="P1952" s="28"/>
      <c r="Q1952" s="38"/>
      <c r="R1952" s="38"/>
      <c r="S1952" s="38"/>
      <c r="T1952" s="38"/>
      <c r="U1952" s="38"/>
      <c r="V1952" s="38"/>
      <c r="Y1952" s="38"/>
      <c r="Z1952" s="38"/>
      <c r="AF1952" s="38"/>
      <c r="AK1952" s="14"/>
      <c r="AO1952" s="28"/>
    </row>
    <row r="1953" spans="1:41" ht="12.5">
      <c r="A1953" s="28"/>
      <c r="B1953" s="37"/>
      <c r="C1953" s="29"/>
      <c r="D1953" s="38"/>
      <c r="E1953" s="38"/>
      <c r="G1953" s="38"/>
      <c r="H1953" s="38"/>
      <c r="I1953" s="38"/>
      <c r="J1953" s="38"/>
      <c r="K1953" s="38"/>
      <c r="L1953" s="30"/>
      <c r="M1953" s="38"/>
      <c r="N1953" s="38"/>
      <c r="O1953" s="31"/>
      <c r="P1953" s="28"/>
      <c r="Q1953" s="38"/>
      <c r="R1953" s="38"/>
      <c r="S1953" s="38"/>
      <c r="T1953" s="38"/>
      <c r="U1953" s="38"/>
      <c r="V1953" s="38"/>
      <c r="Y1953" s="38"/>
      <c r="Z1953" s="38"/>
      <c r="AF1953" s="38"/>
      <c r="AK1953" s="14"/>
      <c r="AO1953" s="28"/>
    </row>
    <row r="1954" spans="1:41" ht="12.5">
      <c r="A1954" s="28"/>
      <c r="B1954" s="37"/>
      <c r="C1954" s="29"/>
      <c r="D1954" s="38"/>
      <c r="E1954" s="38"/>
      <c r="G1954" s="38"/>
      <c r="H1954" s="38"/>
      <c r="I1954" s="38"/>
      <c r="J1954" s="38"/>
      <c r="K1954" s="38"/>
      <c r="L1954" s="30"/>
      <c r="M1954" s="38"/>
      <c r="N1954" s="38"/>
      <c r="O1954" s="31"/>
      <c r="P1954" s="28"/>
      <c r="Q1954" s="38"/>
      <c r="R1954" s="38"/>
      <c r="S1954" s="38"/>
      <c r="T1954" s="38"/>
      <c r="U1954" s="38"/>
      <c r="V1954" s="38"/>
      <c r="Y1954" s="38"/>
      <c r="Z1954" s="38"/>
      <c r="AF1954" s="38"/>
      <c r="AK1954" s="14"/>
      <c r="AO1954" s="28"/>
    </row>
    <row r="1955" spans="1:41" ht="12.5">
      <c r="A1955" s="28"/>
      <c r="B1955" s="37"/>
      <c r="C1955" s="29"/>
      <c r="D1955" s="38"/>
      <c r="E1955" s="38"/>
      <c r="G1955" s="38"/>
      <c r="H1955" s="38"/>
      <c r="I1955" s="38"/>
      <c r="J1955" s="38"/>
      <c r="K1955" s="38"/>
      <c r="L1955" s="30"/>
      <c r="M1955" s="38"/>
      <c r="N1955" s="38"/>
      <c r="O1955" s="31"/>
      <c r="P1955" s="28"/>
      <c r="Q1955" s="38"/>
      <c r="R1955" s="38"/>
      <c r="S1955" s="38"/>
      <c r="T1955" s="38"/>
      <c r="U1955" s="38"/>
      <c r="V1955" s="38"/>
      <c r="Y1955" s="38"/>
      <c r="Z1955" s="38"/>
      <c r="AF1955" s="38"/>
      <c r="AK1955" s="14"/>
      <c r="AO1955" s="28"/>
    </row>
    <row r="1956" spans="1:41" ht="12.5">
      <c r="A1956" s="28"/>
      <c r="B1956" s="37"/>
      <c r="C1956" s="29"/>
      <c r="D1956" s="38"/>
      <c r="E1956" s="38"/>
      <c r="G1956" s="38"/>
      <c r="H1956" s="38"/>
      <c r="I1956" s="38"/>
      <c r="J1956" s="38"/>
      <c r="K1956" s="38"/>
      <c r="L1956" s="30"/>
      <c r="M1956" s="38"/>
      <c r="N1956" s="38"/>
      <c r="O1956" s="31"/>
      <c r="P1956" s="28"/>
      <c r="Q1956" s="38"/>
      <c r="R1956" s="38"/>
      <c r="S1956" s="38"/>
      <c r="T1956" s="38"/>
      <c r="U1956" s="38"/>
      <c r="V1956" s="38"/>
      <c r="Y1956" s="38"/>
      <c r="Z1956" s="38"/>
      <c r="AF1956" s="38"/>
      <c r="AK1956" s="14"/>
      <c r="AO1956" s="28"/>
    </row>
    <row r="1957" spans="1:41" ht="12.5">
      <c r="A1957" s="28"/>
      <c r="B1957" s="37"/>
      <c r="C1957" s="29"/>
      <c r="D1957" s="38"/>
      <c r="E1957" s="38"/>
      <c r="G1957" s="38"/>
      <c r="H1957" s="38"/>
      <c r="I1957" s="38"/>
      <c r="J1957" s="38"/>
      <c r="K1957" s="38"/>
      <c r="L1957" s="30"/>
      <c r="M1957" s="38"/>
      <c r="N1957" s="38"/>
      <c r="O1957" s="31"/>
      <c r="P1957" s="28"/>
      <c r="Q1957" s="38"/>
      <c r="R1957" s="38"/>
      <c r="S1957" s="38"/>
      <c r="T1957" s="38"/>
      <c r="U1957" s="38"/>
      <c r="V1957" s="38"/>
      <c r="Y1957" s="38"/>
      <c r="Z1957" s="38"/>
      <c r="AF1957" s="38"/>
      <c r="AK1957" s="14"/>
      <c r="AO1957" s="28"/>
    </row>
    <row r="1958" spans="1:41" ht="12.5">
      <c r="A1958" s="28"/>
      <c r="B1958" s="37"/>
      <c r="C1958" s="29"/>
      <c r="D1958" s="38"/>
      <c r="E1958" s="38"/>
      <c r="G1958" s="38"/>
      <c r="H1958" s="38"/>
      <c r="I1958" s="38"/>
      <c r="J1958" s="38"/>
      <c r="K1958" s="38"/>
      <c r="L1958" s="30"/>
      <c r="M1958" s="38"/>
      <c r="N1958" s="38"/>
      <c r="O1958" s="31"/>
      <c r="P1958" s="28"/>
      <c r="Q1958" s="38"/>
      <c r="R1958" s="38"/>
      <c r="S1958" s="38"/>
      <c r="T1958" s="38"/>
      <c r="U1958" s="38"/>
      <c r="V1958" s="38"/>
      <c r="Y1958" s="38"/>
      <c r="Z1958" s="38"/>
      <c r="AF1958" s="38"/>
      <c r="AK1958" s="14"/>
      <c r="AO1958" s="28"/>
    </row>
    <row r="1959" spans="1:41" ht="12.5">
      <c r="A1959" s="28"/>
      <c r="B1959" s="37"/>
      <c r="C1959" s="29"/>
      <c r="D1959" s="38"/>
      <c r="E1959" s="38"/>
      <c r="G1959" s="38"/>
      <c r="H1959" s="38"/>
      <c r="I1959" s="38"/>
      <c r="J1959" s="38"/>
      <c r="K1959" s="38"/>
      <c r="L1959" s="30"/>
      <c r="M1959" s="38"/>
      <c r="N1959" s="38"/>
      <c r="O1959" s="31"/>
      <c r="P1959" s="28"/>
      <c r="Q1959" s="38"/>
      <c r="R1959" s="38"/>
      <c r="S1959" s="38"/>
      <c r="T1959" s="38"/>
      <c r="U1959" s="38"/>
      <c r="V1959" s="38"/>
      <c r="Y1959" s="38"/>
      <c r="Z1959" s="38"/>
      <c r="AF1959" s="38"/>
      <c r="AK1959" s="14"/>
      <c r="AO1959" s="28"/>
    </row>
    <row r="1960" spans="1:41" ht="12.5">
      <c r="A1960" s="28"/>
      <c r="B1960" s="37"/>
      <c r="C1960" s="29"/>
      <c r="D1960" s="38"/>
      <c r="E1960" s="38"/>
      <c r="G1960" s="38"/>
      <c r="H1960" s="38"/>
      <c r="I1960" s="38"/>
      <c r="J1960" s="38"/>
      <c r="K1960" s="38"/>
      <c r="L1960" s="30"/>
      <c r="M1960" s="38"/>
      <c r="N1960" s="38"/>
      <c r="O1960" s="31"/>
      <c r="P1960" s="28"/>
      <c r="Q1960" s="38"/>
      <c r="R1960" s="38"/>
      <c r="S1960" s="38"/>
      <c r="T1960" s="38"/>
      <c r="U1960" s="38"/>
      <c r="V1960" s="38"/>
      <c r="Y1960" s="38"/>
      <c r="Z1960" s="38"/>
      <c r="AF1960" s="38"/>
      <c r="AK1960" s="14"/>
      <c r="AO1960" s="28"/>
    </row>
    <row r="1961" spans="1:41" ht="12.5">
      <c r="A1961" s="28"/>
      <c r="B1961" s="37"/>
      <c r="C1961" s="29"/>
      <c r="D1961" s="38"/>
      <c r="E1961" s="38"/>
      <c r="G1961" s="38"/>
      <c r="H1961" s="38"/>
      <c r="I1961" s="38"/>
      <c r="J1961" s="38"/>
      <c r="K1961" s="38"/>
      <c r="L1961" s="30"/>
      <c r="M1961" s="38"/>
      <c r="N1961" s="38"/>
      <c r="O1961" s="31"/>
      <c r="P1961" s="28"/>
      <c r="Q1961" s="38"/>
      <c r="R1961" s="38"/>
      <c r="S1961" s="38"/>
      <c r="T1961" s="38"/>
      <c r="U1961" s="38"/>
      <c r="V1961" s="38"/>
      <c r="Y1961" s="38"/>
      <c r="Z1961" s="38"/>
      <c r="AF1961" s="38"/>
      <c r="AK1961" s="14"/>
      <c r="AO1961" s="28"/>
    </row>
    <row r="1962" spans="1:41" ht="12.5">
      <c r="A1962" s="28"/>
      <c r="B1962" s="37"/>
      <c r="C1962" s="29"/>
      <c r="D1962" s="38"/>
      <c r="E1962" s="38"/>
      <c r="G1962" s="38"/>
      <c r="H1962" s="38"/>
      <c r="I1962" s="38"/>
      <c r="J1962" s="38"/>
      <c r="K1962" s="38"/>
      <c r="L1962" s="30"/>
      <c r="M1962" s="38"/>
      <c r="N1962" s="38"/>
      <c r="O1962" s="31"/>
      <c r="P1962" s="28"/>
      <c r="Q1962" s="38"/>
      <c r="R1962" s="38"/>
      <c r="S1962" s="38"/>
      <c r="T1962" s="38"/>
      <c r="U1962" s="38"/>
      <c r="V1962" s="38"/>
      <c r="Y1962" s="38"/>
      <c r="Z1962" s="38"/>
      <c r="AF1962" s="38"/>
      <c r="AK1962" s="14"/>
      <c r="AO1962" s="28"/>
    </row>
    <row r="1963" spans="1:41" ht="12.5">
      <c r="A1963" s="28"/>
      <c r="B1963" s="37"/>
      <c r="C1963" s="29"/>
      <c r="D1963" s="38"/>
      <c r="E1963" s="38"/>
      <c r="G1963" s="38"/>
      <c r="H1963" s="38"/>
      <c r="I1963" s="38"/>
      <c r="J1963" s="38"/>
      <c r="K1963" s="38"/>
      <c r="L1963" s="30"/>
      <c r="M1963" s="38"/>
      <c r="N1963" s="38"/>
      <c r="O1963" s="31"/>
      <c r="P1963" s="28"/>
      <c r="Q1963" s="38"/>
      <c r="R1963" s="38"/>
      <c r="S1963" s="38"/>
      <c r="T1963" s="38"/>
      <c r="U1963" s="38"/>
      <c r="V1963" s="38"/>
      <c r="Y1963" s="38"/>
      <c r="Z1963" s="38"/>
      <c r="AF1963" s="38"/>
      <c r="AK1963" s="14"/>
      <c r="AO1963" s="28"/>
    </row>
    <row r="1964" spans="1:41" ht="12.5">
      <c r="A1964" s="28"/>
      <c r="B1964" s="37"/>
      <c r="C1964" s="29"/>
      <c r="D1964" s="38"/>
      <c r="E1964" s="38"/>
      <c r="G1964" s="38"/>
      <c r="H1964" s="38"/>
      <c r="I1964" s="38"/>
      <c r="J1964" s="38"/>
      <c r="K1964" s="38"/>
      <c r="L1964" s="30"/>
      <c r="M1964" s="38"/>
      <c r="N1964" s="38"/>
      <c r="O1964" s="31"/>
      <c r="P1964" s="28"/>
      <c r="Q1964" s="38"/>
      <c r="R1964" s="38"/>
      <c r="S1964" s="38"/>
      <c r="T1964" s="38"/>
      <c r="U1964" s="38"/>
      <c r="V1964" s="38"/>
      <c r="Y1964" s="38"/>
      <c r="Z1964" s="38"/>
      <c r="AF1964" s="38"/>
      <c r="AK1964" s="14"/>
      <c r="AO1964" s="28"/>
    </row>
    <row r="1965" spans="1:41" ht="12.5">
      <c r="A1965" s="28"/>
      <c r="B1965" s="37"/>
      <c r="C1965" s="29"/>
      <c r="D1965" s="38"/>
      <c r="E1965" s="38"/>
      <c r="G1965" s="38"/>
      <c r="H1965" s="38"/>
      <c r="I1965" s="38"/>
      <c r="J1965" s="38"/>
      <c r="K1965" s="38"/>
      <c r="L1965" s="30"/>
      <c r="M1965" s="38"/>
      <c r="N1965" s="38"/>
      <c r="O1965" s="31"/>
      <c r="P1965" s="28"/>
      <c r="Q1965" s="38"/>
      <c r="R1965" s="38"/>
      <c r="S1965" s="38"/>
      <c r="T1965" s="38"/>
      <c r="U1965" s="38"/>
      <c r="V1965" s="38"/>
      <c r="Y1965" s="38"/>
      <c r="Z1965" s="38"/>
      <c r="AF1965" s="38"/>
      <c r="AK1965" s="14"/>
      <c r="AO1965" s="28"/>
    </row>
    <row r="1966" spans="1:41" ht="12.5">
      <c r="A1966" s="28"/>
      <c r="B1966" s="37"/>
      <c r="C1966" s="29"/>
      <c r="D1966" s="38"/>
      <c r="E1966" s="38"/>
      <c r="G1966" s="38"/>
      <c r="H1966" s="38"/>
      <c r="I1966" s="38"/>
      <c r="J1966" s="38"/>
      <c r="K1966" s="38"/>
      <c r="L1966" s="30"/>
      <c r="M1966" s="38"/>
      <c r="N1966" s="38"/>
      <c r="O1966" s="31"/>
      <c r="P1966" s="28"/>
      <c r="Q1966" s="38"/>
      <c r="R1966" s="38"/>
      <c r="S1966" s="38"/>
      <c r="T1966" s="38"/>
      <c r="U1966" s="38"/>
      <c r="V1966" s="38"/>
      <c r="Y1966" s="38"/>
      <c r="Z1966" s="38"/>
      <c r="AF1966" s="38"/>
      <c r="AK1966" s="14"/>
      <c r="AO1966" s="28"/>
    </row>
    <row r="1967" spans="1:41" ht="12.5">
      <c r="A1967" s="28"/>
      <c r="B1967" s="37"/>
      <c r="C1967" s="29"/>
      <c r="D1967" s="38"/>
      <c r="E1967" s="38"/>
      <c r="G1967" s="38"/>
      <c r="H1967" s="38"/>
      <c r="I1967" s="38"/>
      <c r="J1967" s="38"/>
      <c r="K1967" s="38"/>
      <c r="L1967" s="30"/>
      <c r="M1967" s="38"/>
      <c r="N1967" s="38"/>
      <c r="O1967" s="31"/>
      <c r="P1967" s="28"/>
      <c r="Q1967" s="38"/>
      <c r="R1967" s="38"/>
      <c r="S1967" s="38"/>
      <c r="T1967" s="38"/>
      <c r="U1967" s="38"/>
      <c r="V1967" s="38"/>
      <c r="Y1967" s="38"/>
      <c r="Z1967" s="38"/>
      <c r="AF1967" s="38"/>
      <c r="AK1967" s="14"/>
      <c r="AO1967" s="28"/>
    </row>
    <row r="1968" spans="1:41" ht="12.5">
      <c r="A1968" s="28"/>
      <c r="B1968" s="37"/>
      <c r="C1968" s="29"/>
      <c r="D1968" s="38"/>
      <c r="E1968" s="38"/>
      <c r="G1968" s="38"/>
      <c r="H1968" s="38"/>
      <c r="I1968" s="38"/>
      <c r="J1968" s="38"/>
      <c r="K1968" s="38"/>
      <c r="L1968" s="30"/>
      <c r="M1968" s="38"/>
      <c r="N1968" s="38"/>
      <c r="O1968" s="31"/>
      <c r="P1968" s="28"/>
      <c r="Q1968" s="38"/>
      <c r="R1968" s="38"/>
      <c r="S1968" s="38"/>
      <c r="T1968" s="38"/>
      <c r="U1968" s="38"/>
      <c r="V1968" s="38"/>
      <c r="Y1968" s="38"/>
      <c r="Z1968" s="38"/>
      <c r="AF1968" s="38"/>
      <c r="AK1968" s="14"/>
      <c r="AO1968" s="28"/>
    </row>
    <row r="1969" spans="1:41" ht="12.5">
      <c r="A1969" s="28"/>
      <c r="B1969" s="37"/>
      <c r="C1969" s="29"/>
      <c r="D1969" s="38"/>
      <c r="E1969" s="38"/>
      <c r="G1969" s="38"/>
      <c r="H1969" s="38"/>
      <c r="I1969" s="38"/>
      <c r="J1969" s="38"/>
      <c r="K1969" s="38"/>
      <c r="L1969" s="30"/>
      <c r="M1969" s="38"/>
      <c r="N1969" s="38"/>
      <c r="O1969" s="31"/>
      <c r="P1969" s="28"/>
      <c r="Q1969" s="38"/>
      <c r="R1969" s="38"/>
      <c r="S1969" s="38"/>
      <c r="T1969" s="38"/>
      <c r="U1969" s="38"/>
      <c r="V1969" s="38"/>
      <c r="Y1969" s="38"/>
      <c r="Z1969" s="38"/>
      <c r="AF1969" s="38"/>
      <c r="AK1969" s="14"/>
      <c r="AO1969" s="28"/>
    </row>
    <row r="1970" spans="1:41" ht="12.5">
      <c r="A1970" s="28"/>
      <c r="B1970" s="37"/>
      <c r="C1970" s="29"/>
      <c r="D1970" s="38"/>
      <c r="E1970" s="38"/>
      <c r="G1970" s="38"/>
      <c r="H1970" s="38"/>
      <c r="I1970" s="38"/>
      <c r="J1970" s="38"/>
      <c r="K1970" s="38"/>
      <c r="L1970" s="30"/>
      <c r="M1970" s="38"/>
      <c r="N1970" s="38"/>
      <c r="O1970" s="31"/>
      <c r="P1970" s="28"/>
      <c r="Q1970" s="38"/>
      <c r="R1970" s="38"/>
      <c r="S1970" s="38"/>
      <c r="T1970" s="38"/>
      <c r="U1970" s="38"/>
      <c r="V1970" s="38"/>
      <c r="Y1970" s="38"/>
      <c r="Z1970" s="38"/>
      <c r="AF1970" s="38"/>
      <c r="AK1970" s="14"/>
      <c r="AO1970" s="28"/>
    </row>
    <row r="1971" spans="1:41" ht="12.5">
      <c r="A1971" s="28"/>
      <c r="B1971" s="37"/>
      <c r="C1971" s="29"/>
      <c r="D1971" s="38"/>
      <c r="E1971" s="38"/>
      <c r="G1971" s="38"/>
      <c r="H1971" s="38"/>
      <c r="I1971" s="38"/>
      <c r="J1971" s="38"/>
      <c r="K1971" s="38"/>
      <c r="L1971" s="30"/>
      <c r="M1971" s="38"/>
      <c r="N1971" s="38"/>
      <c r="O1971" s="31"/>
      <c r="P1971" s="28"/>
      <c r="Q1971" s="38"/>
      <c r="R1971" s="38"/>
      <c r="S1971" s="38"/>
      <c r="T1971" s="38"/>
      <c r="U1971" s="38"/>
      <c r="V1971" s="38"/>
      <c r="Y1971" s="38"/>
      <c r="Z1971" s="38"/>
      <c r="AF1971" s="38"/>
      <c r="AK1971" s="14"/>
      <c r="AO1971" s="28"/>
    </row>
    <row r="1972" spans="1:41" ht="12.5">
      <c r="A1972" s="28"/>
      <c r="B1972" s="37"/>
      <c r="C1972" s="29"/>
      <c r="D1972" s="38"/>
      <c r="E1972" s="38"/>
      <c r="G1972" s="38"/>
      <c r="H1972" s="38"/>
      <c r="I1972" s="38"/>
      <c r="J1972" s="38"/>
      <c r="K1972" s="38"/>
      <c r="L1972" s="30"/>
      <c r="M1972" s="38"/>
      <c r="N1972" s="38"/>
      <c r="O1972" s="31"/>
      <c r="P1972" s="28"/>
      <c r="Q1972" s="38"/>
      <c r="R1972" s="38"/>
      <c r="S1972" s="38"/>
      <c r="T1972" s="38"/>
      <c r="U1972" s="38"/>
      <c r="V1972" s="38"/>
      <c r="Y1972" s="38"/>
      <c r="Z1972" s="38"/>
      <c r="AF1972" s="38"/>
      <c r="AK1972" s="14"/>
      <c r="AO1972" s="28"/>
    </row>
    <row r="1973" spans="1:41" ht="12.5">
      <c r="A1973" s="28"/>
      <c r="B1973" s="37"/>
      <c r="C1973" s="29"/>
      <c r="D1973" s="38"/>
      <c r="E1973" s="38"/>
      <c r="G1973" s="38"/>
      <c r="H1973" s="38"/>
      <c r="I1973" s="38"/>
      <c r="J1973" s="38"/>
      <c r="K1973" s="38"/>
      <c r="L1973" s="30"/>
      <c r="M1973" s="38"/>
      <c r="N1973" s="38"/>
      <c r="O1973" s="31"/>
      <c r="P1973" s="28"/>
      <c r="Q1973" s="38"/>
      <c r="R1973" s="38"/>
      <c r="S1973" s="38"/>
      <c r="T1973" s="38"/>
      <c r="U1973" s="38"/>
      <c r="V1973" s="38"/>
      <c r="Y1973" s="38"/>
      <c r="Z1973" s="38"/>
      <c r="AF1973" s="38"/>
      <c r="AK1973" s="14"/>
      <c r="AO1973" s="28"/>
    </row>
    <row r="1974" spans="1:41" ht="12.5">
      <c r="A1974" s="28"/>
      <c r="B1974" s="37"/>
      <c r="C1974" s="29"/>
      <c r="D1974" s="38"/>
      <c r="E1974" s="38"/>
      <c r="G1974" s="38"/>
      <c r="H1974" s="38"/>
      <c r="I1974" s="38"/>
      <c r="J1974" s="38"/>
      <c r="K1974" s="38"/>
      <c r="L1974" s="30"/>
      <c r="M1974" s="38"/>
      <c r="N1974" s="38"/>
      <c r="O1974" s="31"/>
      <c r="P1974" s="28"/>
      <c r="Q1974" s="38"/>
      <c r="R1974" s="38"/>
      <c r="S1974" s="38"/>
      <c r="T1974" s="38"/>
      <c r="U1974" s="38"/>
      <c r="V1974" s="38"/>
      <c r="Y1974" s="38"/>
      <c r="Z1974" s="38"/>
      <c r="AF1974" s="38"/>
      <c r="AK1974" s="14"/>
      <c r="AO1974" s="28"/>
    </row>
    <row r="1975" spans="1:41" ht="12.5">
      <c r="A1975" s="28"/>
      <c r="B1975" s="37"/>
      <c r="C1975" s="29"/>
      <c r="D1975" s="38"/>
      <c r="E1975" s="38"/>
      <c r="G1975" s="38"/>
      <c r="H1975" s="38"/>
      <c r="I1975" s="38"/>
      <c r="J1975" s="38"/>
      <c r="K1975" s="38"/>
      <c r="L1975" s="30"/>
      <c r="M1975" s="38"/>
      <c r="N1975" s="38"/>
      <c r="O1975" s="31"/>
      <c r="P1975" s="28"/>
      <c r="Q1975" s="38"/>
      <c r="R1975" s="38"/>
      <c r="S1975" s="38"/>
      <c r="T1975" s="38"/>
      <c r="U1975" s="38"/>
      <c r="V1975" s="38"/>
      <c r="Y1975" s="38"/>
      <c r="Z1975" s="38"/>
      <c r="AF1975" s="38"/>
      <c r="AK1975" s="14"/>
      <c r="AO1975" s="28"/>
    </row>
    <row r="1976" spans="1:41" ht="12.5">
      <c r="A1976" s="28"/>
      <c r="B1976" s="37"/>
      <c r="C1976" s="29"/>
      <c r="D1976" s="38"/>
      <c r="E1976" s="38"/>
      <c r="G1976" s="38"/>
      <c r="H1976" s="38"/>
      <c r="I1976" s="38"/>
      <c r="J1976" s="38"/>
      <c r="K1976" s="38"/>
      <c r="L1976" s="30"/>
      <c r="M1976" s="38"/>
      <c r="N1976" s="38"/>
      <c r="O1976" s="31"/>
      <c r="P1976" s="28"/>
      <c r="Q1976" s="38"/>
      <c r="R1976" s="38"/>
      <c r="S1976" s="38"/>
      <c r="T1976" s="38"/>
      <c r="U1976" s="38"/>
      <c r="V1976" s="38"/>
      <c r="Y1976" s="38"/>
      <c r="Z1976" s="38"/>
      <c r="AF1976" s="38"/>
      <c r="AK1976" s="14"/>
      <c r="AO1976" s="28"/>
    </row>
    <row r="1977" spans="1:41" ht="12.5">
      <c r="A1977" s="28"/>
      <c r="B1977" s="37"/>
      <c r="C1977" s="29"/>
      <c r="D1977" s="38"/>
      <c r="E1977" s="38"/>
      <c r="G1977" s="38"/>
      <c r="H1977" s="38"/>
      <c r="I1977" s="38"/>
      <c r="J1977" s="38"/>
      <c r="K1977" s="38"/>
      <c r="L1977" s="30"/>
      <c r="M1977" s="38"/>
      <c r="N1977" s="38"/>
      <c r="O1977" s="31"/>
      <c r="P1977" s="28"/>
      <c r="Q1977" s="38"/>
      <c r="R1977" s="38"/>
      <c r="S1977" s="38"/>
      <c r="T1977" s="38"/>
      <c r="U1977" s="38"/>
      <c r="V1977" s="38"/>
      <c r="Y1977" s="38"/>
      <c r="Z1977" s="38"/>
      <c r="AF1977" s="38"/>
      <c r="AK1977" s="14"/>
      <c r="AO1977" s="28"/>
    </row>
    <row r="1978" spans="1:41" ht="12.5">
      <c r="A1978" s="28"/>
      <c r="B1978" s="37"/>
      <c r="C1978" s="29"/>
      <c r="D1978" s="38"/>
      <c r="E1978" s="38"/>
      <c r="G1978" s="38"/>
      <c r="H1978" s="38"/>
      <c r="I1978" s="38"/>
      <c r="J1978" s="38"/>
      <c r="K1978" s="38"/>
      <c r="L1978" s="30"/>
      <c r="M1978" s="38"/>
      <c r="N1978" s="38"/>
      <c r="O1978" s="31"/>
      <c r="P1978" s="28"/>
      <c r="Q1978" s="38"/>
      <c r="R1978" s="38"/>
      <c r="S1978" s="38"/>
      <c r="T1978" s="38"/>
      <c r="U1978" s="38"/>
      <c r="V1978" s="38"/>
      <c r="Y1978" s="38"/>
      <c r="Z1978" s="38"/>
      <c r="AF1978" s="38"/>
      <c r="AK1978" s="14"/>
      <c r="AO1978" s="28"/>
    </row>
    <row r="1979" spans="1:41" ht="12.5">
      <c r="A1979" s="28"/>
      <c r="B1979" s="37"/>
      <c r="C1979" s="29"/>
      <c r="D1979" s="38"/>
      <c r="E1979" s="38"/>
      <c r="G1979" s="38"/>
      <c r="H1979" s="38"/>
      <c r="I1979" s="38"/>
      <c r="J1979" s="38"/>
      <c r="K1979" s="38"/>
      <c r="L1979" s="30"/>
      <c r="M1979" s="38"/>
      <c r="N1979" s="38"/>
      <c r="O1979" s="31"/>
      <c r="P1979" s="28"/>
      <c r="Q1979" s="38"/>
      <c r="R1979" s="38"/>
      <c r="S1979" s="38"/>
      <c r="T1979" s="38"/>
      <c r="U1979" s="38"/>
      <c r="V1979" s="38"/>
      <c r="Y1979" s="38"/>
      <c r="Z1979" s="38"/>
      <c r="AF1979" s="38"/>
      <c r="AK1979" s="14"/>
      <c r="AO1979" s="28"/>
    </row>
    <row r="1980" spans="1:41" ht="12.5">
      <c r="A1980" s="28"/>
      <c r="B1980" s="37"/>
      <c r="C1980" s="29"/>
      <c r="D1980" s="38"/>
      <c r="E1980" s="38"/>
      <c r="G1980" s="38"/>
      <c r="H1980" s="38"/>
      <c r="I1980" s="38"/>
      <c r="J1980" s="38"/>
      <c r="K1980" s="38"/>
      <c r="L1980" s="30"/>
      <c r="M1980" s="38"/>
      <c r="N1980" s="38"/>
      <c r="O1980" s="31"/>
      <c r="P1980" s="28"/>
      <c r="Q1980" s="38"/>
      <c r="R1980" s="38"/>
      <c r="S1980" s="38"/>
      <c r="T1980" s="38"/>
      <c r="U1980" s="38"/>
      <c r="V1980" s="38"/>
      <c r="Y1980" s="38"/>
      <c r="Z1980" s="38"/>
      <c r="AF1980" s="38"/>
      <c r="AK1980" s="14"/>
      <c r="AO1980" s="28"/>
    </row>
    <row r="1981" spans="1:41" ht="12.5">
      <c r="A1981" s="28"/>
      <c r="B1981" s="37"/>
      <c r="C1981" s="29"/>
      <c r="D1981" s="38"/>
      <c r="E1981" s="38"/>
      <c r="G1981" s="38"/>
      <c r="H1981" s="38"/>
      <c r="I1981" s="38"/>
      <c r="J1981" s="38"/>
      <c r="K1981" s="38"/>
      <c r="L1981" s="30"/>
      <c r="M1981" s="38"/>
      <c r="N1981" s="38"/>
      <c r="O1981" s="31"/>
      <c r="P1981" s="28"/>
      <c r="Q1981" s="38"/>
      <c r="R1981" s="38"/>
      <c r="S1981" s="38"/>
      <c r="T1981" s="38"/>
      <c r="U1981" s="38"/>
      <c r="V1981" s="38"/>
      <c r="Y1981" s="38"/>
      <c r="Z1981" s="38"/>
      <c r="AF1981" s="38"/>
      <c r="AK1981" s="14"/>
      <c r="AO1981" s="28"/>
    </row>
    <row r="1982" spans="1:41" ht="12.5">
      <c r="A1982" s="28"/>
      <c r="B1982" s="37"/>
      <c r="C1982" s="29"/>
      <c r="D1982" s="38"/>
      <c r="E1982" s="38"/>
      <c r="G1982" s="38"/>
      <c r="H1982" s="38"/>
      <c r="I1982" s="38"/>
      <c r="J1982" s="38"/>
      <c r="K1982" s="38"/>
      <c r="L1982" s="30"/>
      <c r="M1982" s="38"/>
      <c r="N1982" s="38"/>
      <c r="O1982" s="31"/>
      <c r="P1982" s="28"/>
      <c r="Q1982" s="38"/>
      <c r="R1982" s="38"/>
      <c r="S1982" s="38"/>
      <c r="T1982" s="38"/>
      <c r="U1982" s="38"/>
      <c r="V1982" s="38"/>
      <c r="Y1982" s="38"/>
      <c r="Z1982" s="38"/>
      <c r="AF1982" s="38"/>
      <c r="AK1982" s="14"/>
      <c r="AO1982" s="28"/>
    </row>
    <row r="1983" spans="1:41" ht="12.5">
      <c r="A1983" s="28"/>
      <c r="B1983" s="37"/>
      <c r="C1983" s="29"/>
      <c r="D1983" s="38"/>
      <c r="E1983" s="38"/>
      <c r="G1983" s="38"/>
      <c r="H1983" s="38"/>
      <c r="I1983" s="38"/>
      <c r="J1983" s="38"/>
      <c r="K1983" s="38"/>
      <c r="L1983" s="30"/>
      <c r="M1983" s="38"/>
      <c r="N1983" s="38"/>
      <c r="O1983" s="31"/>
      <c r="P1983" s="28"/>
      <c r="Q1983" s="38"/>
      <c r="R1983" s="38"/>
      <c r="S1983" s="38"/>
      <c r="T1983" s="38"/>
      <c r="U1983" s="38"/>
      <c r="V1983" s="38"/>
      <c r="Y1983" s="38"/>
      <c r="Z1983" s="38"/>
      <c r="AF1983" s="38"/>
      <c r="AK1983" s="14"/>
      <c r="AO1983" s="28"/>
    </row>
    <row r="1984" spans="1:41" ht="12.5">
      <c r="A1984" s="28"/>
      <c r="B1984" s="37"/>
      <c r="C1984" s="29"/>
      <c r="D1984" s="38"/>
      <c r="E1984" s="38"/>
      <c r="G1984" s="38"/>
      <c r="H1984" s="38"/>
      <c r="I1984" s="38"/>
      <c r="J1984" s="38"/>
      <c r="K1984" s="38"/>
      <c r="L1984" s="30"/>
      <c r="M1984" s="38"/>
      <c r="N1984" s="38"/>
      <c r="O1984" s="31"/>
      <c r="P1984" s="28"/>
      <c r="Q1984" s="38"/>
      <c r="R1984" s="38"/>
      <c r="S1984" s="38"/>
      <c r="T1984" s="38"/>
      <c r="U1984" s="38"/>
      <c r="V1984" s="38"/>
      <c r="Y1984" s="38"/>
      <c r="Z1984" s="38"/>
      <c r="AF1984" s="38"/>
      <c r="AK1984" s="14"/>
      <c r="AO1984" s="28"/>
    </row>
    <row r="1985" spans="1:41" ht="12.5">
      <c r="A1985" s="28"/>
      <c r="B1985" s="37"/>
      <c r="C1985" s="29"/>
      <c r="D1985" s="38"/>
      <c r="E1985" s="38"/>
      <c r="G1985" s="38"/>
      <c r="H1985" s="38"/>
      <c r="I1985" s="38"/>
      <c r="J1985" s="38"/>
      <c r="K1985" s="38"/>
      <c r="L1985" s="30"/>
      <c r="M1985" s="38"/>
      <c r="N1985" s="38"/>
      <c r="O1985" s="31"/>
      <c r="P1985" s="28"/>
      <c r="Q1985" s="38"/>
      <c r="R1985" s="38"/>
      <c r="S1985" s="38"/>
      <c r="T1985" s="38"/>
      <c r="U1985" s="38"/>
      <c r="V1985" s="38"/>
      <c r="Y1985" s="38"/>
      <c r="Z1985" s="38"/>
      <c r="AF1985" s="38"/>
      <c r="AK1985" s="14"/>
      <c r="AO1985" s="28"/>
    </row>
    <row r="1986" spans="1:41" ht="12.5">
      <c r="A1986" s="28"/>
      <c r="B1986" s="37"/>
      <c r="C1986" s="29"/>
      <c r="D1986" s="38"/>
      <c r="E1986" s="38"/>
      <c r="G1986" s="38"/>
      <c r="H1986" s="38"/>
      <c r="I1986" s="38"/>
      <c r="J1986" s="38"/>
      <c r="K1986" s="38"/>
      <c r="L1986" s="30"/>
      <c r="M1986" s="38"/>
      <c r="N1986" s="38"/>
      <c r="O1986" s="31"/>
      <c r="P1986" s="28"/>
      <c r="Q1986" s="38"/>
      <c r="R1986" s="38"/>
      <c r="S1986" s="38"/>
      <c r="T1986" s="38"/>
      <c r="U1986" s="38"/>
      <c r="V1986" s="38"/>
      <c r="Y1986" s="38"/>
      <c r="Z1986" s="38"/>
      <c r="AF1986" s="38"/>
      <c r="AK1986" s="14"/>
      <c r="AO1986" s="28"/>
    </row>
    <row r="1987" spans="1:41" ht="12.5">
      <c r="A1987" s="28"/>
      <c r="B1987" s="37"/>
      <c r="C1987" s="29"/>
      <c r="D1987" s="38"/>
      <c r="E1987" s="38"/>
      <c r="G1987" s="38"/>
      <c r="H1987" s="38"/>
      <c r="I1987" s="38"/>
      <c r="J1987" s="38"/>
      <c r="K1987" s="38"/>
      <c r="L1987" s="30"/>
      <c r="M1987" s="38"/>
      <c r="N1987" s="38"/>
      <c r="O1987" s="31"/>
      <c r="P1987" s="28"/>
      <c r="Q1987" s="38"/>
      <c r="R1987" s="38"/>
      <c r="S1987" s="38"/>
      <c r="T1987" s="38"/>
      <c r="U1987" s="38"/>
      <c r="V1987" s="38"/>
      <c r="Y1987" s="38"/>
      <c r="Z1987" s="38"/>
      <c r="AF1987" s="38"/>
      <c r="AK1987" s="14"/>
      <c r="AO1987" s="28"/>
    </row>
    <row r="1988" spans="1:41" ht="12.5">
      <c r="A1988" s="28"/>
      <c r="B1988" s="37"/>
      <c r="C1988" s="29"/>
      <c r="D1988" s="38"/>
      <c r="E1988" s="38"/>
      <c r="G1988" s="38"/>
      <c r="H1988" s="38"/>
      <c r="I1988" s="38"/>
      <c r="J1988" s="38"/>
      <c r="K1988" s="38"/>
      <c r="L1988" s="30"/>
      <c r="M1988" s="38"/>
      <c r="N1988" s="38"/>
      <c r="O1988" s="31"/>
      <c r="P1988" s="28"/>
      <c r="Q1988" s="38"/>
      <c r="R1988" s="38"/>
      <c r="S1988" s="38"/>
      <c r="T1988" s="38"/>
      <c r="U1988" s="38"/>
      <c r="V1988" s="38"/>
      <c r="Y1988" s="38"/>
      <c r="Z1988" s="38"/>
      <c r="AF1988" s="38"/>
      <c r="AK1988" s="14"/>
      <c r="AO1988" s="28"/>
    </row>
    <row r="1989" spans="1:41" ht="12.5">
      <c r="A1989" s="28"/>
      <c r="B1989" s="37"/>
      <c r="C1989" s="29"/>
      <c r="D1989" s="38"/>
      <c r="E1989" s="38"/>
      <c r="G1989" s="38"/>
      <c r="H1989" s="38"/>
      <c r="I1989" s="38"/>
      <c r="J1989" s="38"/>
      <c r="K1989" s="38"/>
      <c r="L1989" s="30"/>
      <c r="M1989" s="38"/>
      <c r="N1989" s="38"/>
      <c r="O1989" s="31"/>
      <c r="P1989" s="28"/>
      <c r="Q1989" s="38"/>
      <c r="R1989" s="38"/>
      <c r="S1989" s="38"/>
      <c r="T1989" s="38"/>
      <c r="U1989" s="38"/>
      <c r="V1989" s="38"/>
      <c r="Y1989" s="38"/>
      <c r="Z1989" s="38"/>
      <c r="AF1989" s="38"/>
      <c r="AK1989" s="14"/>
      <c r="AO1989" s="28"/>
    </row>
    <row r="1990" spans="1:41" ht="12.5">
      <c r="A1990" s="28"/>
      <c r="B1990" s="37"/>
      <c r="C1990" s="29"/>
      <c r="D1990" s="38"/>
      <c r="E1990" s="38"/>
      <c r="G1990" s="38"/>
      <c r="H1990" s="38"/>
      <c r="I1990" s="38"/>
      <c r="J1990" s="38"/>
      <c r="K1990" s="38"/>
      <c r="L1990" s="30"/>
      <c r="M1990" s="38"/>
      <c r="N1990" s="38"/>
      <c r="O1990" s="31"/>
      <c r="P1990" s="28"/>
      <c r="Q1990" s="38"/>
      <c r="R1990" s="38"/>
      <c r="S1990" s="38"/>
      <c r="T1990" s="38"/>
      <c r="U1990" s="38"/>
      <c r="V1990" s="38"/>
      <c r="Y1990" s="38"/>
      <c r="Z1990" s="38"/>
      <c r="AF1990" s="38"/>
      <c r="AK1990" s="14"/>
      <c r="AO1990" s="28"/>
    </row>
    <row r="1991" spans="1:41" ht="12.5">
      <c r="A1991" s="28"/>
      <c r="B1991" s="37"/>
      <c r="C1991" s="29"/>
      <c r="D1991" s="38"/>
      <c r="E1991" s="38"/>
      <c r="G1991" s="38"/>
      <c r="H1991" s="38"/>
      <c r="I1991" s="38"/>
      <c r="J1991" s="38"/>
      <c r="K1991" s="38"/>
      <c r="L1991" s="30"/>
      <c r="M1991" s="38"/>
      <c r="N1991" s="38"/>
      <c r="O1991" s="31"/>
      <c r="P1991" s="28"/>
      <c r="Q1991" s="38"/>
      <c r="R1991" s="38"/>
      <c r="S1991" s="38"/>
      <c r="T1991" s="38"/>
      <c r="U1991" s="38"/>
      <c r="V1991" s="38"/>
      <c r="Y1991" s="38"/>
      <c r="Z1991" s="38"/>
      <c r="AF1991" s="38"/>
      <c r="AK1991" s="14"/>
      <c r="AO1991" s="28"/>
    </row>
    <row r="1992" spans="1:41" ht="12.5">
      <c r="A1992" s="28"/>
      <c r="B1992" s="37"/>
      <c r="C1992" s="29"/>
      <c r="D1992" s="38"/>
      <c r="E1992" s="38"/>
      <c r="G1992" s="38"/>
      <c r="H1992" s="38"/>
      <c r="I1992" s="38"/>
      <c r="J1992" s="38"/>
      <c r="K1992" s="38"/>
      <c r="L1992" s="30"/>
      <c r="M1992" s="38"/>
      <c r="N1992" s="38"/>
      <c r="O1992" s="31"/>
      <c r="P1992" s="28"/>
      <c r="Q1992" s="38"/>
      <c r="R1992" s="38"/>
      <c r="S1992" s="38"/>
      <c r="T1992" s="38"/>
      <c r="U1992" s="38"/>
      <c r="V1992" s="38"/>
      <c r="Y1992" s="38"/>
      <c r="Z1992" s="38"/>
      <c r="AF1992" s="38"/>
      <c r="AK1992" s="14"/>
      <c r="AO1992" s="28"/>
    </row>
    <row r="1993" spans="1:41" ht="12.5">
      <c r="A1993" s="28"/>
      <c r="B1993" s="37"/>
      <c r="C1993" s="29"/>
      <c r="D1993" s="38"/>
      <c r="E1993" s="38"/>
      <c r="G1993" s="38"/>
      <c r="H1993" s="38"/>
      <c r="I1993" s="38"/>
      <c r="J1993" s="38"/>
      <c r="K1993" s="38"/>
      <c r="L1993" s="30"/>
      <c r="M1993" s="38"/>
      <c r="N1993" s="38"/>
      <c r="O1993" s="31"/>
      <c r="P1993" s="28"/>
      <c r="Q1993" s="38"/>
      <c r="R1993" s="38"/>
      <c r="S1993" s="38"/>
      <c r="T1993" s="38"/>
      <c r="U1993" s="38"/>
      <c r="V1993" s="38"/>
      <c r="Y1993" s="38"/>
      <c r="Z1993" s="38"/>
      <c r="AF1993" s="38"/>
      <c r="AK1993" s="14"/>
      <c r="AO1993" s="28"/>
    </row>
    <row r="1994" spans="1:41" ht="12.5">
      <c r="A1994" s="28"/>
      <c r="B1994" s="37"/>
      <c r="C1994" s="29"/>
      <c r="D1994" s="38"/>
      <c r="E1994" s="38"/>
      <c r="G1994" s="38"/>
      <c r="H1994" s="38"/>
      <c r="I1994" s="38"/>
      <c r="J1994" s="38"/>
      <c r="K1994" s="38"/>
      <c r="L1994" s="30"/>
      <c r="M1994" s="38"/>
      <c r="N1994" s="38"/>
      <c r="O1994" s="31"/>
      <c r="P1994" s="28"/>
      <c r="Q1994" s="38"/>
      <c r="R1994" s="38"/>
      <c r="S1994" s="38"/>
      <c r="T1994" s="38"/>
      <c r="U1994" s="38"/>
      <c r="V1994" s="38"/>
      <c r="Y1994" s="38"/>
      <c r="Z1994" s="38"/>
      <c r="AF1994" s="38"/>
      <c r="AK1994" s="14"/>
      <c r="AO1994" s="28"/>
    </row>
    <row r="1995" spans="1:41" ht="12.5">
      <c r="A1995" s="28"/>
      <c r="B1995" s="37"/>
      <c r="C1995" s="29"/>
      <c r="D1995" s="38"/>
      <c r="E1995" s="38"/>
      <c r="G1995" s="38"/>
      <c r="H1995" s="38"/>
      <c r="I1995" s="38"/>
      <c r="J1995" s="38"/>
      <c r="K1995" s="38"/>
      <c r="L1995" s="30"/>
      <c r="M1995" s="38"/>
      <c r="N1995" s="38"/>
      <c r="O1995" s="31"/>
      <c r="P1995" s="28"/>
      <c r="Q1995" s="38"/>
      <c r="R1995" s="38"/>
      <c r="S1995" s="38"/>
      <c r="T1995" s="38"/>
      <c r="U1995" s="38"/>
      <c r="V1995" s="38"/>
      <c r="Y1995" s="38"/>
      <c r="Z1995" s="38"/>
      <c r="AF1995" s="38"/>
      <c r="AK1995" s="14"/>
      <c r="AO1995" s="28"/>
    </row>
    <row r="1996" spans="1:41" ht="12.5">
      <c r="A1996" s="28"/>
      <c r="B1996" s="37"/>
      <c r="C1996" s="29"/>
      <c r="D1996" s="38"/>
      <c r="E1996" s="38"/>
      <c r="G1996" s="38"/>
      <c r="H1996" s="38"/>
      <c r="I1996" s="38"/>
      <c r="J1996" s="38"/>
      <c r="K1996" s="38"/>
      <c r="L1996" s="30"/>
      <c r="M1996" s="38"/>
      <c r="N1996" s="38"/>
      <c r="O1996" s="31"/>
      <c r="P1996" s="28"/>
      <c r="Q1996" s="38"/>
      <c r="R1996" s="38"/>
      <c r="S1996" s="38"/>
      <c r="T1996" s="38"/>
      <c r="U1996" s="38"/>
      <c r="V1996" s="38"/>
      <c r="Y1996" s="38"/>
      <c r="Z1996" s="38"/>
      <c r="AF1996" s="38"/>
      <c r="AK1996" s="14"/>
      <c r="AO1996" s="28"/>
    </row>
    <row r="1997" spans="1:41" ht="12.5">
      <c r="A1997" s="28"/>
      <c r="B1997" s="37"/>
      <c r="C1997" s="29"/>
      <c r="D1997" s="38"/>
      <c r="E1997" s="38"/>
      <c r="G1997" s="38"/>
      <c r="H1997" s="38"/>
      <c r="I1997" s="38"/>
      <c r="J1997" s="38"/>
      <c r="K1997" s="38"/>
      <c r="L1997" s="30"/>
      <c r="M1997" s="38"/>
      <c r="N1997" s="38"/>
      <c r="O1997" s="31"/>
      <c r="P1997" s="28"/>
      <c r="Q1997" s="38"/>
      <c r="R1997" s="38"/>
      <c r="S1997" s="38"/>
      <c r="T1997" s="38"/>
      <c r="U1997" s="38"/>
      <c r="V1997" s="38"/>
      <c r="Y1997" s="38"/>
      <c r="Z1997" s="38"/>
      <c r="AF1997" s="38"/>
      <c r="AK1997" s="14"/>
      <c r="AO1997" s="28"/>
    </row>
    <row r="1998" spans="1:41" ht="12.5">
      <c r="A1998" s="28"/>
      <c r="B1998" s="37"/>
      <c r="C1998" s="29"/>
      <c r="D1998" s="38"/>
      <c r="E1998" s="38"/>
      <c r="G1998" s="38"/>
      <c r="H1998" s="38"/>
      <c r="I1998" s="38"/>
      <c r="J1998" s="38"/>
      <c r="K1998" s="38"/>
      <c r="L1998" s="30"/>
      <c r="M1998" s="38"/>
      <c r="N1998" s="38"/>
      <c r="O1998" s="31"/>
      <c r="P1998" s="28"/>
      <c r="Q1998" s="38"/>
      <c r="R1998" s="38"/>
      <c r="S1998" s="38"/>
      <c r="T1998" s="38"/>
      <c r="U1998" s="38"/>
      <c r="V1998" s="38"/>
      <c r="Y1998" s="38"/>
      <c r="Z1998" s="38"/>
      <c r="AF1998" s="38"/>
      <c r="AK1998" s="14"/>
      <c r="AO1998" s="28"/>
    </row>
    <row r="1999" spans="1:41" ht="12.5">
      <c r="A1999" s="28"/>
      <c r="B1999" s="37"/>
      <c r="C1999" s="29"/>
      <c r="D1999" s="38"/>
      <c r="E1999" s="38"/>
      <c r="G1999" s="38"/>
      <c r="H1999" s="38"/>
      <c r="I1999" s="38"/>
      <c r="J1999" s="38"/>
      <c r="K1999" s="38"/>
      <c r="L1999" s="30"/>
      <c r="M1999" s="38"/>
      <c r="N1999" s="38"/>
      <c r="O1999" s="31"/>
      <c r="P1999" s="28"/>
      <c r="Q1999" s="38"/>
      <c r="R1999" s="38"/>
      <c r="S1999" s="38"/>
      <c r="T1999" s="38"/>
      <c r="U1999" s="38"/>
      <c r="V1999" s="38"/>
      <c r="Y1999" s="38"/>
      <c r="Z1999" s="38"/>
      <c r="AF1999" s="38"/>
      <c r="AK1999" s="14"/>
      <c r="AO1999" s="28"/>
    </row>
    <row r="2000" spans="1:41" ht="12.5">
      <c r="A2000" s="28"/>
      <c r="B2000" s="37"/>
      <c r="C2000" s="29"/>
      <c r="D2000" s="38"/>
      <c r="E2000" s="38"/>
      <c r="G2000" s="38"/>
      <c r="H2000" s="38"/>
      <c r="I2000" s="38"/>
      <c r="J2000" s="38"/>
      <c r="K2000" s="38"/>
      <c r="L2000" s="30"/>
      <c r="M2000" s="38"/>
      <c r="N2000" s="38"/>
      <c r="O2000" s="31"/>
      <c r="P2000" s="28"/>
      <c r="Q2000" s="38"/>
      <c r="R2000" s="38"/>
      <c r="S2000" s="38"/>
      <c r="T2000" s="38"/>
      <c r="U2000" s="38"/>
      <c r="V2000" s="38"/>
      <c r="Y2000" s="38"/>
      <c r="Z2000" s="38"/>
      <c r="AF2000" s="38"/>
      <c r="AK2000" s="14"/>
      <c r="AO2000" s="28"/>
    </row>
    <row r="2001" spans="1:41" ht="12.5">
      <c r="A2001" s="28"/>
      <c r="B2001" s="37"/>
      <c r="C2001" s="29"/>
      <c r="D2001" s="38"/>
      <c r="E2001" s="38"/>
      <c r="G2001" s="38"/>
      <c r="H2001" s="38"/>
      <c r="I2001" s="38"/>
      <c r="J2001" s="38"/>
      <c r="K2001" s="38"/>
      <c r="L2001" s="30"/>
      <c r="M2001" s="38"/>
      <c r="N2001" s="38"/>
      <c r="O2001" s="31"/>
      <c r="P2001" s="28"/>
      <c r="Q2001" s="38"/>
      <c r="R2001" s="38"/>
      <c r="S2001" s="38"/>
      <c r="T2001" s="38"/>
      <c r="U2001" s="38"/>
      <c r="V2001" s="38"/>
      <c r="Y2001" s="38"/>
      <c r="Z2001" s="38"/>
      <c r="AF2001" s="38"/>
      <c r="AK2001" s="14"/>
      <c r="AO2001" s="28"/>
    </row>
    <row r="2002" spans="1:41" ht="12.5">
      <c r="A2002" s="28"/>
      <c r="B2002" s="37"/>
      <c r="C2002" s="29"/>
      <c r="D2002" s="38"/>
      <c r="E2002" s="38"/>
      <c r="G2002" s="38"/>
      <c r="H2002" s="38"/>
      <c r="I2002" s="38"/>
      <c r="J2002" s="38"/>
      <c r="K2002" s="38"/>
      <c r="L2002" s="30"/>
      <c r="M2002" s="38"/>
      <c r="N2002" s="38"/>
      <c r="O2002" s="31"/>
      <c r="P2002" s="28"/>
      <c r="Q2002" s="38"/>
      <c r="R2002" s="38"/>
      <c r="S2002" s="38"/>
      <c r="T2002" s="38"/>
      <c r="U2002" s="38"/>
      <c r="V2002" s="38"/>
      <c r="Y2002" s="38"/>
      <c r="Z2002" s="38"/>
      <c r="AF2002" s="38"/>
      <c r="AK2002" s="14"/>
      <c r="AO2002" s="28"/>
    </row>
    <row r="2003" spans="1:41" ht="12.5">
      <c r="A2003" s="28"/>
      <c r="B2003" s="37"/>
      <c r="C2003" s="29"/>
      <c r="D2003" s="38"/>
      <c r="E2003" s="38"/>
      <c r="G2003" s="38"/>
      <c r="H2003" s="38"/>
      <c r="I2003" s="38"/>
      <c r="J2003" s="38"/>
      <c r="K2003" s="38"/>
      <c r="L2003" s="30"/>
      <c r="M2003" s="38"/>
      <c r="N2003" s="38"/>
      <c r="O2003" s="31"/>
      <c r="P2003" s="28"/>
      <c r="Q2003" s="38"/>
      <c r="R2003" s="38"/>
      <c r="S2003" s="38"/>
      <c r="T2003" s="38"/>
      <c r="U2003" s="38"/>
      <c r="V2003" s="38"/>
      <c r="Y2003" s="38"/>
      <c r="Z2003" s="38"/>
      <c r="AF2003" s="38"/>
      <c r="AK2003" s="14"/>
      <c r="AO2003" s="28"/>
    </row>
    <row r="2004" spans="1:41" ht="12.5">
      <c r="A2004" s="28"/>
      <c r="B2004" s="37"/>
      <c r="C2004" s="29"/>
      <c r="D2004" s="38"/>
      <c r="E2004" s="38"/>
      <c r="G2004" s="38"/>
      <c r="H2004" s="38"/>
      <c r="I2004" s="38"/>
      <c r="J2004" s="38"/>
      <c r="K2004" s="38"/>
      <c r="L2004" s="30"/>
      <c r="M2004" s="38"/>
      <c r="N2004" s="38"/>
      <c r="O2004" s="31"/>
      <c r="P2004" s="28"/>
      <c r="Q2004" s="38"/>
      <c r="R2004" s="38"/>
      <c r="S2004" s="38"/>
      <c r="T2004" s="38"/>
      <c r="U2004" s="38"/>
      <c r="V2004" s="38"/>
      <c r="Y2004" s="38"/>
      <c r="Z2004" s="38"/>
      <c r="AF2004" s="38"/>
      <c r="AK2004" s="14"/>
      <c r="AO2004" s="28"/>
    </row>
    <row r="2005" spans="1:41" ht="12.5">
      <c r="A2005" s="28"/>
      <c r="B2005" s="37"/>
      <c r="C2005" s="29"/>
      <c r="D2005" s="38"/>
      <c r="E2005" s="38"/>
      <c r="G2005" s="38"/>
      <c r="H2005" s="38"/>
      <c r="I2005" s="38"/>
      <c r="J2005" s="38"/>
      <c r="K2005" s="38"/>
      <c r="L2005" s="30"/>
      <c r="M2005" s="38"/>
      <c r="N2005" s="38"/>
      <c r="O2005" s="31"/>
      <c r="P2005" s="28"/>
      <c r="Q2005" s="38"/>
      <c r="R2005" s="38"/>
      <c r="S2005" s="38"/>
      <c r="T2005" s="38"/>
      <c r="U2005" s="38"/>
      <c r="V2005" s="38"/>
      <c r="Y2005" s="38"/>
      <c r="Z2005" s="38"/>
      <c r="AF2005" s="38"/>
      <c r="AK2005" s="14"/>
      <c r="AO2005" s="28"/>
    </row>
    <row r="2006" spans="1:41" ht="12.5">
      <c r="A2006" s="28"/>
      <c r="B2006" s="37"/>
      <c r="C2006" s="29"/>
      <c r="D2006" s="38"/>
      <c r="E2006" s="38"/>
      <c r="G2006" s="38"/>
      <c r="H2006" s="38"/>
      <c r="I2006" s="38"/>
      <c r="J2006" s="38"/>
      <c r="K2006" s="38"/>
      <c r="L2006" s="30"/>
      <c r="M2006" s="38"/>
      <c r="N2006" s="38"/>
      <c r="O2006" s="31"/>
      <c r="P2006" s="28"/>
      <c r="Q2006" s="38"/>
      <c r="R2006" s="38"/>
      <c r="S2006" s="38"/>
      <c r="T2006" s="38"/>
      <c r="U2006" s="38"/>
      <c r="V2006" s="38"/>
      <c r="Y2006" s="38"/>
      <c r="Z2006" s="38"/>
      <c r="AF2006" s="38"/>
      <c r="AK2006" s="14"/>
      <c r="AO2006" s="28"/>
    </row>
    <row r="2007" spans="1:41" ht="12.5">
      <c r="A2007" s="28"/>
      <c r="B2007" s="37"/>
      <c r="C2007" s="29"/>
      <c r="D2007" s="38"/>
      <c r="E2007" s="38"/>
      <c r="G2007" s="38"/>
      <c r="H2007" s="38"/>
      <c r="I2007" s="38"/>
      <c r="J2007" s="38"/>
      <c r="K2007" s="38"/>
      <c r="L2007" s="30"/>
      <c r="M2007" s="38"/>
      <c r="N2007" s="38"/>
      <c r="O2007" s="31"/>
      <c r="P2007" s="28"/>
      <c r="Q2007" s="38"/>
      <c r="R2007" s="38"/>
      <c r="S2007" s="38"/>
      <c r="T2007" s="38"/>
      <c r="U2007" s="38"/>
      <c r="V2007" s="38"/>
      <c r="Y2007" s="38"/>
      <c r="Z2007" s="38"/>
      <c r="AF2007" s="38"/>
      <c r="AK2007" s="14"/>
      <c r="AO2007" s="28"/>
    </row>
    <row r="2008" spans="1:41" ht="12.5">
      <c r="A2008" s="28"/>
      <c r="B2008" s="37"/>
      <c r="C2008" s="29"/>
      <c r="D2008" s="38"/>
      <c r="E2008" s="38"/>
      <c r="G2008" s="38"/>
      <c r="H2008" s="38"/>
      <c r="I2008" s="38"/>
      <c r="J2008" s="38"/>
      <c r="K2008" s="38"/>
      <c r="L2008" s="30"/>
      <c r="M2008" s="38"/>
      <c r="N2008" s="38"/>
      <c r="O2008" s="31"/>
      <c r="P2008" s="28"/>
      <c r="Q2008" s="38"/>
      <c r="R2008" s="38"/>
      <c r="S2008" s="38"/>
      <c r="T2008" s="38"/>
      <c r="U2008" s="38"/>
      <c r="V2008" s="38"/>
      <c r="Y2008" s="38"/>
      <c r="Z2008" s="38"/>
      <c r="AF2008" s="38"/>
      <c r="AK2008" s="14"/>
      <c r="AO2008" s="28"/>
    </row>
    <row r="2009" spans="1:41" ht="12.5">
      <c r="A2009" s="28"/>
      <c r="B2009" s="37"/>
      <c r="C2009" s="29"/>
      <c r="D2009" s="38"/>
      <c r="E2009" s="38"/>
      <c r="G2009" s="38"/>
      <c r="H2009" s="38"/>
      <c r="I2009" s="38"/>
      <c r="J2009" s="38"/>
      <c r="K2009" s="38"/>
      <c r="L2009" s="30"/>
      <c r="M2009" s="38"/>
      <c r="N2009" s="38"/>
      <c r="O2009" s="31"/>
      <c r="P2009" s="28"/>
      <c r="Q2009" s="38"/>
      <c r="R2009" s="38"/>
      <c r="S2009" s="38"/>
      <c r="T2009" s="38"/>
      <c r="U2009" s="38"/>
      <c r="V2009" s="38"/>
      <c r="Y2009" s="38"/>
      <c r="Z2009" s="38"/>
      <c r="AF2009" s="38"/>
      <c r="AK2009" s="14"/>
      <c r="AO2009" s="28"/>
    </row>
    <row r="2010" spans="1:41" ht="12.5">
      <c r="A2010" s="28"/>
      <c r="B2010" s="37"/>
      <c r="C2010" s="29"/>
      <c r="D2010" s="38"/>
      <c r="E2010" s="38"/>
      <c r="G2010" s="38"/>
      <c r="H2010" s="38"/>
      <c r="I2010" s="38"/>
      <c r="J2010" s="38"/>
      <c r="K2010" s="38"/>
      <c r="L2010" s="30"/>
      <c r="M2010" s="38"/>
      <c r="N2010" s="38"/>
      <c r="O2010" s="31"/>
      <c r="P2010" s="28"/>
      <c r="Q2010" s="38"/>
      <c r="R2010" s="38"/>
      <c r="S2010" s="38"/>
      <c r="T2010" s="38"/>
      <c r="U2010" s="38"/>
      <c r="V2010" s="38"/>
      <c r="Y2010" s="38"/>
      <c r="Z2010" s="38"/>
      <c r="AF2010" s="38"/>
      <c r="AK2010" s="14"/>
      <c r="AO2010" s="28"/>
    </row>
    <row r="2011" spans="1:41" ht="12.5">
      <c r="A2011" s="28"/>
      <c r="B2011" s="37"/>
      <c r="C2011" s="29"/>
      <c r="D2011" s="38"/>
      <c r="E2011" s="38"/>
      <c r="G2011" s="38"/>
      <c r="H2011" s="38"/>
      <c r="I2011" s="38"/>
      <c r="J2011" s="38"/>
      <c r="K2011" s="38"/>
      <c r="L2011" s="30"/>
      <c r="M2011" s="38"/>
      <c r="N2011" s="38"/>
      <c r="O2011" s="31"/>
      <c r="P2011" s="28"/>
      <c r="Q2011" s="38"/>
      <c r="R2011" s="38"/>
      <c r="S2011" s="38"/>
      <c r="T2011" s="38"/>
      <c r="U2011" s="38"/>
      <c r="V2011" s="38"/>
      <c r="Y2011" s="38"/>
      <c r="Z2011" s="38"/>
      <c r="AF2011" s="38"/>
      <c r="AK2011" s="14"/>
      <c r="AO2011" s="28"/>
    </row>
    <row r="2012" spans="1:41" ht="12.5">
      <c r="A2012" s="28"/>
      <c r="B2012" s="37"/>
      <c r="C2012" s="29"/>
      <c r="D2012" s="38"/>
      <c r="E2012" s="38"/>
      <c r="G2012" s="38"/>
      <c r="H2012" s="38"/>
      <c r="I2012" s="38"/>
      <c r="J2012" s="38"/>
      <c r="K2012" s="38"/>
      <c r="L2012" s="30"/>
      <c r="M2012" s="38"/>
      <c r="N2012" s="38"/>
      <c r="O2012" s="31"/>
      <c r="P2012" s="28"/>
      <c r="Q2012" s="38"/>
      <c r="R2012" s="38"/>
      <c r="S2012" s="38"/>
      <c r="T2012" s="38"/>
      <c r="U2012" s="38"/>
      <c r="V2012" s="38"/>
      <c r="Y2012" s="38"/>
      <c r="Z2012" s="38"/>
      <c r="AF2012" s="38"/>
      <c r="AK2012" s="14"/>
      <c r="AO2012" s="28"/>
    </row>
    <row r="2013" spans="1:41" ht="12.5">
      <c r="A2013" s="28"/>
      <c r="B2013" s="37"/>
      <c r="C2013" s="29"/>
      <c r="D2013" s="38"/>
      <c r="E2013" s="38"/>
      <c r="G2013" s="38"/>
      <c r="H2013" s="38"/>
      <c r="I2013" s="38"/>
      <c r="J2013" s="38"/>
      <c r="K2013" s="38"/>
      <c r="L2013" s="30"/>
      <c r="M2013" s="38"/>
      <c r="N2013" s="38"/>
      <c r="O2013" s="31"/>
      <c r="P2013" s="28"/>
      <c r="Q2013" s="38"/>
      <c r="R2013" s="38"/>
      <c r="S2013" s="38"/>
      <c r="T2013" s="38"/>
      <c r="U2013" s="38"/>
      <c r="V2013" s="38"/>
      <c r="Y2013" s="38"/>
      <c r="Z2013" s="38"/>
      <c r="AF2013" s="38"/>
      <c r="AK2013" s="14"/>
      <c r="AO2013" s="28"/>
    </row>
    <row r="2014" spans="1:41" ht="12.5">
      <c r="A2014" s="28"/>
      <c r="B2014" s="37"/>
      <c r="C2014" s="29"/>
      <c r="D2014" s="38"/>
      <c r="E2014" s="38"/>
      <c r="G2014" s="38"/>
      <c r="H2014" s="38"/>
      <c r="I2014" s="38"/>
      <c r="J2014" s="38"/>
      <c r="K2014" s="38"/>
      <c r="L2014" s="30"/>
      <c r="M2014" s="38"/>
      <c r="N2014" s="38"/>
      <c r="O2014" s="31"/>
      <c r="P2014" s="28"/>
      <c r="Q2014" s="38"/>
      <c r="R2014" s="38"/>
      <c r="S2014" s="38"/>
      <c r="T2014" s="38"/>
      <c r="U2014" s="38"/>
      <c r="V2014" s="38"/>
      <c r="Y2014" s="38"/>
      <c r="Z2014" s="38"/>
      <c r="AF2014" s="38"/>
      <c r="AK2014" s="14"/>
      <c r="AO2014" s="28"/>
    </row>
    <row r="2015" spans="1:41" ht="12.5">
      <c r="A2015" s="28"/>
      <c r="B2015" s="37"/>
      <c r="C2015" s="29"/>
      <c r="D2015" s="38"/>
      <c r="E2015" s="38"/>
      <c r="G2015" s="38"/>
      <c r="H2015" s="38"/>
      <c r="I2015" s="38"/>
      <c r="J2015" s="38"/>
      <c r="K2015" s="38"/>
      <c r="L2015" s="30"/>
      <c r="M2015" s="38"/>
      <c r="N2015" s="38"/>
      <c r="O2015" s="31"/>
      <c r="P2015" s="28"/>
      <c r="Q2015" s="38"/>
      <c r="R2015" s="38"/>
      <c r="S2015" s="38"/>
      <c r="T2015" s="38"/>
      <c r="U2015" s="38"/>
      <c r="V2015" s="38"/>
      <c r="Y2015" s="38"/>
      <c r="Z2015" s="38"/>
      <c r="AF2015" s="38"/>
      <c r="AK2015" s="14"/>
      <c r="AO2015" s="28"/>
    </row>
    <row r="2016" spans="1:41" ht="12.5">
      <c r="A2016" s="28"/>
      <c r="B2016" s="37"/>
      <c r="C2016" s="29"/>
      <c r="D2016" s="38"/>
      <c r="E2016" s="38"/>
      <c r="G2016" s="38"/>
      <c r="H2016" s="38"/>
      <c r="I2016" s="38"/>
      <c r="J2016" s="38"/>
      <c r="K2016" s="38"/>
      <c r="L2016" s="30"/>
      <c r="M2016" s="38"/>
      <c r="N2016" s="38"/>
      <c r="O2016" s="31"/>
      <c r="P2016" s="28"/>
      <c r="Q2016" s="38"/>
      <c r="R2016" s="38"/>
      <c r="S2016" s="38"/>
      <c r="T2016" s="38"/>
      <c r="U2016" s="38"/>
      <c r="V2016" s="38"/>
      <c r="Y2016" s="38"/>
      <c r="Z2016" s="38"/>
      <c r="AF2016" s="38"/>
      <c r="AK2016" s="14"/>
      <c r="AO2016" s="28"/>
    </row>
    <row r="2017" spans="1:41" ht="12.5">
      <c r="A2017" s="28"/>
      <c r="B2017" s="37"/>
      <c r="C2017" s="29"/>
      <c r="D2017" s="38"/>
      <c r="E2017" s="38"/>
      <c r="G2017" s="38"/>
      <c r="H2017" s="38"/>
      <c r="I2017" s="38"/>
      <c r="J2017" s="38"/>
      <c r="K2017" s="38"/>
      <c r="L2017" s="30"/>
      <c r="M2017" s="38"/>
      <c r="N2017" s="38"/>
      <c r="O2017" s="31"/>
      <c r="P2017" s="28"/>
      <c r="Q2017" s="38"/>
      <c r="R2017" s="38"/>
      <c r="S2017" s="38"/>
      <c r="T2017" s="38"/>
      <c r="U2017" s="38"/>
      <c r="V2017" s="38"/>
      <c r="Y2017" s="38"/>
      <c r="Z2017" s="38"/>
      <c r="AF2017" s="38"/>
      <c r="AK2017" s="14"/>
      <c r="AO2017" s="28"/>
    </row>
    <row r="2018" spans="1:41" ht="12.5">
      <c r="A2018" s="28"/>
      <c r="B2018" s="37"/>
      <c r="C2018" s="29"/>
      <c r="D2018" s="38"/>
      <c r="E2018" s="38"/>
      <c r="G2018" s="38"/>
      <c r="H2018" s="38"/>
      <c r="I2018" s="38"/>
      <c r="J2018" s="38"/>
      <c r="K2018" s="38"/>
      <c r="L2018" s="30"/>
      <c r="M2018" s="38"/>
      <c r="N2018" s="38"/>
      <c r="O2018" s="31"/>
      <c r="P2018" s="28"/>
      <c r="Q2018" s="38"/>
      <c r="R2018" s="38"/>
      <c r="S2018" s="38"/>
      <c r="T2018" s="38"/>
      <c r="U2018" s="38"/>
      <c r="V2018" s="38"/>
      <c r="Y2018" s="38"/>
      <c r="Z2018" s="38"/>
      <c r="AF2018" s="38"/>
      <c r="AK2018" s="14"/>
      <c r="AO2018" s="28"/>
    </row>
    <row r="2019" spans="1:41" ht="12.5">
      <c r="A2019" s="28"/>
      <c r="B2019" s="37"/>
      <c r="C2019" s="29"/>
      <c r="D2019" s="38"/>
      <c r="E2019" s="38"/>
      <c r="G2019" s="38"/>
      <c r="H2019" s="38"/>
      <c r="I2019" s="38"/>
      <c r="J2019" s="38"/>
      <c r="K2019" s="38"/>
      <c r="L2019" s="30"/>
      <c r="M2019" s="38"/>
      <c r="N2019" s="38"/>
      <c r="O2019" s="31"/>
      <c r="P2019" s="28"/>
      <c r="Q2019" s="38"/>
      <c r="R2019" s="38"/>
      <c r="S2019" s="38"/>
      <c r="T2019" s="38"/>
      <c r="U2019" s="38"/>
      <c r="V2019" s="38"/>
      <c r="Y2019" s="38"/>
      <c r="Z2019" s="38"/>
      <c r="AF2019" s="38"/>
      <c r="AK2019" s="14"/>
      <c r="AO2019" s="28"/>
    </row>
    <row r="2020" spans="1:41" ht="12.5">
      <c r="A2020" s="28"/>
      <c r="B2020" s="37"/>
      <c r="C2020" s="29"/>
      <c r="D2020" s="38"/>
      <c r="E2020" s="38"/>
      <c r="G2020" s="38"/>
      <c r="H2020" s="38"/>
      <c r="I2020" s="38"/>
      <c r="J2020" s="38"/>
      <c r="K2020" s="38"/>
      <c r="L2020" s="30"/>
      <c r="M2020" s="38"/>
      <c r="N2020" s="38"/>
      <c r="O2020" s="31"/>
      <c r="P2020" s="28"/>
      <c r="Q2020" s="38"/>
      <c r="R2020" s="38"/>
      <c r="S2020" s="38"/>
      <c r="T2020" s="38"/>
      <c r="U2020" s="38"/>
      <c r="V2020" s="38"/>
      <c r="Y2020" s="38"/>
      <c r="Z2020" s="38"/>
      <c r="AF2020" s="38"/>
      <c r="AK2020" s="14"/>
      <c r="AO2020" s="28"/>
    </row>
    <row r="2021" spans="1:41" ht="12.5">
      <c r="A2021" s="28"/>
      <c r="B2021" s="37"/>
      <c r="C2021" s="29"/>
      <c r="D2021" s="38"/>
      <c r="E2021" s="38"/>
      <c r="G2021" s="38"/>
      <c r="H2021" s="38"/>
      <c r="I2021" s="38"/>
      <c r="J2021" s="38"/>
      <c r="K2021" s="38"/>
      <c r="L2021" s="30"/>
      <c r="M2021" s="38"/>
      <c r="N2021" s="38"/>
      <c r="O2021" s="31"/>
      <c r="P2021" s="28"/>
      <c r="Q2021" s="38"/>
      <c r="R2021" s="38"/>
      <c r="S2021" s="38"/>
      <c r="T2021" s="38"/>
      <c r="U2021" s="38"/>
      <c r="V2021" s="38"/>
      <c r="Y2021" s="38"/>
      <c r="Z2021" s="38"/>
      <c r="AF2021" s="38"/>
      <c r="AK2021" s="14"/>
      <c r="AO2021" s="28"/>
    </row>
    <row r="2022" spans="1:41" ht="12.5">
      <c r="A2022" s="28"/>
      <c r="B2022" s="37"/>
      <c r="C2022" s="29"/>
      <c r="D2022" s="38"/>
      <c r="E2022" s="38"/>
      <c r="G2022" s="38"/>
      <c r="H2022" s="38"/>
      <c r="I2022" s="38"/>
      <c r="J2022" s="38"/>
      <c r="K2022" s="38"/>
      <c r="L2022" s="30"/>
      <c r="M2022" s="38"/>
      <c r="N2022" s="38"/>
      <c r="O2022" s="31"/>
      <c r="P2022" s="28"/>
      <c r="Q2022" s="38"/>
      <c r="R2022" s="38"/>
      <c r="S2022" s="38"/>
      <c r="T2022" s="38"/>
      <c r="U2022" s="38"/>
      <c r="V2022" s="38"/>
      <c r="Y2022" s="38"/>
      <c r="Z2022" s="38"/>
      <c r="AF2022" s="38"/>
      <c r="AK2022" s="14"/>
      <c r="AO2022" s="28"/>
    </row>
  </sheetData>
  <autoFilter ref="A1:BH1024" xr:uid="{00000000-0009-0000-0000-000000000000}">
    <filterColumn colId="14">
      <filters>
        <filter val="B0CZ3JX2YV"/>
      </filters>
    </filterColumn>
  </autoFilter>
  <conditionalFormatting sqref="A1:A2022 AO1726">
    <cfRule type="expression" dxfId="25" priority="12">
      <formula>COUNTIF(A:A, A1) &gt; 1</formula>
    </cfRule>
  </conditionalFormatting>
  <conditionalFormatting sqref="H1:H2022">
    <cfRule type="cellIs" dxfId="24" priority="11" operator="greaterThan">
      <formula>24</formula>
    </cfRule>
  </conditionalFormatting>
  <conditionalFormatting sqref="H2:H2022">
    <cfRule type="cellIs" dxfId="23" priority="4" operator="greaterThanOrEqual">
      <formula>40</formula>
    </cfRule>
  </conditionalFormatting>
  <conditionalFormatting sqref="L1:L2022">
    <cfRule type="containsText" dxfId="22" priority="10" operator="containsText" text="Seller">
      <formula>NOT(ISERROR(SEARCH(("Seller"),(L1))))</formula>
    </cfRule>
  </conditionalFormatting>
  <conditionalFormatting sqref="P1:P2022">
    <cfRule type="containsText" dxfId="21" priority="13" operator="containsText" text="FF">
      <formula>NOT(ISERROR(SEARCH(("FF"),(P1))))</formula>
    </cfRule>
  </conditionalFormatting>
  <conditionalFormatting sqref="S1:S2022">
    <cfRule type="containsText" dxfId="20" priority="5" operator="containsText" text="CR-DAMAGED_BY_FC">
      <formula>NOT(ISERROR(SEARCH(("CR-DAMAGED_BY_FC"),(S1))))</formula>
    </cfRule>
    <cfRule type="containsText" dxfId="19" priority="6" operator="containsText" text="AMZ-PG-BAD-DESC">
      <formula>NOT(ISERROR(SEARCH(("AMZ-PG-BAD-DESC"),(S1))))</formula>
    </cfRule>
    <cfRule type="containsText" dxfId="18" priority="7" operator="containsText" text="CR-DAMAGED_BY_CARRIER">
      <formula>NOT(ISERROR(SEARCH(("CR-DAMAGED_BY_CARRIER"),(S1))))</formula>
    </cfRule>
    <cfRule type="containsText" dxfId="17" priority="8" operator="containsText" text="CR-MISSING_PARTS">
      <formula>NOT(ISERROR(SEARCH(("CR-MISSING_PARTS"),(S1))))</formula>
    </cfRule>
    <cfRule type="containsText" dxfId="16" priority="9" operator="containsText" text="CR-SWITCHEROO">
      <formula>NOT(ISERROR(SEARCH(("CR-SWITCHEROO"),(S1))))</formula>
    </cfRule>
  </conditionalFormatting>
  <conditionalFormatting sqref="V1:V2022">
    <cfRule type="containsText" dxfId="15" priority="1" operator="containsText" text="Replacement">
      <formula>NOT(ISERROR(SEARCH(("Replacement"),(V1))))</formula>
    </cfRule>
  </conditionalFormatting>
  <conditionalFormatting sqref="AK1:AK2022">
    <cfRule type="cellIs" dxfId="14" priority="3" operator="between">
      <formula>"9.10%"</formula>
      <formula>"10.99%"</formula>
    </cfRule>
  </conditionalFormatting>
  <conditionalFormatting sqref="AK2:AK2022">
    <cfRule type="cellIs" dxfId="13" priority="2" operator="lessThanOrEqual">
      <formula>"9%"</formula>
    </cfRule>
  </conditionalFormatting>
  <dataValidations count="1">
    <dataValidation type="list" allowBlank="1" showErrorMessage="1" sqref="AM1026:AM1821 AM2" xr:uid="{00000000-0002-0000-0000-000000000000}">
      <formula1>"Not filed,Filed,n/a"</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30E0C-38F4-498B-8731-F90EB61F4C80}">
  <dimension ref="A1"/>
  <sheetViews>
    <sheetView workbookViewId="0">
      <selection sqref="A1:XEG1"/>
    </sheetView>
  </sheetViews>
  <sheetFormatPr defaultRowHeight="1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Als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Trisha Caisip</cp:lastModifiedBy>
  <dcterms:modified xsi:type="dcterms:W3CDTF">2025-10-20T17:09:15Z</dcterms:modified>
</cp:coreProperties>
</file>